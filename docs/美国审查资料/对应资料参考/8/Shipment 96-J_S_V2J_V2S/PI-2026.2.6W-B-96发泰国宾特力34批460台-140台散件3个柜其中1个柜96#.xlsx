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 activeTab="1"/>
  </bookViews>
  <sheets>
    <sheet name="OOCU6207383" sheetId="2" r:id="rId1"/>
    <sheet name="数量金额核对" sheetId="3" r:id="rId2"/>
    <sheet name="RMA汇总" sheetId="4" r:id="rId3"/>
  </sheets>
  <externalReferences>
    <externalReference r:id="rId4"/>
    <externalReference r:id="rId5"/>
  </externalReferences>
  <definedNames>
    <definedName name="_xlnm._FilterDatabase" localSheetId="0" hidden="1">OOCU6207383!$A$13:$M$70</definedName>
    <definedName name="_xlnm._FilterDatabase" localSheetId="2" hidden="1">RMA汇总!$A$3:$H$41</definedName>
    <definedName name="采购订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<sst xmlns="http://schemas.openxmlformats.org/spreadsheetml/2006/main" count="457" uniqueCount="202">
  <si>
    <t>装箱清单</t>
  </si>
  <si>
    <t>客户</t>
  </si>
  <si>
    <t>缤特力-34  出口泰国的散件</t>
  </si>
  <si>
    <t>颜色</t>
  </si>
  <si>
    <t>类别</t>
  </si>
  <si>
    <t>厂家</t>
  </si>
  <si>
    <t>包装箱规格</t>
  </si>
  <si>
    <t>40尺柜</t>
  </si>
  <si>
    <t>项目订单号</t>
  </si>
  <si>
    <t>装配件</t>
  </si>
  <si>
    <t>RMA</t>
  </si>
  <si>
    <t>柜号</t>
  </si>
  <si>
    <t>OOCU6207383</t>
  </si>
  <si>
    <t>台数</t>
  </si>
  <si>
    <t>140台</t>
  </si>
  <si>
    <t>铁件</t>
  </si>
  <si>
    <t>X</t>
  </si>
  <si>
    <t>总柜数</t>
  </si>
  <si>
    <t>3柜</t>
  </si>
  <si>
    <t>总台数</t>
  </si>
  <si>
    <t>油漆件</t>
  </si>
  <si>
    <t>成品编码</t>
  </si>
  <si>
    <t>车型</t>
  </si>
  <si>
    <t>U8版本号</t>
  </si>
  <si>
    <t>F0101017212
高尔夫球车</t>
  </si>
  <si>
    <t>WH2047KSZ</t>
  </si>
  <si>
    <t>70台</t>
  </si>
  <si>
    <t>F0101017211
打猎车</t>
  </si>
  <si>
    <t>WH2047ASZ</t>
  </si>
  <si>
    <t>F0101022201
4座J型球车</t>
  </si>
  <si>
    <t>V2-4JK</t>
  </si>
  <si>
    <t>70台部分件</t>
  </si>
  <si>
    <t>F0101022202
4座J型打猎车</t>
  </si>
  <si>
    <t>V2-4JA</t>
  </si>
  <si>
    <t>110台部分件</t>
  </si>
  <si>
    <t>F0101024202
S型打猎车</t>
  </si>
  <si>
    <t>WH204EASZ</t>
  </si>
  <si>
    <t>35台部分件</t>
  </si>
  <si>
    <t>F0101023203
4座S型球车</t>
  </si>
  <si>
    <t>V2-4SK</t>
  </si>
  <si>
    <t>105台部分件</t>
  </si>
  <si>
    <t>序号</t>
  </si>
  <si>
    <t>存货编码</t>
  </si>
  <si>
    <t>材料名称</t>
  </si>
  <si>
    <t>单位</t>
  </si>
  <si>
    <t>数量</t>
  </si>
  <si>
    <t>合计数量</t>
  </si>
  <si>
    <t>接收方：RMA</t>
  </si>
  <si>
    <t>销售出库单</t>
  </si>
  <si>
    <t>备注/签字</t>
  </si>
  <si>
    <t>报关分类</t>
  </si>
  <si>
    <t>单价</t>
  </si>
  <si>
    <t>总价</t>
  </si>
  <si>
    <t>F0102064501</t>
  </si>
  <si>
    <t>中座框</t>
  </si>
  <si>
    <t>件</t>
  </si>
  <si>
    <t>1-1铁箱1件</t>
  </si>
  <si>
    <t>WH2047KSZ,WH2047ASZ</t>
  </si>
  <si>
    <t>1-2铁箱1件</t>
  </si>
  <si>
    <r>
      <rPr>
        <sz val="10"/>
        <rFont val="宋体"/>
        <charset val="134"/>
        <scheme val="minor"/>
      </rPr>
      <t>F010302002</t>
    </r>
    <r>
      <rPr>
        <sz val="10"/>
        <rFont val="宋体"/>
        <charset val="134"/>
      </rPr>
      <t>4</t>
    </r>
  </si>
  <si>
    <t>左前挡泥板/J款球车</t>
  </si>
  <si>
    <t>1-3纸箱5件</t>
  </si>
  <si>
    <r>
      <rPr>
        <sz val="10"/>
        <rFont val="宋体"/>
        <charset val="134"/>
        <scheme val="minor"/>
      </rPr>
      <t>F010302002</t>
    </r>
    <r>
      <rPr>
        <sz val="10"/>
        <rFont val="宋体"/>
        <charset val="134"/>
      </rPr>
      <t>5</t>
    </r>
  </si>
  <si>
    <t>右前挡泥板/J款球车</t>
  </si>
  <si>
    <t>F0103020022</t>
  </si>
  <si>
    <t>左前挡泥板/J款打猎车</t>
  </si>
  <si>
    <t>1-3纸箱7件</t>
  </si>
  <si>
    <t>F0103020023</t>
  </si>
  <si>
    <t>右前挡泥板/J款打猎车</t>
  </si>
  <si>
    <t>2-1铁箱1件</t>
  </si>
  <si>
    <t>2-2铁箱1件</t>
  </si>
  <si>
    <t>F0307001047</t>
  </si>
  <si>
    <t>10.1寸多功能仪表中控屏</t>
  </si>
  <si>
    <t>2-3纸箱4件</t>
  </si>
  <si>
    <t>F0307003027</t>
  </si>
  <si>
    <t>防水扬声器喇叭</t>
  </si>
  <si>
    <t>2-3纸箱11件</t>
  </si>
  <si>
    <t>2-3纸箱2件</t>
  </si>
  <si>
    <t>F0102045025</t>
  </si>
  <si>
    <t>后轮眉</t>
  </si>
  <si>
    <t>只</t>
  </si>
  <si>
    <t>F0102077502</t>
  </si>
  <si>
    <t>J款铁制前保险杠</t>
  </si>
  <si>
    <t>3-1铁箱1件</t>
  </si>
  <si>
    <t>3-2铁箱1件</t>
  </si>
  <si>
    <t>F0102045012</t>
  </si>
  <si>
    <t>球仓保护垫</t>
  </si>
  <si>
    <t>3-3纸箱10件</t>
  </si>
  <si>
    <t>F0102081527</t>
  </si>
  <si>
    <t>J款球车铁制前保险杠</t>
  </si>
  <si>
    <t>4-1铁箱1件</t>
  </si>
  <si>
    <t>4-2铁箱1件</t>
  </si>
  <si>
    <t>4-3纸箱3件</t>
  </si>
  <si>
    <t>F0102045017</t>
  </si>
  <si>
    <t>后保险杠</t>
  </si>
  <si>
    <t>4-3纸箱4件</t>
  </si>
  <si>
    <t>F0204002035</t>
  </si>
  <si>
    <t>转向轴管</t>
  </si>
  <si>
    <t>5-1木箱1件</t>
  </si>
  <si>
    <t>F0204002032</t>
  </si>
  <si>
    <t>转向轴管抱箍1</t>
  </si>
  <si>
    <t>F0204002033</t>
  </si>
  <si>
    <t>转向轴管抱箍2</t>
  </si>
  <si>
    <t>F0204004052</t>
  </si>
  <si>
    <t>转向下轴</t>
  </si>
  <si>
    <t>F0204004053</t>
  </si>
  <si>
    <t>F0204003026</t>
  </si>
  <si>
    <t>方向机总成  加长</t>
  </si>
  <si>
    <t>F0203003104</t>
  </si>
  <si>
    <t>刹车总泵（南京金江）</t>
  </si>
  <si>
    <t>F0102081501</t>
  </si>
  <si>
    <t>顶棚前支架</t>
  </si>
  <si>
    <t>5-2铁箱1件</t>
  </si>
  <si>
    <t>F0102077505.3</t>
  </si>
  <si>
    <t>连接梁</t>
  </si>
  <si>
    <t>F0204001015</t>
  </si>
  <si>
    <t>方向盘总成</t>
  </si>
  <si>
    <t>5-2纸箱3件</t>
  </si>
  <si>
    <t>F0102045011</t>
  </si>
  <si>
    <t>电控检修盖</t>
  </si>
  <si>
    <t>5-3纸箱4件</t>
  </si>
  <si>
    <t>5-3纸箱1件</t>
  </si>
  <si>
    <t>F0103035097</t>
  </si>
  <si>
    <t>电池框橡胶板</t>
  </si>
  <si>
    <t>6-1散装140块</t>
  </si>
  <si>
    <t>6-1纸箱10件</t>
  </si>
  <si>
    <t>F0103009031</t>
  </si>
  <si>
    <t>J款前挡玻璃/4座/DOT</t>
  </si>
  <si>
    <t>套</t>
  </si>
  <si>
    <t>6-1纸箱2件</t>
  </si>
  <si>
    <t>6-2纸箱6件</t>
  </si>
  <si>
    <t>6-2纸箱3件</t>
  </si>
  <si>
    <t>6-2纸箱2件</t>
  </si>
  <si>
    <t>6-3纸箱30件</t>
  </si>
  <si>
    <t>F0204003025</t>
  </si>
  <si>
    <t xml:space="preserve">方向机总成 </t>
  </si>
  <si>
    <t>木箱1件集中摆放</t>
  </si>
  <si>
    <t>F0103035090</t>
  </si>
  <si>
    <t>加速踏板胶套</t>
  </si>
  <si>
    <t>F0103035091</t>
  </si>
  <si>
    <t>制动踏板胶套</t>
  </si>
  <si>
    <t>D2201005</t>
  </si>
  <si>
    <t>刹车油壶</t>
  </si>
  <si>
    <t>F0103035092</t>
  </si>
  <si>
    <t>油壶密封垫</t>
  </si>
  <si>
    <t>F0203013013</t>
  </si>
  <si>
    <t>强力全钢卡箍/16-18</t>
  </si>
  <si>
    <t>F0103027116</t>
  </si>
  <si>
    <r>
      <rPr>
        <sz val="10"/>
        <rFont val="宋体"/>
        <charset val="134"/>
        <scheme val="minor"/>
      </rPr>
      <t>4座</t>
    </r>
    <r>
      <rPr>
        <sz val="10"/>
        <rFont val="宋体"/>
        <charset val="134"/>
      </rPr>
      <t>j款成型地板革/ACTIV EV</t>
    </r>
  </si>
  <si>
    <t>片</t>
  </si>
  <si>
    <t>纸箱36件集中摆放</t>
  </si>
  <si>
    <t>F0103027117</t>
  </si>
  <si>
    <t>后踏板成型地板革</t>
  </si>
  <si>
    <t>纸箱24件集中摆放</t>
  </si>
  <si>
    <t>F2101059003</t>
  </si>
  <si>
    <t>盖形轮胎螺母</t>
  </si>
  <si>
    <t>纸箱4件集中摆放</t>
  </si>
  <si>
    <t>纸箱9件集中摆放</t>
  </si>
  <si>
    <t>V2-4JK，V2-4JA，WH204EASZ，V2-4SK部分件</t>
  </si>
  <si>
    <t>F0102089100</t>
  </si>
  <si>
    <t>后备箱总成</t>
  </si>
  <si>
    <t>纸箱34件集中摆放</t>
  </si>
  <si>
    <t>V2-4JA部分件</t>
  </si>
  <si>
    <t>纸箱14件集中摆放</t>
  </si>
  <si>
    <t>V2-4SK部分件</t>
  </si>
  <si>
    <t>F0102089068</t>
  </si>
  <si>
    <t>后排靠背外饰板</t>
  </si>
  <si>
    <t>纸箱30件集中摆放</t>
  </si>
  <si>
    <t>V2-4JA，V2-4JK部分件</t>
  </si>
  <si>
    <t>F0102089064</t>
  </si>
  <si>
    <t>靠背外饰板</t>
  </si>
  <si>
    <t>纸箱12件集中摆放</t>
  </si>
  <si>
    <t>纸箱19件集中摆放</t>
  </si>
  <si>
    <t>名称</t>
  </si>
  <si>
    <t>毛重</t>
  </si>
  <si>
    <t>净重</t>
  </si>
  <si>
    <t>接收方</t>
  </si>
  <si>
    <t>HSCODE</t>
  </si>
  <si>
    <t>FOB</t>
  </si>
  <si>
    <t>运费</t>
  </si>
  <si>
    <t>保费</t>
  </si>
  <si>
    <t>CIF报关价</t>
  </si>
  <si>
    <t>车身部件</t>
  </si>
  <si>
    <t>底盘部件</t>
  </si>
  <si>
    <t>制动部件</t>
  </si>
  <si>
    <t>塑料件（仪表台，顶棚等）</t>
  </si>
  <si>
    <t>箱</t>
  </si>
  <si>
    <t>三元乙丙橡胶</t>
  </si>
  <si>
    <t>车载液晶显示器</t>
  </si>
  <si>
    <t>台</t>
  </si>
  <si>
    <t>紧固件</t>
  </si>
  <si>
    <t>RMA汇总</t>
  </si>
  <si>
    <t>物料编码</t>
  </si>
  <si>
    <t>物料名称</t>
  </si>
  <si>
    <t>物料单位</t>
  </si>
  <si>
    <t>OOCU6207383-RMA</t>
  </si>
  <si>
    <t>W-B-96RA</t>
  </si>
  <si>
    <t>塑料件</t>
  </si>
  <si>
    <t>F0103020024</t>
  </si>
  <si>
    <t>F0103020025</t>
  </si>
  <si>
    <t>4座j款成型地板革/ACTIV EV</t>
  </si>
  <si>
    <t>合计金额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</si>
</sst>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&quot;US$&quot;#,##0;\-&quot;US$&quot;#,##0"/>
    <numFmt numFmtId="178" formatCode="0.00_ "/>
  </numFmts>
  <fonts count="64">
    <font>
      <sz val="10"/>
      <name val="MS Sans Serif"/>
      <charset val="0"/>
    </font>
    <font>
      <b/>
      <sz val="18"/>
      <name val="MS Sans Serif"/>
      <charset val="0"/>
    </font>
    <font>
      <b/>
      <sz val="18"/>
      <name val="宋体"/>
      <charset val="0"/>
    </font>
    <font>
      <sz val="18"/>
      <name val="MS Sans Serif"/>
      <charset val="0"/>
    </font>
    <font>
      <sz val="18"/>
      <name val="宋体"/>
      <charset val="0"/>
    </font>
    <font>
      <sz val="18"/>
      <color rgb="FFFF0000"/>
      <name val="MS Sans Serif"/>
      <charset val="0"/>
    </font>
    <font>
      <sz val="18"/>
      <color rgb="FF000000"/>
      <name val="宋体"/>
      <charset val="134"/>
      <scheme val="minor"/>
    </font>
    <font>
      <sz val="18"/>
      <color rgb="FF000000"/>
      <name val="等线"/>
      <charset val="134"/>
    </font>
    <font>
      <sz val="20"/>
      <color rgb="FF000000"/>
      <name val="等线"/>
      <charset val="134"/>
    </font>
    <font>
      <sz val="14"/>
      <color theme="1"/>
      <name val="宋体"/>
      <charset val="134"/>
      <scheme val="minor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sz val="10"/>
      <color rgb="FFFF0000"/>
      <name val="MS Sans Serif"/>
      <charset val="0"/>
    </font>
    <font>
      <b/>
      <sz val="10"/>
      <name val="宋体"/>
      <charset val="134"/>
      <scheme val="minor"/>
    </font>
    <font>
      <b/>
      <sz val="9"/>
      <name val="宋体"/>
      <charset val="134"/>
      <scheme val="minor"/>
    </font>
    <font>
      <sz val="10"/>
      <name val="宋体"/>
      <charset val="0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sz val="10"/>
      <color rgb="FF00B050"/>
      <name val="MS Sans Serif"/>
      <charset val="0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u/>
      <sz val="10"/>
      <color indexed="12"/>
      <name val="MS Sans Serif"/>
      <charset val="0"/>
    </font>
    <font>
      <u/>
      <sz val="10"/>
      <color indexed="14"/>
      <name val="MS Sans Serif"/>
      <charset val="0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indexed="60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20"/>
      <name val="宋体"/>
      <charset val="134"/>
    </font>
    <font>
      <sz val="10"/>
      <color indexed="0"/>
      <name val="宋体"/>
      <charset val="134"/>
    </font>
    <font>
      <u/>
      <sz val="12"/>
      <color indexed="12"/>
      <name val="宋体"/>
      <charset val="134"/>
    </font>
    <font>
      <sz val="11"/>
      <color indexed="10"/>
      <name val="宋体"/>
      <charset val="134"/>
    </font>
  </fonts>
  <fills count="5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auto="1"/>
      </bottom>
      <diagonal/>
    </border>
    <border>
      <left/>
      <right/>
      <top style="medium">
        <color indexed="8"/>
      </top>
      <bottom style="medium">
        <color auto="1"/>
      </bottom>
      <diagonal/>
    </border>
    <border>
      <left/>
      <right style="medium">
        <color indexed="8"/>
      </right>
      <top style="medium">
        <color indexed="8"/>
      </top>
      <bottom style="medium">
        <color auto="1"/>
      </bottom>
      <diagonal/>
    </border>
    <border>
      <left style="medium">
        <color indexed="8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8"/>
      </left>
      <right/>
      <top/>
      <bottom style="medium">
        <color auto="1"/>
      </bottom>
      <diagonal/>
    </border>
    <border>
      <left/>
      <right style="medium">
        <color indexed="8"/>
      </right>
      <top/>
      <bottom style="medium">
        <color auto="1"/>
      </bottom>
      <diagonal/>
    </border>
    <border>
      <left style="medium">
        <color indexed="8"/>
      </left>
      <right/>
      <top style="medium">
        <color auto="1"/>
      </top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8"/>
      </right>
      <top style="medium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auto="1"/>
      </left>
      <right style="medium">
        <color indexed="8"/>
      </right>
      <top/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</borders>
  <cellStyleXfs count="337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6" borderId="6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6" applyNumberFormat="0" applyFill="0" applyAlignment="0" applyProtection="0">
      <alignment vertical="center"/>
    </xf>
    <xf numFmtId="0" fontId="32" fillId="0" borderId="66" applyNumberFormat="0" applyFill="0" applyAlignment="0" applyProtection="0">
      <alignment vertical="center"/>
    </xf>
    <xf numFmtId="0" fontId="33" fillId="0" borderId="6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68" applyNumberFormat="0" applyAlignment="0" applyProtection="0">
      <alignment vertical="center"/>
    </xf>
    <xf numFmtId="0" fontId="35" fillId="8" borderId="69" applyNumberFormat="0" applyAlignment="0" applyProtection="0">
      <alignment vertical="center"/>
    </xf>
    <xf numFmtId="0" fontId="36" fillId="8" borderId="68" applyNumberFormat="0" applyAlignment="0" applyProtection="0">
      <alignment vertical="center"/>
    </xf>
    <xf numFmtId="0" fontId="37" fillId="9" borderId="70" applyNumberFormat="0" applyAlignment="0" applyProtection="0">
      <alignment vertical="center"/>
    </xf>
    <xf numFmtId="0" fontId="38" fillId="0" borderId="71" applyNumberFormat="0" applyFill="0" applyAlignment="0" applyProtection="0">
      <alignment vertical="center"/>
    </xf>
    <xf numFmtId="0" fontId="39" fillId="0" borderId="72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14" fillId="0" borderId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73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0" fillId="38" borderId="74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14" fillId="0" borderId="0"/>
    <xf numFmtId="0" fontId="47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14" fillId="45" borderId="75" applyNumberFormat="0" applyFont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1" fillId="0" borderId="76" applyNumberFormat="0" applyFill="0" applyAlignment="0" applyProtection="0">
      <alignment vertical="center"/>
    </xf>
    <xf numFmtId="0" fontId="52" fillId="46" borderId="73" applyNumberFormat="0" applyAlignment="0" applyProtection="0">
      <alignment vertical="center"/>
    </xf>
    <xf numFmtId="0" fontId="50" fillId="38" borderId="74" applyNumberFormat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4" fillId="0" borderId="77" applyNumberFormat="0" applyFill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0" fillId="38" borderId="74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0" fillId="38" borderId="74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0" fillId="38" borderId="74" applyNumberFormat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51" fillId="0" borderId="76" applyNumberFormat="0" applyFill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4" fillId="0" borderId="0">
      <alignment vertical="center"/>
    </xf>
    <xf numFmtId="0" fontId="45" fillId="44" borderId="0" applyNumberFormat="0" applyBorder="0" applyAlignment="0" applyProtection="0">
      <alignment vertical="center"/>
    </xf>
    <xf numFmtId="0" fontId="14" fillId="0" borderId="0">
      <alignment vertical="center"/>
    </xf>
    <xf numFmtId="0" fontId="45" fillId="44" borderId="0" applyNumberFormat="0" applyBorder="0" applyAlignment="0" applyProtection="0">
      <alignment vertical="center"/>
    </xf>
    <xf numFmtId="0" fontId="14" fillId="0" borderId="0">
      <alignment vertical="center"/>
    </xf>
    <xf numFmtId="0" fontId="45" fillId="44" borderId="0" applyNumberFormat="0" applyBorder="0" applyAlignment="0" applyProtection="0">
      <alignment vertical="center"/>
    </xf>
    <xf numFmtId="0" fontId="54" fillId="0" borderId="77" applyNumberFormat="0" applyFill="0" applyAlignment="0" applyProtection="0">
      <alignment vertical="center"/>
    </xf>
    <xf numFmtId="0" fontId="14" fillId="0" borderId="0">
      <alignment vertical="center"/>
    </xf>
    <xf numFmtId="0" fontId="45" fillId="44" borderId="0" applyNumberFormat="0" applyBorder="0" applyAlignment="0" applyProtection="0">
      <alignment vertical="center"/>
    </xf>
    <xf numFmtId="0" fontId="14" fillId="0" borderId="0">
      <alignment vertical="center"/>
    </xf>
    <xf numFmtId="0" fontId="45" fillId="44" borderId="0" applyNumberFormat="0" applyBorder="0" applyAlignment="0" applyProtection="0">
      <alignment vertical="center"/>
    </xf>
    <xf numFmtId="0" fontId="14" fillId="0" borderId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2" fillId="46" borderId="73" applyNumberFormat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6" fillId="38" borderId="73" applyNumberFormat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6" fillId="38" borderId="73" applyNumberFormat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6" fillId="38" borderId="73" applyNumberFormat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6" fillId="38" borderId="73" applyNumberFormat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55" fillId="0" borderId="78" applyNumberFormat="0" applyFill="0" applyAlignment="0" applyProtection="0">
      <alignment vertical="center"/>
    </xf>
    <xf numFmtId="0" fontId="56" fillId="55" borderId="79" applyNumberFormat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56" fillId="55" borderId="79" applyNumberFormat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56" fillId="55" borderId="79" applyNumberFormat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56" fillId="55" borderId="79" applyNumberFormat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4" fillId="0" borderId="0">
      <alignment vertical="center"/>
    </xf>
    <xf numFmtId="0" fontId="49" fillId="42" borderId="0" applyNumberFormat="0" applyBorder="0" applyAlignment="0" applyProtection="0">
      <alignment vertical="center"/>
    </xf>
    <xf numFmtId="0" fontId="58" fillId="0" borderId="80" applyNumberFormat="0" applyFill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50" fillId="38" borderId="74" applyNumberFormat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9" fillId="0" borderId="81" applyNumberFormat="0" applyFill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51" fillId="0" borderId="76" applyNumberFormat="0" applyFill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0" fontId="59" fillId="0" borderId="81" applyNumberFormat="0" applyFill="0" applyAlignment="0" applyProtection="0">
      <alignment vertical="center"/>
    </xf>
    <xf numFmtId="0" fontId="59" fillId="0" borderId="81" applyNumberFormat="0" applyFill="0" applyAlignment="0" applyProtection="0">
      <alignment vertical="center"/>
    </xf>
    <xf numFmtId="0" fontId="59" fillId="0" borderId="81" applyNumberFormat="0" applyFill="0" applyAlignment="0" applyProtection="0">
      <alignment vertical="center"/>
    </xf>
    <xf numFmtId="0" fontId="59" fillId="0" borderId="81" applyNumberFormat="0" applyFill="0" applyAlignment="0" applyProtection="0">
      <alignment vertical="center"/>
    </xf>
    <xf numFmtId="0" fontId="59" fillId="0" borderId="81" applyNumberFormat="0" applyFill="0" applyAlignment="0" applyProtection="0">
      <alignment vertical="center"/>
    </xf>
    <xf numFmtId="0" fontId="58" fillId="0" borderId="80" applyNumberFormat="0" applyFill="0" applyAlignment="0" applyProtection="0">
      <alignment vertical="center"/>
    </xf>
    <xf numFmtId="0" fontId="58" fillId="0" borderId="80" applyNumberFormat="0" applyFill="0" applyAlignment="0" applyProtection="0">
      <alignment vertical="center"/>
    </xf>
    <xf numFmtId="0" fontId="58" fillId="0" borderId="80" applyNumberFormat="0" applyFill="0" applyAlignment="0" applyProtection="0">
      <alignment vertical="center"/>
    </xf>
    <xf numFmtId="0" fontId="58" fillId="0" borderId="80" applyNumberFormat="0" applyFill="0" applyAlignment="0" applyProtection="0">
      <alignment vertical="center"/>
    </xf>
    <xf numFmtId="0" fontId="14" fillId="0" borderId="0">
      <alignment vertical="center"/>
    </xf>
    <xf numFmtId="0" fontId="58" fillId="0" borderId="80" applyNumberFormat="0" applyFill="0" applyAlignment="0" applyProtection="0">
      <alignment vertical="center"/>
    </xf>
    <xf numFmtId="0" fontId="54" fillId="0" borderId="77" applyNumberFormat="0" applyFill="0" applyAlignment="0" applyProtection="0">
      <alignment vertical="center"/>
    </xf>
    <xf numFmtId="0" fontId="54" fillId="0" borderId="77" applyNumberFormat="0" applyFill="0" applyAlignment="0" applyProtection="0">
      <alignment vertical="center"/>
    </xf>
    <xf numFmtId="0" fontId="54" fillId="0" borderId="77" applyNumberFormat="0" applyFill="0" applyAlignment="0" applyProtection="0">
      <alignment vertical="center"/>
    </xf>
    <xf numFmtId="0" fontId="54" fillId="0" borderId="77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1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1" fillId="0" borderId="76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9" fillId="47" borderId="0" applyNumberFormat="0" applyBorder="0" applyAlignment="0" applyProtection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/>
    <xf numFmtId="0" fontId="14" fillId="45" borderId="75" applyNumberFormat="0" applyFont="0" applyAlignment="0" applyProtection="0">
      <alignment vertical="center"/>
    </xf>
    <xf numFmtId="0" fontId="0" fillId="0" borderId="0"/>
    <xf numFmtId="0" fontId="14" fillId="0" borderId="0"/>
    <xf numFmtId="0" fontId="14" fillId="0" borderId="0"/>
    <xf numFmtId="0" fontId="61" fillId="0" borderId="0">
      <alignment vertical="center"/>
    </xf>
    <xf numFmtId="0" fontId="57" fillId="40" borderId="0" applyNumberFormat="0" applyBorder="0" applyAlignment="0" applyProtection="0">
      <alignment vertical="center"/>
    </xf>
    <xf numFmtId="0" fontId="61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57" fillId="40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5" fillId="0" borderId="78" applyNumberFormat="0" applyFill="0" applyAlignment="0" applyProtection="0">
      <alignment vertical="center"/>
    </xf>
    <xf numFmtId="0" fontId="55" fillId="0" borderId="78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5" fillId="0" borderId="78" applyNumberFormat="0" applyFill="0" applyAlignment="0" applyProtection="0">
      <alignment vertical="center"/>
    </xf>
    <xf numFmtId="0" fontId="55" fillId="0" borderId="78" applyNumberFormat="0" applyFill="0" applyAlignment="0" applyProtection="0">
      <alignment vertical="center"/>
    </xf>
    <xf numFmtId="0" fontId="55" fillId="0" borderId="78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46" fillId="38" borderId="73" applyNumberFormat="0" applyAlignment="0" applyProtection="0">
      <alignment vertical="center"/>
    </xf>
    <xf numFmtId="0" fontId="56" fillId="55" borderId="79" applyNumberFormat="0" applyAlignment="0" applyProtection="0">
      <alignment vertical="center"/>
    </xf>
    <xf numFmtId="0" fontId="56" fillId="55" borderId="79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1" fillId="0" borderId="76" applyNumberFormat="0" applyFill="0" applyAlignment="0" applyProtection="0">
      <alignment vertical="center"/>
    </xf>
    <xf numFmtId="0" fontId="14" fillId="45" borderId="75" applyNumberFormat="0" applyFont="0" applyAlignment="0" applyProtection="0">
      <alignment vertical="center"/>
    </xf>
    <xf numFmtId="0" fontId="51" fillId="0" borderId="76" applyNumberFormat="0" applyFill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52" fillId="46" borderId="73" applyNumberFormat="0" applyAlignment="0" applyProtection="0">
      <alignment vertical="center"/>
    </xf>
    <xf numFmtId="0" fontId="52" fillId="46" borderId="73" applyNumberFormat="0" applyAlignment="0" applyProtection="0">
      <alignment vertical="center"/>
    </xf>
    <xf numFmtId="0" fontId="52" fillId="46" borderId="73" applyNumberFormat="0" applyAlignment="0" applyProtection="0">
      <alignment vertical="center"/>
    </xf>
    <xf numFmtId="0" fontId="52" fillId="46" borderId="73" applyNumberFormat="0" applyAlignment="0" applyProtection="0">
      <alignment vertical="center"/>
    </xf>
    <xf numFmtId="0" fontId="14" fillId="45" borderId="75" applyNumberFormat="0" applyFont="0" applyAlignment="0" applyProtection="0">
      <alignment vertical="center"/>
    </xf>
    <xf numFmtId="0" fontId="14" fillId="45" borderId="75" applyNumberFormat="0" applyFont="0" applyAlignment="0" applyProtection="0">
      <alignment vertical="center"/>
    </xf>
    <xf numFmtId="0" fontId="14" fillId="45" borderId="75" applyNumberFormat="0" applyFont="0" applyAlignment="0" applyProtection="0">
      <alignment vertical="center"/>
    </xf>
    <xf numFmtId="0" fontId="14" fillId="45" borderId="75" applyNumberFormat="0" applyFont="0" applyAlignment="0" applyProtection="0">
      <alignment vertical="center"/>
    </xf>
    <xf numFmtId="0" fontId="14" fillId="45" borderId="75" applyNumberFormat="0" applyFont="0" applyAlignment="0" applyProtection="0">
      <alignment vertical="center"/>
    </xf>
  </cellStyleXfs>
  <cellXfs count="153">
    <xf numFmtId="0" fontId="0" fillId="0" borderId="0" xfId="0"/>
    <xf numFmtId="176" fontId="0" fillId="0" borderId="0" xfId="0" applyNumberFormat="1"/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0" xfId="0" applyFont="1"/>
    <xf numFmtId="176" fontId="5" fillId="0" borderId="1" xfId="0" applyNumberFormat="1" applyFont="1" applyBorder="1" applyAlignment="1">
      <alignment horizontal="center"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8" fontId="8" fillId="2" borderId="2" xfId="0" applyNumberFormat="1" applyFont="1" applyFill="1" applyBorder="1" applyAlignment="1">
      <alignment horizontal="center" vertical="center"/>
    </xf>
    <xf numFmtId="176" fontId="7" fillId="2" borderId="0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center"/>
    </xf>
    <xf numFmtId="0" fontId="11" fillId="0" borderId="4" xfId="246" applyFont="1" applyBorder="1" applyAlignment="1">
      <alignment horizontal="center" vertical="center"/>
    </xf>
    <xf numFmtId="0" fontId="12" fillId="3" borderId="5" xfId="246" applyFont="1" applyFill="1" applyBorder="1" applyAlignment="1">
      <alignment horizontal="center" vertical="center"/>
    </xf>
    <xf numFmtId="0" fontId="11" fillId="0" borderId="5" xfId="246" applyFont="1" applyBorder="1" applyAlignment="1">
      <alignment horizontal="center" vertical="center"/>
    </xf>
    <xf numFmtId="0" fontId="11" fillId="0" borderId="6" xfId="246" applyFont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178" fontId="13" fillId="3" borderId="18" xfId="0" applyNumberFormat="1" applyFont="1" applyFill="1" applyBorder="1" applyAlignment="1">
      <alignment horizontal="center" vertical="center" wrapText="1"/>
    </xf>
    <xf numFmtId="178" fontId="13" fillId="3" borderId="19" xfId="0" applyNumberFormat="1" applyFont="1" applyFill="1" applyBorder="1" applyAlignment="1">
      <alignment horizontal="center" vertical="center" wrapText="1"/>
    </xf>
    <xf numFmtId="178" fontId="13" fillId="3" borderId="20" xfId="0" applyNumberFormat="1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 wrapText="1"/>
    </xf>
    <xf numFmtId="178" fontId="13" fillId="3" borderId="12" xfId="0" applyNumberFormat="1" applyFont="1" applyFill="1" applyBorder="1" applyAlignment="1">
      <alignment horizontal="center" vertical="center" wrapText="1"/>
    </xf>
    <xf numFmtId="178" fontId="13" fillId="3" borderId="0" xfId="0" applyNumberFormat="1" applyFont="1" applyFill="1" applyAlignment="1">
      <alignment horizontal="center" vertical="center" wrapText="1"/>
    </xf>
    <xf numFmtId="178" fontId="13" fillId="3" borderId="23" xfId="0" applyNumberFormat="1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/>
    </xf>
    <xf numFmtId="178" fontId="13" fillId="3" borderId="4" xfId="0" applyNumberFormat="1" applyFont="1" applyFill="1" applyBorder="1" applyAlignment="1">
      <alignment horizontal="center" vertical="center" wrapText="1"/>
    </xf>
    <xf numFmtId="178" fontId="13" fillId="3" borderId="5" xfId="0" applyNumberFormat="1" applyFont="1" applyFill="1" applyBorder="1" applyAlignment="1">
      <alignment horizontal="center" vertical="center" wrapText="1"/>
    </xf>
    <xf numFmtId="178" fontId="13" fillId="3" borderId="6" xfId="0" applyNumberFormat="1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178" fontId="13" fillId="3" borderId="16" xfId="0" applyNumberFormat="1" applyFont="1" applyFill="1" applyBorder="1" applyAlignment="1">
      <alignment horizontal="center" vertical="center" wrapText="1"/>
    </xf>
    <xf numFmtId="178" fontId="13" fillId="3" borderId="17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178" fontId="13" fillId="3" borderId="32" xfId="0" applyNumberFormat="1" applyFont="1" applyFill="1" applyBorder="1" applyAlignment="1">
      <alignment horizontal="center" vertical="center" wrapText="1"/>
    </xf>
    <xf numFmtId="178" fontId="13" fillId="3" borderId="33" xfId="0" applyNumberFormat="1" applyFont="1" applyFill="1" applyBorder="1" applyAlignment="1">
      <alignment horizontal="center" vertical="center" wrapText="1"/>
    </xf>
    <xf numFmtId="178" fontId="15" fillId="3" borderId="17" xfId="0" applyNumberFormat="1" applyFont="1" applyFill="1" applyBorder="1" applyAlignment="1">
      <alignment horizontal="center" vertical="center" wrapText="1"/>
    </xf>
    <xf numFmtId="0" fontId="17" fillId="3" borderId="34" xfId="246" applyFont="1" applyFill="1" applyBorder="1" applyAlignment="1">
      <alignment horizontal="center" vertical="center"/>
    </xf>
    <xf numFmtId="0" fontId="17" fillId="3" borderId="35" xfId="246" applyFont="1" applyFill="1" applyBorder="1" applyAlignment="1">
      <alignment horizontal="center" vertical="center"/>
    </xf>
    <xf numFmtId="0" fontId="15" fillId="3" borderId="35" xfId="246" applyFont="1" applyFill="1" applyBorder="1" applyAlignment="1">
      <alignment horizontal="center" vertical="center"/>
    </xf>
    <xf numFmtId="0" fontId="17" fillId="3" borderId="36" xfId="246" applyFont="1" applyFill="1" applyBorder="1" applyAlignment="1">
      <alignment horizontal="center" vertical="center"/>
    </xf>
    <xf numFmtId="0" fontId="17" fillId="3" borderId="37" xfId="246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0" xfId="0" applyFont="1" applyFill="1" applyBorder="1" applyAlignment="1"/>
    <xf numFmtId="0" fontId="10" fillId="3" borderId="38" xfId="0" applyFont="1" applyFill="1" applyBorder="1" applyAlignment="1">
      <alignment horizontal="center" vertical="center"/>
    </xf>
    <xf numFmtId="0" fontId="20" fillId="3" borderId="39" xfId="0" applyNumberFormat="1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 wrapText="1"/>
    </xf>
    <xf numFmtId="0" fontId="10" fillId="3" borderId="41" xfId="0" applyFont="1" applyFill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2" fillId="0" borderId="0" xfId="0" applyFont="1" applyFill="1" applyBorder="1" applyAlignment="1"/>
    <xf numFmtId="0" fontId="10" fillId="3" borderId="42" xfId="0" applyFont="1" applyFill="1" applyBorder="1" applyAlignment="1">
      <alignment horizontal="center" vertical="center"/>
    </xf>
    <xf numFmtId="0" fontId="2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58" fontId="10" fillId="3" borderId="2" xfId="0" applyNumberFormat="1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0" fillId="3" borderId="48" xfId="0" applyFont="1" applyFill="1" applyBorder="1" applyAlignment="1">
      <alignment horizontal="center" vertical="center" wrapText="1"/>
    </xf>
    <xf numFmtId="0" fontId="10" fillId="3" borderId="49" xfId="0" applyFont="1" applyFill="1" applyBorder="1" applyAlignment="1">
      <alignment horizontal="center" vertical="center" wrapText="1"/>
    </xf>
    <xf numFmtId="0" fontId="10" fillId="3" borderId="1" xfId="0" applyNumberFormat="1" applyFont="1" applyFill="1" applyBorder="1" applyAlignment="1">
      <alignment horizontal="center" vertical="center"/>
    </xf>
    <xf numFmtId="0" fontId="20" fillId="3" borderId="1" xfId="0" applyNumberFormat="1" applyFont="1" applyFill="1" applyBorder="1" applyAlignment="1" applyProtection="1">
      <alignment horizontal="center" vertical="center"/>
    </xf>
    <xf numFmtId="0" fontId="10" fillId="3" borderId="1" xfId="0" applyNumberFormat="1" applyFont="1" applyFill="1" applyBorder="1" applyAlignment="1" applyProtection="1">
      <alignment horizontal="center" vertical="center"/>
    </xf>
    <xf numFmtId="0" fontId="20" fillId="3" borderId="1" xfId="262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0" fillId="3" borderId="1" xfId="262" applyNumberFormat="1" applyFont="1" applyFill="1" applyBorder="1" applyAlignment="1">
      <alignment horizontal="center" vertical="center"/>
    </xf>
    <xf numFmtId="0" fontId="10" fillId="3" borderId="50" xfId="0" applyFont="1" applyFill="1" applyBorder="1" applyAlignment="1">
      <alignment horizontal="center" vertical="center"/>
    </xf>
    <xf numFmtId="0" fontId="10" fillId="3" borderId="51" xfId="0" applyNumberFormat="1" applyFont="1" applyFill="1" applyBorder="1" applyAlignment="1">
      <alignment horizontal="center" vertical="center"/>
    </xf>
    <xf numFmtId="0" fontId="10" fillId="3" borderId="51" xfId="0" applyFont="1" applyFill="1" applyBorder="1" applyAlignment="1">
      <alignment horizontal="center" vertical="center"/>
    </xf>
    <xf numFmtId="0" fontId="23" fillId="3" borderId="51" xfId="0" applyFont="1" applyFill="1" applyBorder="1" applyAlignment="1">
      <alignment horizontal="center" vertical="center"/>
    </xf>
    <xf numFmtId="0" fontId="24" fillId="3" borderId="51" xfId="0" applyFont="1" applyFill="1" applyBorder="1" applyAlignment="1">
      <alignment horizontal="center" vertical="center" wrapText="1"/>
    </xf>
    <xf numFmtId="0" fontId="23" fillId="3" borderId="51" xfId="0" applyNumberFormat="1" applyFont="1" applyFill="1" applyBorder="1" applyAlignment="1">
      <alignment horizontal="center" vertical="center" wrapText="1"/>
    </xf>
    <xf numFmtId="0" fontId="23" fillId="3" borderId="48" xfId="0" applyFont="1" applyFill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/>
    </xf>
    <xf numFmtId="0" fontId="24" fillId="3" borderId="35" xfId="0" applyFont="1" applyFill="1" applyBorder="1" applyAlignment="1">
      <alignment horizontal="center" vertical="center" wrapText="1"/>
    </xf>
    <xf numFmtId="0" fontId="23" fillId="3" borderId="35" xfId="0" applyNumberFormat="1" applyFont="1" applyFill="1" applyBorder="1" applyAlignment="1">
      <alignment horizontal="center" vertical="center" wrapText="1"/>
    </xf>
    <xf numFmtId="0" fontId="23" fillId="3" borderId="35" xfId="0" applyFont="1" applyFill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3" borderId="36" xfId="0" applyFont="1" applyFill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/>
    </xf>
    <xf numFmtId="0" fontId="23" fillId="3" borderId="54" xfId="0" applyFont="1" applyFill="1" applyBorder="1" applyAlignment="1">
      <alignment horizontal="center" vertical="center" wrapText="1"/>
    </xf>
    <xf numFmtId="0" fontId="23" fillId="3" borderId="54" xfId="0" applyNumberFormat="1" applyFont="1" applyFill="1" applyBorder="1" applyAlignment="1">
      <alignment horizontal="center" vertical="center" wrapText="1"/>
    </xf>
    <xf numFmtId="0" fontId="23" fillId="3" borderId="45" xfId="246" applyFont="1" applyFill="1" applyBorder="1" applyAlignment="1">
      <alignment horizontal="center" vertical="center" wrapText="1"/>
    </xf>
    <xf numFmtId="0" fontId="23" fillId="3" borderId="35" xfId="0" applyFont="1" applyFill="1" applyBorder="1" applyAlignment="1">
      <alignment horizontal="center" vertical="center" wrapText="1"/>
    </xf>
    <xf numFmtId="0" fontId="23" fillId="3" borderId="36" xfId="246" applyFont="1" applyFill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/>
    </xf>
    <xf numFmtId="0" fontId="23" fillId="3" borderId="39" xfId="0" applyFont="1" applyFill="1" applyBorder="1" applyAlignment="1">
      <alignment horizontal="center" vertical="center" wrapText="1"/>
    </xf>
    <xf numFmtId="0" fontId="24" fillId="3" borderId="39" xfId="0" applyNumberFormat="1" applyFont="1" applyFill="1" applyBorder="1" applyAlignment="1">
      <alignment horizontal="center" vertical="center" wrapText="1"/>
    </xf>
    <xf numFmtId="0" fontId="23" fillId="3" borderId="39" xfId="0" applyNumberFormat="1" applyFont="1" applyFill="1" applyBorder="1" applyAlignment="1">
      <alignment horizontal="center" vertical="center" wrapText="1"/>
    </xf>
    <xf numFmtId="0" fontId="23" fillId="3" borderId="56" xfId="246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/>
    </xf>
    <xf numFmtId="0" fontId="23" fillId="3" borderId="51" xfId="0" applyFont="1" applyFill="1" applyBorder="1" applyAlignment="1">
      <alignment horizontal="center" vertical="center" wrapText="1"/>
    </xf>
    <xf numFmtId="0" fontId="23" fillId="3" borderId="58" xfId="246" applyFont="1" applyFill="1" applyBorder="1" applyAlignment="1">
      <alignment horizontal="center" vertical="center" wrapText="1"/>
    </xf>
    <xf numFmtId="0" fontId="15" fillId="0" borderId="59" xfId="0" applyFont="1" applyBorder="1" applyAlignment="1">
      <alignment horizontal="center" vertical="center" wrapText="1"/>
    </xf>
    <xf numFmtId="0" fontId="10" fillId="0" borderId="60" xfId="0" applyFont="1" applyBorder="1" applyAlignment="1">
      <alignment horizontal="center" vertical="center"/>
    </xf>
    <xf numFmtId="0" fontId="23" fillId="3" borderId="61" xfId="0" applyNumberFormat="1" applyFont="1" applyFill="1" applyBorder="1" applyAlignment="1">
      <alignment horizontal="center" vertical="center" wrapText="1"/>
    </xf>
    <xf numFmtId="0" fontId="23" fillId="0" borderId="61" xfId="0" applyNumberFormat="1" applyFont="1" applyFill="1" applyBorder="1" applyAlignment="1">
      <alignment horizontal="center" vertical="center"/>
    </xf>
    <xf numFmtId="0" fontId="23" fillId="3" borderId="62" xfId="246" applyFont="1" applyFill="1" applyBorder="1" applyAlignment="1">
      <alignment horizontal="center" vertical="center" wrapText="1"/>
    </xf>
    <xf numFmtId="0" fontId="10" fillId="3" borderId="63" xfId="0" applyFont="1" applyFill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0" fillId="3" borderId="1" xfId="0" applyNumberFormat="1" applyFont="1" applyFill="1" applyBorder="1" applyAlignment="1" quotePrefix="1">
      <alignment horizontal="center" vertical="center"/>
    </xf>
    <xf numFmtId="0" fontId="20" fillId="3" borderId="1" xfId="0" applyNumberFormat="1" applyFont="1" applyFill="1" applyBorder="1" applyAlignment="1" applyProtection="1" quotePrefix="1">
      <alignment horizontal="center" vertical="center"/>
    </xf>
    <xf numFmtId="0" fontId="10" fillId="3" borderId="1" xfId="0" applyNumberFormat="1" applyFont="1" applyFill="1" applyBorder="1" applyAlignment="1" applyProtection="1" quotePrefix="1">
      <alignment horizontal="center" vertical="center"/>
    </xf>
    <xf numFmtId="0" fontId="20" fillId="3" borderId="1" xfId="0" applyNumberFormat="1" applyFont="1" applyFill="1" applyBorder="1" applyAlignment="1" quotePrefix="1">
      <alignment horizontal="center" vertical="center"/>
    </xf>
    <xf numFmtId="0" fontId="23" fillId="3" borderId="51" xfId="0" applyNumberFormat="1" applyFont="1" applyFill="1" applyBorder="1" applyAlignment="1" quotePrefix="1">
      <alignment horizontal="center" vertical="center" wrapText="1"/>
    </xf>
    <xf numFmtId="0" fontId="23" fillId="3" borderId="35" xfId="0" applyNumberFormat="1" applyFont="1" applyFill="1" applyBorder="1" applyAlignment="1" quotePrefix="1">
      <alignment horizontal="center" vertical="center" wrapText="1"/>
    </xf>
    <xf numFmtId="0" fontId="23" fillId="3" borderId="61" xfId="0" applyNumberFormat="1" applyFont="1" applyFill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33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4" xfId="49"/>
    <cellStyle name="20% - 强调文字颜色 1 2" xfId="50"/>
    <cellStyle name="计算 2" xfId="51"/>
    <cellStyle name="解释性文本 2 3" xfId="52"/>
    <cellStyle name="标题 5" xfId="53"/>
    <cellStyle name="20% - 强调文字颜色 1 2 2 2" xfId="54"/>
    <cellStyle name="强调文字颜色 4 2 2 3" xfId="55"/>
    <cellStyle name="20% - 强调文字颜色 3 2 2" xfId="56"/>
    <cellStyle name="60% - 强调文字颜色 4 2 2 2" xfId="57"/>
    <cellStyle name="输出 2 2 2" xfId="58"/>
    <cellStyle name="20% - 强调文字颜色 2 2 2" xfId="59"/>
    <cellStyle name="常规 6" xfId="60"/>
    <cellStyle name="解释性文本 2 2" xfId="61"/>
    <cellStyle name="常规 5 2" xfId="62"/>
    <cellStyle name="60% - 强调文字颜色 2 2 2" xfId="63"/>
    <cellStyle name="强调文字颜色 1 2 3" xfId="64"/>
    <cellStyle name="60% - 强调文字颜色 2 2 2 2" xfId="65"/>
    <cellStyle name="60% - 强调文字颜色 2 2 2 3" xfId="66"/>
    <cellStyle name="40% - 强调文字颜色 4 2" xfId="67"/>
    <cellStyle name="注释 2 3" xfId="68"/>
    <cellStyle name="60% - 强调文字颜色 4 2 3" xfId="69"/>
    <cellStyle name="链接单元格 2 2 3" xfId="70"/>
    <cellStyle name="输入 2 2 2 2" xfId="71"/>
    <cellStyle name="输出 2" xfId="72"/>
    <cellStyle name="60% - 强调文字颜色 5 2 2 2" xfId="73"/>
    <cellStyle name="60% - 强调文字颜色 5 2 2 3" xfId="74"/>
    <cellStyle name="适中 2" xfId="75"/>
    <cellStyle name="20% - 强调文字颜色 1 2 2 3" xfId="76"/>
    <cellStyle name="20% - 强调文字颜色 1 2 3" xfId="77"/>
    <cellStyle name="40% - 强调文字颜色 2 2" xfId="78"/>
    <cellStyle name="20% - 强调文字颜色 2 2 2 2 2" xfId="79"/>
    <cellStyle name="标题 3 2 3" xfId="80"/>
    <cellStyle name="20% - 强调文字颜色 3 2" xfId="81"/>
    <cellStyle name="20% - 强调文字颜色 1 2 2" xfId="82"/>
    <cellStyle name="20% - 强调文字颜色 3 2 2 2" xfId="83"/>
    <cellStyle name="20% - 强调文字颜色 1 2 2 2 2" xfId="84"/>
    <cellStyle name="标题 5 2" xfId="85"/>
    <cellStyle name="强调文字颜色 6 2 2 3" xfId="86"/>
    <cellStyle name="20% - 强调文字颜色 2 2" xfId="87"/>
    <cellStyle name="输出 2 2" xfId="88"/>
    <cellStyle name="20% - 强调文字颜色 2 2 2 2" xfId="89"/>
    <cellStyle name="输出 2 2 2 2" xfId="90"/>
    <cellStyle name="20% - 强调文字颜色 2 2 2 3" xfId="91"/>
    <cellStyle name="20% - 强调文字颜色 2 2 3" xfId="92"/>
    <cellStyle name="输出 2 2 3" xfId="93"/>
    <cellStyle name="20% - 强调文字颜色 3 2 2 2 2" xfId="94"/>
    <cellStyle name="链接单元格 2 3" xfId="95"/>
    <cellStyle name="20% - 强调文字颜色 3 2 2 3" xfId="96"/>
    <cellStyle name="强调文字颜色 2 2 2" xfId="97"/>
    <cellStyle name="20% - 强调文字颜色 3 2 3" xfId="98"/>
    <cellStyle name="20% - 强调文字颜色 4 2" xfId="99"/>
    <cellStyle name="常规 3" xfId="100"/>
    <cellStyle name="20% - 强调文字颜色 4 2 2" xfId="101"/>
    <cellStyle name="常规 3 2" xfId="102"/>
    <cellStyle name="20% - 强调文字颜色 4 2 2 2" xfId="103"/>
    <cellStyle name="常规 3 2 2" xfId="104"/>
    <cellStyle name="20% - 强调文字颜色 4 2 2 2 2" xfId="105"/>
    <cellStyle name="标题 3 2 2 3" xfId="106"/>
    <cellStyle name="常规 3 2 2 2" xfId="107"/>
    <cellStyle name="20% - 强调文字颜色 4 2 2 3" xfId="108"/>
    <cellStyle name="常规 3 2 3" xfId="109"/>
    <cellStyle name="20% - 强调文字颜色 4 2 3" xfId="110"/>
    <cellStyle name="常规 3 3" xfId="111"/>
    <cellStyle name="20% - 强调文字颜色 5 2" xfId="112"/>
    <cellStyle name="20% - 强调文字颜色 5 2 2" xfId="113"/>
    <cellStyle name="20% - 强调文字颜色 5 2 2 2" xfId="114"/>
    <cellStyle name="20% - 强调文字颜色 5 2 2 2 2" xfId="115"/>
    <cellStyle name="20% - 强调文字颜色 5 2 2 3" xfId="116"/>
    <cellStyle name="20% - 强调文字颜色 5 2 3" xfId="117"/>
    <cellStyle name="20% - 强调文字颜色 6 2" xfId="118"/>
    <cellStyle name="20% - 强调文字颜色 6 2 2" xfId="119"/>
    <cellStyle name="输入 2 2 3" xfId="120"/>
    <cellStyle name="20% - 强调文字颜色 6 2 2 2" xfId="121"/>
    <cellStyle name="20% - 强调文字颜色 6 2 2 2 2" xfId="122"/>
    <cellStyle name="20% - 强调文字颜色 6 2 2 3" xfId="123"/>
    <cellStyle name="20% - 强调文字颜色 6 2 3" xfId="124"/>
    <cellStyle name="40% - 强调文字颜色 1 2" xfId="125"/>
    <cellStyle name="40% - 强调文字颜色 1 2 2" xfId="126"/>
    <cellStyle name="40% - 强调文字颜色 6 2 2 3" xfId="127"/>
    <cellStyle name="40% - 强调文字颜色 1 2 2 2" xfId="128"/>
    <cellStyle name="40% - 强调文字颜色 1 2 2 2 2" xfId="129"/>
    <cellStyle name="40% - 强调文字颜色 4 2 3" xfId="130"/>
    <cellStyle name="40% - 强调文字颜色 1 2 2 3" xfId="131"/>
    <cellStyle name="40% - 强调文字颜色 1 2 3" xfId="132"/>
    <cellStyle name="40% - 强调文字颜色 2 2 2" xfId="133"/>
    <cellStyle name="40% - 强调文字颜色 2 2 2 2" xfId="134"/>
    <cellStyle name="40% - 强调文字颜色 2 2 2 2 2" xfId="135"/>
    <cellStyle name="40% - 强调文字颜色 2 2 2 3" xfId="136"/>
    <cellStyle name="60% - 强调文字颜色 5 2" xfId="137"/>
    <cellStyle name="40% - 强调文字颜色 2 2 3" xfId="138"/>
    <cellStyle name="40% - 强调文字颜色 3 2" xfId="139"/>
    <cellStyle name="计算 2 2" xfId="140"/>
    <cellStyle name="40% - 强调文字颜色 3 2 2" xfId="141"/>
    <cellStyle name="计算 2 2 2" xfId="142"/>
    <cellStyle name="40% - 强调文字颜色 3 2 2 2" xfId="143"/>
    <cellStyle name="计算 2 2 2 2" xfId="144"/>
    <cellStyle name="40% - 强调文字颜色 3 2 2 2 2" xfId="145"/>
    <cellStyle name="40% - 强调文字颜色 3 2 2 3" xfId="146"/>
    <cellStyle name="40% - 强调文字颜色 3 2 3" xfId="147"/>
    <cellStyle name="计算 2 2 3" xfId="148"/>
    <cellStyle name="40% - 强调文字颜色 4 2 2" xfId="149"/>
    <cellStyle name="汇总 2 3" xfId="150"/>
    <cellStyle name="检查单元格 2" xfId="151"/>
    <cellStyle name="40% - 强调文字颜色 4 2 2 2" xfId="152"/>
    <cellStyle name="检查单元格 2 2" xfId="153"/>
    <cellStyle name="40% - 强调文字颜色 4 2 2 2 2" xfId="154"/>
    <cellStyle name="40% - 强调文字颜色 5 2 2 3" xfId="155"/>
    <cellStyle name="检查单元格 2 2 2" xfId="156"/>
    <cellStyle name="40% - 强调文字颜色 4 2 2 3" xfId="157"/>
    <cellStyle name="检查单元格 2 3" xfId="158"/>
    <cellStyle name="40% - 强调文字颜色 5 2" xfId="159"/>
    <cellStyle name="60% - 强调文字颜色 5 2 2 2 2" xfId="160"/>
    <cellStyle name="好 2 3" xfId="161"/>
    <cellStyle name="40% - 强调文字颜色 5 2 2" xfId="162"/>
    <cellStyle name="40% - 强调文字颜色 5 2 2 2" xfId="163"/>
    <cellStyle name="40% - 强调文字颜色 5 2 2 2 2" xfId="164"/>
    <cellStyle name="40% - 强调文字颜色 5 2 3" xfId="165"/>
    <cellStyle name="40% - 强调文字颜色 6 2" xfId="166"/>
    <cellStyle name="适中 2 2" xfId="167"/>
    <cellStyle name="40% - 强调文字颜色 6 2 2" xfId="168"/>
    <cellStyle name="适中 2 2 2" xfId="169"/>
    <cellStyle name="40% - 强调文字颜色 6 2 2 2" xfId="170"/>
    <cellStyle name="适中 2 2 2 2" xfId="171"/>
    <cellStyle name="40% - 强调文字颜色 6 2 2 2 2" xfId="172"/>
    <cellStyle name="40% - 强调文字颜色 6 2 3" xfId="173"/>
    <cellStyle name="适中 2 2 3" xfId="174"/>
    <cellStyle name="60% - 强调文字颜色 1 2" xfId="175"/>
    <cellStyle name="60% - 强调文字颜色 1 2 2" xfId="176"/>
    <cellStyle name="60% - 强调文字颜色 1 2 2 2" xfId="177"/>
    <cellStyle name="60% - 强调文字颜色 1 2 2 2 2" xfId="178"/>
    <cellStyle name="60% - 强调文字颜色 1 2 2 3" xfId="179"/>
    <cellStyle name="强调文字颜色 4 2 2" xfId="180"/>
    <cellStyle name="60% - 强调文字颜色 1 2 3" xfId="181"/>
    <cellStyle name="60% - 强调文字颜色 2 2" xfId="182"/>
    <cellStyle name="常规 5" xfId="183"/>
    <cellStyle name="60% - 强调文字颜色 2 2 2 2 2" xfId="184"/>
    <cellStyle name="标题 2 2" xfId="185"/>
    <cellStyle name="60% - 强调文字颜色 2 2 3" xfId="186"/>
    <cellStyle name="60% - 强调文字颜色 3 2" xfId="187"/>
    <cellStyle name="60% - 强调文字颜色 3 2 2" xfId="188"/>
    <cellStyle name="强调文字颜色 2 2 3" xfId="189"/>
    <cellStyle name="60% - 强调文字颜色 3 2 2 2" xfId="190"/>
    <cellStyle name="输出 2 3" xfId="191"/>
    <cellStyle name="60% - 强调文字颜色 3 2 2 2 2" xfId="192"/>
    <cellStyle name="60% - 强调文字颜色 3 2 2 3" xfId="193"/>
    <cellStyle name="60% - 强调文字颜色 3 2 3" xfId="194"/>
    <cellStyle name="60% - 强调文字颜色 4 2" xfId="195"/>
    <cellStyle name="60% - 强调文字颜色 4 2 2" xfId="196"/>
    <cellStyle name="强调文字颜色 3 2 3" xfId="197"/>
    <cellStyle name="60% - 强调文字颜色 4 2 2 2 2" xfId="198"/>
    <cellStyle name="60% - 强调文字颜色 4 2 2 3" xfId="199"/>
    <cellStyle name="标题 1 2 2" xfId="200"/>
    <cellStyle name="60% - 强调文字颜色 5 2 2" xfId="201"/>
    <cellStyle name="强调文字颜色 4 2 3" xfId="202"/>
    <cellStyle name="60% - 强调文字颜色 5 2 3" xfId="203"/>
    <cellStyle name="链接单元格 2 2 2 2" xfId="204"/>
    <cellStyle name="60% - 强调文字颜色 6 2" xfId="205"/>
    <cellStyle name="60% - 强调文字颜色 6 2 2" xfId="206"/>
    <cellStyle name="强调文字颜色 5 2 3" xfId="207"/>
    <cellStyle name="60% - 强调文字颜色 6 2 2 2" xfId="208"/>
    <cellStyle name="60% - 强调文字颜色 6 2 2 2 2" xfId="209"/>
    <cellStyle name="差 2 3" xfId="210"/>
    <cellStyle name="60% - 强调文字颜色 6 2 2 3" xfId="211"/>
    <cellStyle name="60% - 强调文字颜色 6 2 3" xfId="212"/>
    <cellStyle name="标题 1 2" xfId="213"/>
    <cellStyle name="标题 1 2 2 2" xfId="214"/>
    <cellStyle name="标题 1 2 2 2 2" xfId="215"/>
    <cellStyle name="标题 1 2 2 3" xfId="216"/>
    <cellStyle name="标题 1 2 3" xfId="217"/>
    <cellStyle name="标题 2 2 2" xfId="218"/>
    <cellStyle name="标题 2 2 2 2" xfId="219"/>
    <cellStyle name="标题 2 2 2 2 2" xfId="220"/>
    <cellStyle name="标题 2 2 2 3" xfId="221"/>
    <cellStyle name="常规 2 2 2 2" xfId="222"/>
    <cellStyle name="标题 2 2 3" xfId="223"/>
    <cellStyle name="标题 3 2" xfId="224"/>
    <cellStyle name="标题 3 2 2" xfId="225"/>
    <cellStyle name="标题 3 2 2 2" xfId="226"/>
    <cellStyle name="标题 3 2 2 2 2" xfId="227"/>
    <cellStyle name="标题 4 2" xfId="228"/>
    <cellStyle name="解释性文本 2 2 2" xfId="229"/>
    <cellStyle name="标题 4 2 2" xfId="230"/>
    <cellStyle name="解释性文本 2 2 2 2" xfId="231"/>
    <cellStyle name="标题 4 2 2 2" xfId="232"/>
    <cellStyle name="标题 4 2 2 2 2" xfId="233"/>
    <cellStyle name="标题 4 2 2 3" xfId="234"/>
    <cellStyle name="标题 4 2 3" xfId="235"/>
    <cellStyle name="标题 5 2 2" xfId="236"/>
    <cellStyle name="标题 5 2 2 2" xfId="237"/>
    <cellStyle name="标题 5 2 3" xfId="238"/>
    <cellStyle name="标题 5 3" xfId="239"/>
    <cellStyle name="差 2" xfId="240"/>
    <cellStyle name="差 2 2" xfId="241"/>
    <cellStyle name="差 2 2 2" xfId="242"/>
    <cellStyle name="差 2 2 2 2" xfId="243"/>
    <cellStyle name="差 2 2 3" xfId="244"/>
    <cellStyle name="常规 11" xfId="245"/>
    <cellStyle name="常规 2" xfId="246"/>
    <cellStyle name="常规 2 2" xfId="247"/>
    <cellStyle name="常规 2 2 2" xfId="248"/>
    <cellStyle name="常规 2 2 2 2 2" xfId="249"/>
    <cellStyle name="常规 2 2 2 3" xfId="250"/>
    <cellStyle name="链接单元格 2 2 2" xfId="251"/>
    <cellStyle name="常规 2 2 3" xfId="252"/>
    <cellStyle name="常规 2 2 3 2" xfId="253"/>
    <cellStyle name="常规 2 3" xfId="254"/>
    <cellStyle name="常规 2 6" xfId="255"/>
    <cellStyle name="常规 3 3 2" xfId="256"/>
    <cellStyle name="常规 3 4" xfId="257"/>
    <cellStyle name="常规 3 4 2" xfId="258"/>
    <cellStyle name="常规 3 5" xfId="259"/>
    <cellStyle name="强调文字颜色 5 2" xfId="260"/>
    <cellStyle name="常规 3 6" xfId="261"/>
    <cellStyle name="常规 4" xfId="262"/>
    <cellStyle name="常规 4 2" xfId="263"/>
    <cellStyle name="常规 6 2" xfId="264"/>
    <cellStyle name="注释 2" xfId="265"/>
    <cellStyle name="常规 7" xfId="266"/>
    <cellStyle name="常规 8" xfId="267"/>
    <cellStyle name="常规 9" xfId="268"/>
    <cellStyle name="常规_材料出库单_2" xfId="269"/>
    <cellStyle name="好 2" xfId="270"/>
    <cellStyle name="常规_材料出库单_4" xfId="271"/>
    <cellStyle name="超链接 2" xfId="272"/>
    <cellStyle name="超链接 2 2" xfId="273"/>
    <cellStyle name="好 2 2 3" xfId="274"/>
    <cellStyle name="超链接 2 2 2" xfId="275"/>
    <cellStyle name="超链接 2 2 2 2" xfId="276"/>
    <cellStyle name="超链接 2 2 3" xfId="277"/>
    <cellStyle name="警告文本 2 2 2 2" xfId="278"/>
    <cellStyle name="超链接 2 3" xfId="279"/>
    <cellStyle name="好 2 2" xfId="280"/>
    <cellStyle name="好 2 2 2" xfId="281"/>
    <cellStyle name="好 2 2 2 2" xfId="282"/>
    <cellStyle name="汇总 2" xfId="283"/>
    <cellStyle name="汇总 2 2" xfId="284"/>
    <cellStyle name="解释性文本 2 2 3" xfId="285"/>
    <cellStyle name="汇总 2 2 2" xfId="286"/>
    <cellStyle name="汇总 2 2 2 2" xfId="287"/>
    <cellStyle name="汇总 2 2 3" xfId="288"/>
    <cellStyle name="警告文本 2 2 2" xfId="289"/>
    <cellStyle name="计算 2 3" xfId="290"/>
    <cellStyle name="检查单元格 2 2 2 2" xfId="291"/>
    <cellStyle name="检查单元格 2 2 3" xfId="292"/>
    <cellStyle name="解释性文本 2" xfId="293"/>
    <cellStyle name="警告文本 2" xfId="294"/>
    <cellStyle name="警告文本 2 2" xfId="295"/>
    <cellStyle name="警告文本 2 2 3" xfId="296"/>
    <cellStyle name="警告文本 2 3" xfId="297"/>
    <cellStyle name="链接单元格 2" xfId="298"/>
    <cellStyle name="注释 2 3 2" xfId="299"/>
    <cellStyle name="链接单元格 2 2" xfId="300"/>
    <cellStyle name="强调文字颜色 1 2" xfId="301"/>
    <cellStyle name="强调文字颜色 1 2 2" xfId="302"/>
    <cellStyle name="强调文字颜色 1 2 2 2" xfId="303"/>
    <cellStyle name="强调文字颜色 1 2 2 2 2" xfId="304"/>
    <cellStyle name="强调文字颜色 1 2 2 3" xfId="305"/>
    <cellStyle name="强调文字颜色 2 2" xfId="306"/>
    <cellStyle name="强调文字颜色 2 2 2 2" xfId="307"/>
    <cellStyle name="强调文字颜色 2 2 2 2 2" xfId="308"/>
    <cellStyle name="强调文字颜色 2 2 2 3" xfId="309"/>
    <cellStyle name="强调文字颜色 3 2" xfId="310"/>
    <cellStyle name="强调文字颜色 3 2 2" xfId="311"/>
    <cellStyle name="适中 2 3" xfId="312"/>
    <cellStyle name="强调文字颜色 3 2 2 2" xfId="313"/>
    <cellStyle name="强调文字颜色 3 2 2 2 2" xfId="314"/>
    <cellStyle name="强调文字颜色 3 2 2 3" xfId="315"/>
    <cellStyle name="强调文字颜色 4 2" xfId="316"/>
    <cellStyle name="强调文字颜色 4 2 2 2" xfId="317"/>
    <cellStyle name="强调文字颜色 4 2 2 2 2" xfId="318"/>
    <cellStyle name="强调文字颜色 5 2 2" xfId="319"/>
    <cellStyle name="强调文字颜色 5 2 2 2" xfId="320"/>
    <cellStyle name="强调文字颜色 5 2 2 2 2" xfId="321"/>
    <cellStyle name="强调文字颜色 5 2 2 3" xfId="322"/>
    <cellStyle name="强调文字颜色 6 2" xfId="323"/>
    <cellStyle name="强调文字颜色 6 2 2" xfId="324"/>
    <cellStyle name="强调文字颜色 6 2 2 2" xfId="325"/>
    <cellStyle name="强调文字颜色 6 2 2 2 2" xfId="326"/>
    <cellStyle name="强调文字颜色 6 2 3" xfId="327"/>
    <cellStyle name="输入 2" xfId="328"/>
    <cellStyle name="输入 2 2" xfId="329"/>
    <cellStyle name="输入 2 2 2" xfId="330"/>
    <cellStyle name="输入 2 3" xfId="331"/>
    <cellStyle name="注释 2 2" xfId="332"/>
    <cellStyle name="注释 2 2 2" xfId="333"/>
    <cellStyle name="注释 2 2 2 2" xfId="334"/>
    <cellStyle name="注释 2 2 3" xfId="335"/>
    <cellStyle name="注释 2 4" xfId="33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00B050"/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18415</xdr:rowOff>
    </xdr:from>
    <xdr:to>
      <xdr:col>2</xdr:col>
      <xdr:colOff>190500</xdr:colOff>
      <xdr:row>0</xdr:row>
      <xdr:rowOff>610235</xdr:rowOff>
    </xdr:to>
    <xdr:pic>
      <xdr:nvPicPr>
        <xdr:cNvPr id="95804" name="Picture 17" descr="QQ图片201305311112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" y="18415"/>
          <a:ext cx="1562100" cy="591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&#21457;&#36816;&#22823;&#31867;&#27719;&#24635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&#27888;&#22269;&#26410;&#31246;&#21333;&#20215;&#34920;&#65288;&#35843;&#20215;&#21069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6.16分类"/>
      <sheetName val="4月分类"/>
      <sheetName val="Sheet2"/>
      <sheetName val="Sheet7"/>
    </sheetNames>
    <sheetDataSet>
      <sheetData sheetId="0">
        <row r="1">
          <cell r="A1" t="str">
            <v>存货编码</v>
          </cell>
          <cell r="B1" t="str">
            <v>材料名称</v>
          </cell>
          <cell r="C1" t="str">
            <v>单位</v>
          </cell>
          <cell r="D1" t="str">
            <v>新大类</v>
          </cell>
        </row>
        <row r="2">
          <cell r="A2" t="str">
            <v>D1901013</v>
          </cell>
          <cell r="B2" t="str">
            <v>空芯螺栓</v>
          </cell>
          <cell r="C2" t="str">
            <v>只</v>
          </cell>
          <cell r="D2" t="str">
            <v>底盘部件</v>
          </cell>
        </row>
        <row r="3">
          <cell r="A3" t="str">
            <v>D1901015</v>
          </cell>
          <cell r="B3" t="str">
            <v>三通接头</v>
          </cell>
          <cell r="C3" t="str">
            <v>只</v>
          </cell>
          <cell r="D3" t="str">
            <v>底盘部件</v>
          </cell>
        </row>
        <row r="4">
          <cell r="A4" t="str">
            <v>D2109</v>
          </cell>
          <cell r="B4" t="str">
            <v>烟斗橡胶套</v>
          </cell>
          <cell r="C4" t="str">
            <v>只</v>
          </cell>
          <cell r="D4" t="str">
            <v>三元乙丙橡胶</v>
          </cell>
        </row>
        <row r="5">
          <cell r="A5" t="str">
            <v>D2201005</v>
          </cell>
          <cell r="B5" t="str">
            <v>刹车油壶</v>
          </cell>
          <cell r="C5" t="str">
            <v>件</v>
          </cell>
          <cell r="D5" t="str">
            <v>塑料件</v>
          </cell>
        </row>
        <row r="6">
          <cell r="A6" t="str">
            <v>F0102040033</v>
          </cell>
          <cell r="B6" t="str">
            <v>方管橡胶堵盖</v>
          </cell>
          <cell r="C6" t="str">
            <v>只</v>
          </cell>
          <cell r="D6" t="str">
            <v>三元乙丙橡胶</v>
          </cell>
        </row>
        <row r="7">
          <cell r="A7" t="str">
            <v>F0102045007</v>
          </cell>
          <cell r="B7" t="str">
            <v>后衣物篮</v>
          </cell>
          <cell r="C7" t="str">
            <v>只</v>
          </cell>
          <cell r="D7" t="str">
            <v>塑料件</v>
          </cell>
        </row>
        <row r="8">
          <cell r="A8" t="str">
            <v>F0102045011</v>
          </cell>
          <cell r="B8" t="str">
            <v>电控检修盖</v>
          </cell>
          <cell r="C8" t="str">
            <v>只</v>
          </cell>
          <cell r="D8" t="str">
            <v>塑料件</v>
          </cell>
        </row>
        <row r="9">
          <cell r="A9" t="str">
            <v>F0102045012</v>
          </cell>
          <cell r="B9" t="str">
            <v>球仓保护垫</v>
          </cell>
          <cell r="C9" t="str">
            <v>只</v>
          </cell>
          <cell r="D9" t="str">
            <v>塑料件</v>
          </cell>
        </row>
        <row r="10">
          <cell r="A10" t="str">
            <v>F0102045013</v>
          </cell>
          <cell r="B10" t="str">
            <v>后轮罩</v>
          </cell>
          <cell r="C10" t="str">
            <v>只</v>
          </cell>
          <cell r="D10" t="str">
            <v>塑料件</v>
          </cell>
        </row>
        <row r="11">
          <cell r="A11" t="str">
            <v>F0102045015</v>
          </cell>
          <cell r="B11" t="str">
            <v>顶棚</v>
          </cell>
          <cell r="C11" t="str">
            <v>只</v>
          </cell>
          <cell r="D11" t="str">
            <v>塑料件</v>
          </cell>
        </row>
        <row r="12">
          <cell r="A12" t="str">
            <v>F0102045016</v>
          </cell>
          <cell r="B12" t="str">
            <v>后罩</v>
          </cell>
          <cell r="C12" t="str">
            <v>只</v>
          </cell>
          <cell r="D12" t="str">
            <v>塑料件</v>
          </cell>
        </row>
        <row r="13">
          <cell r="A13" t="str">
            <v>F0102045017</v>
          </cell>
          <cell r="B13" t="str">
            <v>后保险杠</v>
          </cell>
          <cell r="C13" t="str">
            <v>只</v>
          </cell>
          <cell r="D13" t="str">
            <v>塑料件</v>
          </cell>
        </row>
        <row r="14">
          <cell r="A14" t="str">
            <v>F0102045020</v>
          </cell>
          <cell r="B14" t="str">
            <v>左后尾灯</v>
          </cell>
          <cell r="C14" t="str">
            <v>只</v>
          </cell>
          <cell r="D14" t="str">
            <v>组合大灯</v>
          </cell>
        </row>
        <row r="15">
          <cell r="A15" t="str">
            <v>F0102045021</v>
          </cell>
          <cell r="B15" t="str">
            <v>右后尾灯</v>
          </cell>
          <cell r="C15" t="str">
            <v>只</v>
          </cell>
          <cell r="D15" t="str">
            <v>组合大灯</v>
          </cell>
        </row>
        <row r="16">
          <cell r="A16" t="str">
            <v>F0102045023</v>
          </cell>
          <cell r="B16" t="str">
            <v>顶棚拉手</v>
          </cell>
          <cell r="C16" t="str">
            <v>只</v>
          </cell>
          <cell r="D16" t="str">
            <v>塑料件</v>
          </cell>
        </row>
        <row r="17">
          <cell r="A17" t="str">
            <v>F0102045029</v>
          </cell>
          <cell r="B17" t="str">
            <v>安全扣</v>
          </cell>
          <cell r="C17" t="str">
            <v>只</v>
          </cell>
          <cell r="D17" t="str">
            <v>塑料件</v>
          </cell>
        </row>
        <row r="18">
          <cell r="A18" t="str">
            <v>F0102045062</v>
          </cell>
          <cell r="B18" t="str">
            <v>后保堵盖</v>
          </cell>
          <cell r="C18" t="str">
            <v>只</v>
          </cell>
          <cell r="D18" t="str">
            <v>三元乙丙橡胶</v>
          </cell>
        </row>
        <row r="19">
          <cell r="A19" t="str">
            <v>F0102045064</v>
          </cell>
          <cell r="B19" t="str">
            <v>球童拉手固定块</v>
          </cell>
          <cell r="C19" t="str">
            <v>个</v>
          </cell>
          <cell r="D19" t="str">
            <v>塑料件</v>
          </cell>
        </row>
        <row r="20">
          <cell r="A20" t="str">
            <v>F0102045122</v>
          </cell>
          <cell r="B20" t="str">
            <v>后座桶EVA垫块</v>
          </cell>
          <cell r="C20" t="str">
            <v>套</v>
          </cell>
          <cell r="D20" t="str">
            <v>三元乙丙橡胶</v>
          </cell>
        </row>
        <row r="21">
          <cell r="A21" t="str">
            <v>F0102045129</v>
          </cell>
          <cell r="B21" t="str">
            <v>球包夹</v>
          </cell>
          <cell r="C21" t="str">
            <v>只</v>
          </cell>
          <cell r="D21" t="str">
            <v>塑料件</v>
          </cell>
        </row>
        <row r="22">
          <cell r="A22" t="str">
            <v>F0102045146</v>
          </cell>
          <cell r="B22" t="str">
            <v>橡胶垫片</v>
          </cell>
          <cell r="C22" t="str">
            <v>件</v>
          </cell>
          <cell r="D22" t="str">
            <v>三元乙丙橡胶</v>
          </cell>
        </row>
        <row r="23">
          <cell r="A23" t="str">
            <v>F0102045163</v>
          </cell>
          <cell r="B23" t="str">
            <v>球包带</v>
          </cell>
          <cell r="C23" t="str">
            <v>只</v>
          </cell>
          <cell r="D23" t="str">
            <v>塑料件</v>
          </cell>
        </row>
        <row r="24">
          <cell r="A24" t="str">
            <v>F0102045167</v>
          </cell>
          <cell r="B24" t="str">
            <v>顶棚后支撑 左</v>
          </cell>
          <cell r="C24" t="str">
            <v>件</v>
          </cell>
          <cell r="D24" t="str">
            <v>车身部件（支架等）</v>
          </cell>
        </row>
        <row r="25">
          <cell r="A25" t="str">
            <v>F0102045168</v>
          </cell>
          <cell r="B25" t="str">
            <v>顶棚后支撑 右</v>
          </cell>
          <cell r="C25" t="str">
            <v>件</v>
          </cell>
          <cell r="D25" t="str">
            <v>车身部件（支架等）</v>
          </cell>
        </row>
        <row r="26">
          <cell r="A26" t="str">
            <v>F0102045904</v>
          </cell>
          <cell r="B26" t="str">
            <v>制动总泵侧弯管梁</v>
          </cell>
          <cell r="C26" t="str">
            <v>件</v>
          </cell>
          <cell r="D26" t="str">
            <v>车身部件（支架等）</v>
          </cell>
        </row>
        <row r="27">
          <cell r="A27" t="str">
            <v>F0102047014</v>
          </cell>
          <cell r="B27" t="str">
            <v>沙桶/含支架、底座</v>
          </cell>
          <cell r="C27" t="str">
            <v>套</v>
          </cell>
          <cell r="D27" t="str">
            <v>塑料件</v>
          </cell>
        </row>
        <row r="28">
          <cell r="A28" t="str">
            <v>F0102047015</v>
          </cell>
          <cell r="B28" t="str">
            <v>洗球器</v>
          </cell>
          <cell r="C28" t="str">
            <v>件</v>
          </cell>
          <cell r="D28" t="str">
            <v>塑料件</v>
          </cell>
        </row>
        <row r="29">
          <cell r="A29" t="str">
            <v>F0102047016</v>
          </cell>
          <cell r="B29" t="str">
            <v>保温箱（5号）</v>
          </cell>
          <cell r="C29" t="str">
            <v>件</v>
          </cell>
          <cell r="D29" t="str">
            <v>塑料件</v>
          </cell>
        </row>
        <row r="30">
          <cell r="A30" t="str">
            <v>F0102049025</v>
          </cell>
          <cell r="B30" t="str">
            <v>喇叭罩</v>
          </cell>
          <cell r="C30" t="str">
            <v>只</v>
          </cell>
          <cell r="D30" t="str">
            <v>塑料件</v>
          </cell>
        </row>
        <row r="31">
          <cell r="A31" t="str">
            <v>F0102049702</v>
          </cell>
          <cell r="B31" t="str">
            <v>C款喇叭罩/碳纤维</v>
          </cell>
          <cell r="C31" t="str">
            <v>只</v>
          </cell>
          <cell r="D31" t="str">
            <v>塑料件</v>
          </cell>
        </row>
        <row r="32">
          <cell r="A32" t="str">
            <v>F0102063006</v>
          </cell>
          <cell r="B32" t="str">
            <v>左杯托</v>
          </cell>
          <cell r="C32" t="str">
            <v>只</v>
          </cell>
          <cell r="D32" t="str">
            <v>塑料件</v>
          </cell>
        </row>
        <row r="33">
          <cell r="A33" t="str">
            <v>F0102063007</v>
          </cell>
          <cell r="B33" t="str">
            <v>右杯托</v>
          </cell>
          <cell r="C33" t="str">
            <v>只</v>
          </cell>
          <cell r="D33" t="str">
            <v>塑料件</v>
          </cell>
        </row>
        <row r="34">
          <cell r="A34" t="str">
            <v>F0102063804</v>
          </cell>
          <cell r="B34" t="str">
            <v>D款左杯托/碳纤维</v>
          </cell>
          <cell r="C34" t="str">
            <v>只</v>
          </cell>
          <cell r="D34" t="str">
            <v>塑料件</v>
          </cell>
        </row>
        <row r="35">
          <cell r="A35" t="str">
            <v>F0102063805</v>
          </cell>
          <cell r="B35" t="str">
            <v>D款右杯托/碳纤维</v>
          </cell>
          <cell r="C35" t="str">
            <v>只</v>
          </cell>
          <cell r="D35" t="str">
            <v>塑料件</v>
          </cell>
        </row>
        <row r="36">
          <cell r="A36" t="str">
            <v>F0102063908</v>
          </cell>
          <cell r="B36" t="str">
            <v>上悬臂支架圆管梁（球车）</v>
          </cell>
          <cell r="C36" t="str">
            <v>件</v>
          </cell>
          <cell r="D36" t="str">
            <v>车身部件（支架等）</v>
          </cell>
        </row>
        <row r="37">
          <cell r="A37" t="str">
            <v>F0102063913</v>
          </cell>
          <cell r="B37" t="str">
            <v>前弯管竖梁(G款球车)</v>
          </cell>
          <cell r="C37" t="str">
            <v>件</v>
          </cell>
          <cell r="D37" t="str">
            <v>车身部件（支架等）</v>
          </cell>
        </row>
        <row r="38">
          <cell r="A38" t="str">
            <v>F0102073019</v>
          </cell>
          <cell r="B38" t="str">
            <v>伞桶</v>
          </cell>
          <cell r="C38" t="str">
            <v>套</v>
          </cell>
          <cell r="D38" t="str">
            <v>塑料件</v>
          </cell>
        </row>
        <row r="39">
          <cell r="A39" t="str">
            <v>F0102073024</v>
          </cell>
          <cell r="B39" t="str">
            <v>前立柱胶塞 左</v>
          </cell>
          <cell r="C39" t="str">
            <v>只</v>
          </cell>
          <cell r="D39" t="str">
            <v>三元乙丙橡胶</v>
          </cell>
        </row>
        <row r="40">
          <cell r="A40" t="str">
            <v>F0102073025</v>
          </cell>
          <cell r="B40" t="str">
            <v>前立柱胶塞 右</v>
          </cell>
          <cell r="C40" t="str">
            <v>只</v>
          </cell>
          <cell r="D40" t="str">
            <v>三元乙丙橡胶</v>
          </cell>
        </row>
        <row r="41">
          <cell r="A41" t="str">
            <v>F0102073033</v>
          </cell>
          <cell r="B41" t="str">
            <v>仪表台</v>
          </cell>
          <cell r="C41" t="str">
            <v>件</v>
          </cell>
          <cell r="D41" t="str">
            <v>塑料件</v>
          </cell>
        </row>
        <row r="42">
          <cell r="A42" t="str">
            <v>F0102073034</v>
          </cell>
          <cell r="B42" t="str">
            <v>左杂物盒</v>
          </cell>
          <cell r="C42" t="str">
            <v>件</v>
          </cell>
          <cell r="D42" t="str">
            <v>塑料件</v>
          </cell>
        </row>
        <row r="43">
          <cell r="A43" t="str">
            <v>F0102073035</v>
          </cell>
          <cell r="B43" t="str">
            <v>右杂物盒</v>
          </cell>
          <cell r="C43" t="str">
            <v>件</v>
          </cell>
          <cell r="D43" t="str">
            <v>塑料件</v>
          </cell>
        </row>
        <row r="44">
          <cell r="A44" t="str">
            <v>F0102073036</v>
          </cell>
          <cell r="B44" t="str">
            <v>左杂物盒盖</v>
          </cell>
          <cell r="C44" t="str">
            <v>件</v>
          </cell>
          <cell r="D44" t="str">
            <v>塑料件</v>
          </cell>
        </row>
        <row r="45">
          <cell r="A45" t="str">
            <v>F0102073037</v>
          </cell>
          <cell r="B45" t="str">
            <v>右杂物盒盖</v>
          </cell>
          <cell r="C45" t="str">
            <v>件</v>
          </cell>
          <cell r="D45" t="str">
            <v>塑料件</v>
          </cell>
        </row>
        <row r="46">
          <cell r="A46" t="str">
            <v>F0102073045</v>
          </cell>
          <cell r="B46" t="str">
            <v>顶棚左前支架/2座G款</v>
          </cell>
          <cell r="C46" t="str">
            <v>件</v>
          </cell>
          <cell r="D46" t="str">
            <v>车身部件（支架等）</v>
          </cell>
        </row>
        <row r="47">
          <cell r="A47" t="str">
            <v>F0102073046</v>
          </cell>
          <cell r="B47" t="str">
            <v>顶棚右前支架/2座G款</v>
          </cell>
          <cell r="C47" t="str">
            <v>件</v>
          </cell>
          <cell r="D47" t="str">
            <v>车身部件（支架等）</v>
          </cell>
        </row>
        <row r="48">
          <cell r="A48" t="str">
            <v>F0102073817</v>
          </cell>
          <cell r="B48" t="str">
            <v>G款伞桶/面板碳纤维</v>
          </cell>
          <cell r="C48" t="str">
            <v>套</v>
          </cell>
          <cell r="D48" t="str">
            <v>塑料件</v>
          </cell>
        </row>
        <row r="49">
          <cell r="A49" t="str">
            <v>F0102073823</v>
          </cell>
          <cell r="B49" t="str">
            <v>G款仪表台/碳纤维</v>
          </cell>
          <cell r="C49" t="str">
            <v>件</v>
          </cell>
          <cell r="D49" t="str">
            <v>塑料件</v>
          </cell>
        </row>
        <row r="50">
          <cell r="A50" t="str">
            <v>F0102073824</v>
          </cell>
          <cell r="B50" t="str">
            <v>G款左杂物盒盖/碳纤维</v>
          </cell>
          <cell r="C50" t="str">
            <v>件</v>
          </cell>
          <cell r="D50" t="str">
            <v>塑料件</v>
          </cell>
        </row>
        <row r="51">
          <cell r="A51" t="str">
            <v>F0102073825</v>
          </cell>
          <cell r="B51" t="str">
            <v>G款右杂物盒盖/碳纤维</v>
          </cell>
          <cell r="C51" t="str">
            <v>件</v>
          </cell>
          <cell r="D51" t="str">
            <v>塑料件</v>
          </cell>
        </row>
        <row r="52">
          <cell r="A52" t="str">
            <v>F0102074025</v>
          </cell>
          <cell r="B52" t="str">
            <v>中控开关面板</v>
          </cell>
          <cell r="C52" t="str">
            <v>件</v>
          </cell>
          <cell r="D52" t="str">
            <v>塑料件</v>
          </cell>
        </row>
        <row r="53">
          <cell r="A53" t="str">
            <v>F0102074027</v>
          </cell>
          <cell r="B53" t="str">
            <v>液晶屏座</v>
          </cell>
          <cell r="C53" t="str">
            <v>件</v>
          </cell>
          <cell r="D53" t="str">
            <v>塑料件</v>
          </cell>
        </row>
        <row r="54">
          <cell r="A54" t="str">
            <v>F0102074028</v>
          </cell>
          <cell r="B54" t="str">
            <v>液晶屏座过渡支架左</v>
          </cell>
          <cell r="C54" t="str">
            <v>件</v>
          </cell>
          <cell r="D54" t="str">
            <v>塑料件</v>
          </cell>
        </row>
        <row r="55">
          <cell r="A55" t="str">
            <v>F0102074029</v>
          </cell>
          <cell r="B55" t="str">
            <v>液晶屏座过渡支架右</v>
          </cell>
          <cell r="C55" t="str">
            <v>件</v>
          </cell>
          <cell r="D55" t="str">
            <v>塑料件</v>
          </cell>
        </row>
        <row r="56">
          <cell r="A56" t="str">
            <v>F0102074801</v>
          </cell>
          <cell r="B56" t="str">
            <v>液晶屏座/碳纤维</v>
          </cell>
          <cell r="C56" t="str">
            <v>件</v>
          </cell>
          <cell r="D56" t="str">
            <v>塑料件</v>
          </cell>
        </row>
        <row r="57">
          <cell r="A57" t="str">
            <v>F0102074802</v>
          </cell>
          <cell r="B57" t="str">
            <v>中控开关面板/碳纤维</v>
          </cell>
          <cell r="C57" t="str">
            <v>件</v>
          </cell>
          <cell r="D57" t="str">
            <v>塑料件</v>
          </cell>
        </row>
        <row r="58">
          <cell r="A58" t="str">
            <v>F0102079008</v>
          </cell>
          <cell r="B58" t="str">
            <v>左后侧护板</v>
          </cell>
          <cell r="C58" t="str">
            <v>只</v>
          </cell>
          <cell r="D58" t="str">
            <v>塑料件</v>
          </cell>
        </row>
        <row r="59">
          <cell r="A59" t="str">
            <v>F0102079009</v>
          </cell>
          <cell r="B59" t="str">
            <v>右后侧护板</v>
          </cell>
          <cell r="C59" t="str">
            <v>只</v>
          </cell>
          <cell r="D59" t="str">
            <v>塑料件</v>
          </cell>
        </row>
        <row r="60">
          <cell r="A60" t="str">
            <v>F0102079010</v>
          </cell>
          <cell r="B60" t="str">
            <v>侧护板盖帽/卡扣式</v>
          </cell>
          <cell r="C60" t="str">
            <v>只</v>
          </cell>
          <cell r="D60" t="str">
            <v>三元乙丙橡胶</v>
          </cell>
        </row>
        <row r="61">
          <cell r="A61" t="str">
            <v>F0102081005</v>
          </cell>
          <cell r="B61" t="str">
            <v>4座注塑顶棚</v>
          </cell>
          <cell r="C61" t="str">
            <v>只</v>
          </cell>
          <cell r="D61" t="str">
            <v>塑料件</v>
          </cell>
        </row>
        <row r="62">
          <cell r="A62" t="str">
            <v>F0102081008</v>
          </cell>
          <cell r="B62" t="str">
            <v>顶棚加强梁</v>
          </cell>
          <cell r="C62" t="str">
            <v>只</v>
          </cell>
          <cell r="D62" t="str">
            <v>车身部件（支架等）</v>
          </cell>
        </row>
        <row r="63">
          <cell r="A63" t="str">
            <v>F0102086032</v>
          </cell>
          <cell r="B63" t="str">
            <v>方向管柱护套</v>
          </cell>
          <cell r="C63" t="str">
            <v>只</v>
          </cell>
          <cell r="D63" t="str">
            <v>三元乙丙橡胶</v>
          </cell>
        </row>
        <row r="64">
          <cell r="A64" t="str">
            <v>F0102086046</v>
          </cell>
          <cell r="B64" t="str">
            <v>靠背杯托支架</v>
          </cell>
          <cell r="C64" t="str">
            <v>只</v>
          </cell>
          <cell r="D64" t="str">
            <v>塑料件</v>
          </cell>
        </row>
        <row r="65">
          <cell r="A65" t="str">
            <v>F0102086054</v>
          </cell>
          <cell r="B65" t="str">
            <v>后罩 前片</v>
          </cell>
          <cell r="C65" t="str">
            <v>件</v>
          </cell>
          <cell r="D65" t="str">
            <v>塑料件</v>
          </cell>
        </row>
        <row r="66">
          <cell r="A66" t="str">
            <v>F0102086067</v>
          </cell>
          <cell r="B66" t="str">
            <v>铰链上座</v>
          </cell>
          <cell r="C66" t="str">
            <v>件</v>
          </cell>
          <cell r="D66" t="str">
            <v>塑料件</v>
          </cell>
        </row>
        <row r="67">
          <cell r="A67" t="str">
            <v>F0102086068</v>
          </cell>
          <cell r="B67" t="str">
            <v>铰链底座</v>
          </cell>
          <cell r="C67" t="str">
            <v>件</v>
          </cell>
          <cell r="D67" t="str">
            <v>塑料件</v>
          </cell>
        </row>
        <row r="68">
          <cell r="A68" t="str">
            <v>F0102086069</v>
          </cell>
          <cell r="B68" t="str">
            <v>铰链销</v>
          </cell>
          <cell r="C68" t="str">
            <v>件</v>
          </cell>
          <cell r="D68" t="str">
            <v>塑料件</v>
          </cell>
        </row>
        <row r="69">
          <cell r="A69" t="str">
            <v>F0102086070</v>
          </cell>
          <cell r="B69" t="str">
            <v>后备箱主体</v>
          </cell>
          <cell r="C69" t="str">
            <v>件</v>
          </cell>
          <cell r="D69" t="str">
            <v>塑料件</v>
          </cell>
        </row>
        <row r="70">
          <cell r="A70" t="str">
            <v>F0102086071</v>
          </cell>
          <cell r="B70" t="str">
            <v>后备箱外板</v>
          </cell>
          <cell r="C70" t="str">
            <v>件</v>
          </cell>
          <cell r="D70" t="str">
            <v>塑料件</v>
          </cell>
        </row>
        <row r="71">
          <cell r="A71" t="str">
            <v>F0102086072</v>
          </cell>
          <cell r="B71" t="str">
            <v>后备箱门内板</v>
          </cell>
          <cell r="C71" t="str">
            <v>件</v>
          </cell>
          <cell r="D71" t="str">
            <v>塑料件</v>
          </cell>
        </row>
        <row r="72">
          <cell r="A72" t="str">
            <v>F0102086073</v>
          </cell>
          <cell r="B72" t="str">
            <v>后备箱门外板</v>
          </cell>
          <cell r="C72" t="str">
            <v>件</v>
          </cell>
          <cell r="D72" t="str">
            <v>塑料件</v>
          </cell>
        </row>
        <row r="73">
          <cell r="A73" t="str">
            <v>F0102086081</v>
          </cell>
          <cell r="B73" t="str">
            <v>中座支架护套</v>
          </cell>
          <cell r="C73" t="str">
            <v>件</v>
          </cell>
          <cell r="D73" t="str">
            <v>三元乙丙橡胶</v>
          </cell>
        </row>
        <row r="74">
          <cell r="A74" t="str">
            <v>F0102086082</v>
          </cell>
          <cell r="B74" t="str">
            <v>安全带支架护套</v>
          </cell>
          <cell r="C74" t="str">
            <v>件</v>
          </cell>
          <cell r="D74" t="str">
            <v>三元乙丙橡胶</v>
          </cell>
        </row>
        <row r="75">
          <cell r="A75" t="str">
            <v>F0102086085</v>
          </cell>
          <cell r="B75" t="str">
            <v>侧护板卡扣密封圈</v>
          </cell>
          <cell r="C75" t="str">
            <v>件</v>
          </cell>
          <cell r="D75" t="str">
            <v>三元乙丙橡胶</v>
          </cell>
        </row>
        <row r="76">
          <cell r="A76" t="str">
            <v>F0102086103</v>
          </cell>
          <cell r="B76" t="str">
            <v>旋钮压块</v>
          </cell>
          <cell r="C76" t="str">
            <v>件</v>
          </cell>
          <cell r="D76" t="str">
            <v>塑料件</v>
          </cell>
        </row>
        <row r="77">
          <cell r="A77" t="str">
            <v>F0102086120</v>
          </cell>
          <cell r="B77" t="str">
            <v>后立柱护套 左</v>
          </cell>
          <cell r="C77" t="str">
            <v>件</v>
          </cell>
          <cell r="D77" t="str">
            <v>三元乙丙橡胶</v>
          </cell>
        </row>
        <row r="78">
          <cell r="A78" t="str">
            <v>F0102086121</v>
          </cell>
          <cell r="B78" t="str">
            <v>后立柱护套 右</v>
          </cell>
          <cell r="C78" t="str">
            <v>件</v>
          </cell>
          <cell r="D78" t="str">
            <v>三元乙丙橡胶</v>
          </cell>
        </row>
        <row r="79">
          <cell r="A79" t="str">
            <v>F0102086122</v>
          </cell>
          <cell r="B79" t="str">
            <v>后立柱护套盖帽 左</v>
          </cell>
          <cell r="C79" t="str">
            <v>件</v>
          </cell>
          <cell r="D79" t="str">
            <v>三元乙丙橡胶</v>
          </cell>
        </row>
        <row r="80">
          <cell r="A80" t="str">
            <v>F0102086123</v>
          </cell>
          <cell r="B80" t="str">
            <v>后立柱护套盖帽 右</v>
          </cell>
          <cell r="C80" t="str">
            <v>件</v>
          </cell>
          <cell r="D80" t="str">
            <v>三元乙丙橡胶</v>
          </cell>
        </row>
        <row r="81">
          <cell r="A81" t="str">
            <v>F0102086535</v>
          </cell>
          <cell r="B81" t="str">
            <v>下挡水板 前</v>
          </cell>
          <cell r="C81" t="str">
            <v>件</v>
          </cell>
          <cell r="D81" t="str">
            <v>塑料件</v>
          </cell>
        </row>
        <row r="82">
          <cell r="A82" t="str">
            <v>F0102086536</v>
          </cell>
          <cell r="B82" t="str">
            <v>下挡水板 后</v>
          </cell>
          <cell r="C82" t="str">
            <v>件</v>
          </cell>
          <cell r="D82" t="str">
            <v>塑料件</v>
          </cell>
        </row>
        <row r="83">
          <cell r="A83" t="str">
            <v>F0102087002</v>
          </cell>
          <cell r="B83" t="str">
            <v>仪表台</v>
          </cell>
          <cell r="C83" t="str">
            <v>件</v>
          </cell>
          <cell r="D83" t="str">
            <v>塑料件</v>
          </cell>
        </row>
        <row r="84">
          <cell r="A84" t="str">
            <v>F0102087013</v>
          </cell>
          <cell r="B84" t="str">
            <v>左前挡泥板</v>
          </cell>
          <cell r="C84" t="str">
            <v>件</v>
          </cell>
          <cell r="D84" t="str">
            <v>塑料件</v>
          </cell>
        </row>
        <row r="85">
          <cell r="A85" t="str">
            <v>F0102087014</v>
          </cell>
          <cell r="B85" t="str">
            <v>右前挡泥板</v>
          </cell>
          <cell r="C85" t="str">
            <v>件</v>
          </cell>
          <cell r="D85" t="str">
            <v>塑料件</v>
          </cell>
        </row>
        <row r="86">
          <cell r="A86" t="str">
            <v>F0102087021</v>
          </cell>
          <cell r="B86" t="str">
            <v>顶棚后支架 左</v>
          </cell>
          <cell r="C86" t="str">
            <v>件</v>
          </cell>
          <cell r="D86" t="str">
            <v>车身部件（支架等）</v>
          </cell>
        </row>
        <row r="87">
          <cell r="A87" t="str">
            <v>F0102087022</v>
          </cell>
          <cell r="B87" t="str">
            <v>顶棚后支架 右</v>
          </cell>
          <cell r="C87" t="str">
            <v>件</v>
          </cell>
          <cell r="D87" t="str">
            <v>车身部件（支架等）</v>
          </cell>
        </row>
        <row r="88">
          <cell r="A88" t="str">
            <v>F0102087024</v>
          </cell>
          <cell r="B88" t="str">
            <v>铁制保险杠（大）</v>
          </cell>
          <cell r="C88" t="str">
            <v>件</v>
          </cell>
          <cell r="D88" t="str">
            <v>车身部件（支架等）</v>
          </cell>
        </row>
        <row r="89">
          <cell r="A89" t="str">
            <v>F0102087036</v>
          </cell>
          <cell r="B89" t="str">
            <v>顶棚前支架</v>
          </cell>
          <cell r="C89" t="str">
            <v>件</v>
          </cell>
          <cell r="D89" t="str">
            <v>车身部件（支架等）</v>
          </cell>
        </row>
        <row r="90">
          <cell r="A90" t="str">
            <v>F0102087037</v>
          </cell>
          <cell r="B90" t="str">
            <v>铁制保险杠（小）</v>
          </cell>
          <cell r="C90" t="str">
            <v>件</v>
          </cell>
          <cell r="D90" t="str">
            <v>车身部件（支架等）</v>
          </cell>
        </row>
        <row r="91">
          <cell r="A91" t="str">
            <v>F0103003085</v>
          </cell>
          <cell r="B91" t="str">
            <v>仪表台储物盒门锁</v>
          </cell>
          <cell r="C91" t="str">
            <v>件</v>
          </cell>
          <cell r="D91" t="str">
            <v>塑料件</v>
          </cell>
        </row>
        <row r="92">
          <cell r="A92" t="str">
            <v>F0103003093</v>
          </cell>
          <cell r="B92" t="str">
            <v>后备箱门锁</v>
          </cell>
          <cell r="C92" t="str">
            <v>件</v>
          </cell>
          <cell r="D92" t="str">
            <v>车身部件</v>
          </cell>
        </row>
        <row r="93">
          <cell r="A93" t="str">
            <v>F0103009037</v>
          </cell>
          <cell r="B93" t="str">
            <v>合页前挡玻璃上片</v>
          </cell>
          <cell r="C93" t="str">
            <v>件</v>
          </cell>
          <cell r="D93" t="str">
            <v>塑料件</v>
          </cell>
        </row>
        <row r="94">
          <cell r="A94" t="str">
            <v>F0103009038</v>
          </cell>
          <cell r="B94" t="str">
            <v>合页前挡玻璃下片</v>
          </cell>
          <cell r="C94" t="str">
            <v>件</v>
          </cell>
          <cell r="D94" t="str">
            <v>塑料件</v>
          </cell>
        </row>
        <row r="95">
          <cell r="A95" t="str">
            <v>F0103009039</v>
          </cell>
          <cell r="B95" t="str">
            <v>合页铰链1左</v>
          </cell>
          <cell r="C95" t="str">
            <v>件</v>
          </cell>
          <cell r="D95" t="str">
            <v>塑料件</v>
          </cell>
        </row>
        <row r="96">
          <cell r="A96" t="str">
            <v>F0103009040</v>
          </cell>
          <cell r="B96" t="str">
            <v>合页铰链2左</v>
          </cell>
          <cell r="C96" t="str">
            <v>件</v>
          </cell>
          <cell r="D96" t="str">
            <v>塑料件</v>
          </cell>
        </row>
        <row r="97">
          <cell r="A97" t="str">
            <v>F0103009041</v>
          </cell>
          <cell r="B97" t="str">
            <v>合页铰链1右</v>
          </cell>
          <cell r="C97" t="str">
            <v>件</v>
          </cell>
          <cell r="D97" t="str">
            <v>塑料件</v>
          </cell>
        </row>
        <row r="98">
          <cell r="A98" t="str">
            <v>F0103009042</v>
          </cell>
          <cell r="B98" t="str">
            <v>合页铰链2右</v>
          </cell>
          <cell r="C98" t="str">
            <v>件</v>
          </cell>
          <cell r="D98" t="str">
            <v>塑料件</v>
          </cell>
        </row>
        <row r="99">
          <cell r="A99" t="str">
            <v>F0103009043</v>
          </cell>
          <cell r="B99" t="str">
            <v>玻璃合页销轴</v>
          </cell>
          <cell r="C99" t="str">
            <v>件</v>
          </cell>
          <cell r="D99" t="str">
            <v>塑料件</v>
          </cell>
        </row>
        <row r="100">
          <cell r="A100" t="str">
            <v>F0103009044</v>
          </cell>
          <cell r="B100" t="str">
            <v>合页前挡玻璃上片</v>
          </cell>
          <cell r="C100" t="str">
            <v>件</v>
          </cell>
          <cell r="D100" t="str">
            <v>塑料件</v>
          </cell>
        </row>
        <row r="101">
          <cell r="A101" t="str">
            <v>F0103009045</v>
          </cell>
          <cell r="B101" t="str">
            <v>合页前挡玻璃下片</v>
          </cell>
          <cell r="C101" t="str">
            <v>件</v>
          </cell>
          <cell r="D101" t="str">
            <v>塑料件</v>
          </cell>
        </row>
        <row r="102">
          <cell r="A102" t="str">
            <v>F0103013011</v>
          </cell>
          <cell r="B102" t="str">
            <v>ELR 三点安全带</v>
          </cell>
          <cell r="C102" t="str">
            <v>根</v>
          </cell>
          <cell r="D102" t="str">
            <v>车身部件</v>
          </cell>
        </row>
        <row r="103">
          <cell r="A103" t="str">
            <v>F0103015006</v>
          </cell>
          <cell r="B103" t="str">
            <v>座椅塑料扣钉</v>
          </cell>
          <cell r="C103" t="str">
            <v>套</v>
          </cell>
          <cell r="D103" t="str">
            <v>塑料件</v>
          </cell>
        </row>
        <row r="104">
          <cell r="A104" t="str">
            <v>F0103015040</v>
          </cell>
          <cell r="B104" t="str">
            <v>坐垫铰链</v>
          </cell>
          <cell r="C104" t="str">
            <v>只</v>
          </cell>
          <cell r="D104" t="str">
            <v>塑料件</v>
          </cell>
        </row>
        <row r="105">
          <cell r="A105" t="str">
            <v>F0103015053</v>
          </cell>
          <cell r="B105" t="str">
            <v>扶手总成（左）</v>
          </cell>
          <cell r="C105" t="str">
            <v>件</v>
          </cell>
          <cell r="D105" t="str">
            <v>座椅头枕</v>
          </cell>
        </row>
        <row r="106">
          <cell r="A106" t="str">
            <v>F0103015054</v>
          </cell>
          <cell r="B106" t="str">
            <v>扶手总成（右）</v>
          </cell>
          <cell r="C106" t="str">
            <v>件</v>
          </cell>
          <cell r="D106" t="str">
            <v>座椅头枕</v>
          </cell>
        </row>
        <row r="107">
          <cell r="A107" t="str">
            <v>F0103015059</v>
          </cell>
          <cell r="B107" t="str">
            <v>坐垫铰链</v>
          </cell>
          <cell r="C107" t="str">
            <v>只</v>
          </cell>
          <cell r="D107" t="str">
            <v>塑料件</v>
          </cell>
        </row>
        <row r="108">
          <cell r="A108" t="str">
            <v>F0103015060</v>
          </cell>
          <cell r="B108" t="str">
            <v>靠背扣件</v>
          </cell>
          <cell r="C108" t="str">
            <v>只</v>
          </cell>
          <cell r="D108" t="str">
            <v>塑料件</v>
          </cell>
        </row>
        <row r="109">
          <cell r="A109" t="str">
            <v>F0103015075</v>
          </cell>
          <cell r="B109" t="str">
            <v>头枕总成</v>
          </cell>
          <cell r="C109" t="str">
            <v>件</v>
          </cell>
          <cell r="D109" t="str">
            <v>座椅头枕</v>
          </cell>
        </row>
        <row r="110">
          <cell r="A110" t="str">
            <v>F0103015076</v>
          </cell>
          <cell r="B110" t="str">
            <v>座椅蒙皮</v>
          </cell>
          <cell r="C110" t="str">
            <v>M</v>
          </cell>
          <cell r="D110" t="str">
            <v>超纤皮革</v>
          </cell>
        </row>
        <row r="111">
          <cell r="A111" t="str">
            <v>F0103015086</v>
          </cell>
          <cell r="B111" t="str">
            <v>座椅蒙皮/WP37</v>
          </cell>
          <cell r="C111" t="str">
            <v>M</v>
          </cell>
          <cell r="D111" t="str">
            <v>超纤皮革</v>
          </cell>
        </row>
        <row r="112">
          <cell r="A112" t="str">
            <v>F0103016007</v>
          </cell>
          <cell r="B112" t="str">
            <v>凸面内视镜</v>
          </cell>
          <cell r="C112" t="str">
            <v>件</v>
          </cell>
          <cell r="D112" t="str">
            <v>塑料件</v>
          </cell>
        </row>
        <row r="113">
          <cell r="A113" t="str">
            <v>F0103017037</v>
          </cell>
          <cell r="B113" t="str">
            <v>左后视镜/带转向灯</v>
          </cell>
          <cell r="C113" t="str">
            <v>只</v>
          </cell>
          <cell r="D113" t="str">
            <v>车身部件</v>
          </cell>
        </row>
        <row r="114">
          <cell r="A114" t="str">
            <v>F0103017038</v>
          </cell>
          <cell r="B114" t="str">
            <v>右后视镜/带转向灯</v>
          </cell>
          <cell r="C114" t="str">
            <v>只</v>
          </cell>
          <cell r="D114" t="str">
            <v>车身部件</v>
          </cell>
        </row>
        <row r="115">
          <cell r="A115" t="str">
            <v>F0103020012</v>
          </cell>
          <cell r="B115" t="str">
            <v>左前挡泥板/G款球车</v>
          </cell>
          <cell r="C115" t="str">
            <v>件</v>
          </cell>
          <cell r="D115" t="str">
            <v>塑料件</v>
          </cell>
        </row>
        <row r="116">
          <cell r="A116" t="str">
            <v>F0103020013</v>
          </cell>
          <cell r="B116" t="str">
            <v>右前挡泥板/G款球车</v>
          </cell>
          <cell r="C116" t="str">
            <v>件</v>
          </cell>
          <cell r="D116" t="str">
            <v>塑料件</v>
          </cell>
        </row>
        <row r="117">
          <cell r="A117" t="str">
            <v>F0103024057</v>
          </cell>
          <cell r="B117" t="str">
            <v>杂物盒盖铰链/J款</v>
          </cell>
          <cell r="C117" t="str">
            <v>件</v>
          </cell>
          <cell r="D117" t="str">
            <v>塑料件</v>
          </cell>
        </row>
        <row r="118">
          <cell r="A118" t="str">
            <v>F0103025019</v>
          </cell>
          <cell r="B118" t="str">
            <v>顶棚拉手</v>
          </cell>
          <cell r="C118" t="str">
            <v>只</v>
          </cell>
          <cell r="D118" t="str">
            <v>塑料件</v>
          </cell>
        </row>
        <row r="119">
          <cell r="A119" t="str">
            <v>F0103027098</v>
          </cell>
          <cell r="B119" t="str">
            <v>2座D款成型地板革/毒液</v>
          </cell>
          <cell r="C119" t="str">
            <v>片</v>
          </cell>
          <cell r="D119" t="str">
            <v>塑料件</v>
          </cell>
        </row>
        <row r="120">
          <cell r="A120" t="str">
            <v>F0103027124</v>
          </cell>
          <cell r="B120" t="str">
            <v>V1G成型地板革  前段</v>
          </cell>
          <cell r="C120" t="str">
            <v>片</v>
          </cell>
          <cell r="D120" t="str">
            <v>塑料件</v>
          </cell>
        </row>
        <row r="121">
          <cell r="A121" t="str">
            <v>F0103027125</v>
          </cell>
          <cell r="B121" t="str">
            <v>V1G成型地板革  后段</v>
          </cell>
          <cell r="C121" t="str">
            <v>片</v>
          </cell>
          <cell r="D121" t="str">
            <v>塑料件</v>
          </cell>
        </row>
        <row r="122">
          <cell r="A122" t="str">
            <v>F0103035051</v>
          </cell>
          <cell r="B122" t="str">
            <v>硅胶垫片</v>
          </cell>
          <cell r="C122" t="str">
            <v>件</v>
          </cell>
          <cell r="D122" t="str">
            <v>三元乙丙橡胶</v>
          </cell>
        </row>
        <row r="123">
          <cell r="A123" t="str">
            <v>F0103035084</v>
          </cell>
          <cell r="B123" t="str">
            <v>侧护板垫块</v>
          </cell>
          <cell r="C123" t="str">
            <v>只</v>
          </cell>
          <cell r="D123" t="str">
            <v>三元乙丙橡胶</v>
          </cell>
        </row>
        <row r="124">
          <cell r="A124" t="str">
            <v>F0103035087</v>
          </cell>
          <cell r="B124" t="str">
            <v>无线充手机防护垫</v>
          </cell>
          <cell r="C124" t="str">
            <v>件</v>
          </cell>
          <cell r="D124" t="str">
            <v>塑料件</v>
          </cell>
        </row>
        <row r="125">
          <cell r="A125" t="str">
            <v>F0103035098</v>
          </cell>
          <cell r="B125" t="str">
            <v>烟斗橡胶套/红色</v>
          </cell>
          <cell r="C125" t="str">
            <v>只</v>
          </cell>
          <cell r="D125" t="str">
            <v>三元乙丙橡胶</v>
          </cell>
        </row>
        <row r="126">
          <cell r="A126" t="str">
            <v>F0103035100</v>
          </cell>
          <cell r="B126" t="str">
            <v>鸭嘴橡胶套/红色</v>
          </cell>
          <cell r="C126" t="str">
            <v>只</v>
          </cell>
          <cell r="D126" t="str">
            <v>三元乙丙橡胶</v>
          </cell>
        </row>
        <row r="127">
          <cell r="A127" t="str">
            <v>F0103035101</v>
          </cell>
          <cell r="B127" t="str">
            <v>鸭嘴橡胶套/黑色</v>
          </cell>
          <cell r="C127" t="str">
            <v>只</v>
          </cell>
          <cell r="D127" t="str">
            <v>三元乙丙橡胶</v>
          </cell>
        </row>
        <row r="128">
          <cell r="A128" t="str">
            <v>F0103036003</v>
          </cell>
          <cell r="B128" t="str">
            <v>制动踏板扭簧</v>
          </cell>
          <cell r="C128" t="str">
            <v>只</v>
          </cell>
          <cell r="D128" t="str">
            <v>制动部件</v>
          </cell>
        </row>
        <row r="129">
          <cell r="A129" t="str">
            <v>F0103038001</v>
          </cell>
          <cell r="B129" t="str">
            <v>尼龙衬套1</v>
          </cell>
          <cell r="C129" t="str">
            <v>件</v>
          </cell>
          <cell r="D129" t="str">
            <v>三元乙丙橡胶</v>
          </cell>
        </row>
        <row r="130">
          <cell r="A130" t="str">
            <v>F0103038002</v>
          </cell>
          <cell r="B130" t="str">
            <v>尼龙衬套2</v>
          </cell>
          <cell r="C130" t="str">
            <v>件</v>
          </cell>
          <cell r="D130" t="str">
            <v>三元乙丙橡胶</v>
          </cell>
        </row>
        <row r="131">
          <cell r="A131" t="str">
            <v>F0103038006</v>
          </cell>
          <cell r="B131" t="str">
            <v>制动踏板衬套</v>
          </cell>
          <cell r="C131" t="str">
            <v>只</v>
          </cell>
          <cell r="D131" t="str">
            <v>制动部件</v>
          </cell>
        </row>
        <row r="132">
          <cell r="A132" t="str">
            <v>F0103064016</v>
          </cell>
          <cell r="B132" t="str">
            <v>子母扣</v>
          </cell>
          <cell r="C132" t="str">
            <v>只</v>
          </cell>
          <cell r="D132" t="str">
            <v>塑料件</v>
          </cell>
        </row>
        <row r="133">
          <cell r="A133" t="str">
            <v>F0103066003</v>
          </cell>
          <cell r="B133" t="str">
            <v>仪表罩金属卡扣</v>
          </cell>
          <cell r="C133" t="str">
            <v>件</v>
          </cell>
          <cell r="D133" t="str">
            <v>紧固件</v>
          </cell>
        </row>
        <row r="134">
          <cell r="A134" t="str">
            <v>F0103066004</v>
          </cell>
          <cell r="B134" t="str">
            <v>M5螺纹金属卡扣</v>
          </cell>
          <cell r="C134" t="str">
            <v>只</v>
          </cell>
          <cell r="D134" t="str">
            <v>紧固件</v>
          </cell>
        </row>
        <row r="135">
          <cell r="A135" t="str">
            <v>F0103066006</v>
          </cell>
          <cell r="B135" t="str">
            <v>金属螺纹凹凸钢卡（L106）</v>
          </cell>
          <cell r="C135" t="str">
            <v>只</v>
          </cell>
          <cell r="D135" t="str">
            <v>紧固件</v>
          </cell>
        </row>
        <row r="136">
          <cell r="A136" t="str">
            <v>F0103099057</v>
          </cell>
          <cell r="B136" t="str">
            <v>塑料重型反弹器黑色</v>
          </cell>
          <cell r="C136" t="str">
            <v>只</v>
          </cell>
          <cell r="D136" t="str">
            <v>塑料件</v>
          </cell>
        </row>
        <row r="137">
          <cell r="A137" t="str">
            <v>F0103099060</v>
          </cell>
          <cell r="B137" t="str">
            <v>雨伞/毒液</v>
          </cell>
          <cell r="C137" t="str">
            <v>把</v>
          </cell>
          <cell r="D137" t="str">
            <v>雨伞</v>
          </cell>
        </row>
        <row r="138">
          <cell r="A138" t="str">
            <v>F0103099061</v>
          </cell>
          <cell r="B138" t="str">
            <v>雨伞护套/毒液</v>
          </cell>
          <cell r="C138" t="str">
            <v>件</v>
          </cell>
          <cell r="D138" t="str">
            <v>雨伞</v>
          </cell>
        </row>
        <row r="139">
          <cell r="A139" t="str">
            <v>F0199002029</v>
          </cell>
          <cell r="B139" t="str">
            <v>方向盘Logo</v>
          </cell>
          <cell r="C139" t="str">
            <v>件</v>
          </cell>
          <cell r="D139" t="str">
            <v>塑料件</v>
          </cell>
        </row>
        <row r="140">
          <cell r="A140" t="str">
            <v>F0199002030</v>
          </cell>
          <cell r="B140" t="str">
            <v>点火锁钥匙Logo</v>
          </cell>
          <cell r="C140" t="str">
            <v>件</v>
          </cell>
          <cell r="D140" t="str">
            <v>塑料件</v>
          </cell>
        </row>
        <row r="141">
          <cell r="A141" t="str">
            <v>F0199002031</v>
          </cell>
          <cell r="B141" t="str">
            <v>铝牌《丝印，开孔)</v>
          </cell>
          <cell r="C141" t="str">
            <v>块</v>
          </cell>
          <cell r="D141" t="str">
            <v>塑料件</v>
          </cell>
        </row>
        <row r="142">
          <cell r="A142" t="str">
            <v>F0199002033</v>
          </cell>
          <cell r="B142" t="str">
            <v>VENOM-EV前标</v>
          </cell>
          <cell r="C142" t="str">
            <v>件</v>
          </cell>
          <cell r="D142" t="str">
            <v>塑料件</v>
          </cell>
        </row>
        <row r="143">
          <cell r="A143" t="str">
            <v>F0199002037</v>
          </cell>
          <cell r="B143" t="str">
            <v>蛇头侧标</v>
          </cell>
          <cell r="C143" t="str">
            <v>件</v>
          </cell>
          <cell r="D143" t="str">
            <v>塑料件</v>
          </cell>
        </row>
        <row r="144">
          <cell r="A144" t="str">
            <v>F0199003023</v>
          </cell>
          <cell r="B144" t="str">
            <v>电磁制动开关标贴</v>
          </cell>
          <cell r="C144" t="str">
            <v>件</v>
          </cell>
          <cell r="D144" t="str">
            <v>塑料件</v>
          </cell>
        </row>
        <row r="145">
          <cell r="A145" t="str">
            <v>F0199003120</v>
          </cell>
          <cell r="B145" t="str">
            <v>使用说明警示标贴</v>
          </cell>
          <cell r="C145" t="str">
            <v>张</v>
          </cell>
          <cell r="D145" t="str">
            <v>塑料件</v>
          </cell>
        </row>
        <row r="146">
          <cell r="A146" t="str">
            <v>F0199003121</v>
          </cell>
          <cell r="B146" t="str">
            <v>充电警示标贴</v>
          </cell>
          <cell r="C146" t="str">
            <v>张</v>
          </cell>
          <cell r="D146" t="str">
            <v>塑料件</v>
          </cell>
        </row>
        <row r="147">
          <cell r="A147" t="str">
            <v>F0199003122</v>
          </cell>
          <cell r="B147" t="str">
            <v>胎压警示标贴</v>
          </cell>
          <cell r="C147" t="str">
            <v>张</v>
          </cell>
          <cell r="D147" t="str">
            <v>塑料件</v>
          </cell>
        </row>
        <row r="148">
          <cell r="A148" t="str">
            <v>F0199003123</v>
          </cell>
          <cell r="B148" t="str">
            <v>顶棚警示标贴</v>
          </cell>
          <cell r="C148" t="str">
            <v>张</v>
          </cell>
          <cell r="D148" t="str">
            <v>塑料件</v>
          </cell>
        </row>
        <row r="149">
          <cell r="A149" t="str">
            <v>F0199003124</v>
          </cell>
          <cell r="B149" t="str">
            <v>侧翻承重警示标贴</v>
          </cell>
          <cell r="C149" t="str">
            <v>张</v>
          </cell>
          <cell r="D149" t="str">
            <v>塑料件</v>
          </cell>
        </row>
        <row r="150">
          <cell r="A150" t="str">
            <v>F0201002015</v>
          </cell>
          <cell r="B150" t="str">
            <v>前分泵固定板</v>
          </cell>
          <cell r="C150" t="str">
            <v>件</v>
          </cell>
          <cell r="D150" t="str">
            <v>底盘部件</v>
          </cell>
        </row>
        <row r="151">
          <cell r="A151" t="str">
            <v>F0201002016</v>
          </cell>
          <cell r="B151" t="str">
            <v>前刹车卡钳 左</v>
          </cell>
          <cell r="C151" t="str">
            <v>件</v>
          </cell>
          <cell r="D151" t="str">
            <v>制动部件</v>
          </cell>
        </row>
        <row r="152">
          <cell r="A152" t="str">
            <v>F0201002017</v>
          </cell>
          <cell r="B152" t="str">
            <v>前刹车卡钳 右</v>
          </cell>
          <cell r="C152" t="str">
            <v>件</v>
          </cell>
          <cell r="D152" t="str">
            <v>制动部件</v>
          </cell>
        </row>
        <row r="153">
          <cell r="A153" t="str">
            <v>F0201002018</v>
          </cell>
          <cell r="B153" t="str">
            <v>A型碟刹轮毂轴承总成</v>
          </cell>
          <cell r="C153" t="str">
            <v>件</v>
          </cell>
          <cell r="D153" t="str">
            <v>底盘部件</v>
          </cell>
        </row>
        <row r="154">
          <cell r="A154" t="str">
            <v>F0201002038</v>
          </cell>
          <cell r="B154" t="str">
            <v>前刹车卡钳 左</v>
          </cell>
          <cell r="C154" t="str">
            <v>件</v>
          </cell>
          <cell r="D154" t="str">
            <v>制动部件</v>
          </cell>
        </row>
        <row r="155">
          <cell r="A155" t="str">
            <v>F0201002039</v>
          </cell>
          <cell r="B155" t="str">
            <v>前刹车卡钳 右</v>
          </cell>
          <cell r="C155" t="str">
            <v>件</v>
          </cell>
          <cell r="D155" t="str">
            <v>制动部件</v>
          </cell>
        </row>
        <row r="156">
          <cell r="A156" t="str">
            <v>F0201002040</v>
          </cell>
          <cell r="B156" t="str">
            <v>A型碟刹轮毂轴承总成</v>
          </cell>
          <cell r="C156" t="str">
            <v>件</v>
          </cell>
          <cell r="D156" t="str">
            <v>车身部件</v>
          </cell>
        </row>
        <row r="157">
          <cell r="A157" t="str">
            <v>F0201003112</v>
          </cell>
          <cell r="B157" t="str">
            <v>后桥总成/电磁驻车/碟刹制动器</v>
          </cell>
          <cell r="C157" t="str">
            <v>套</v>
          </cell>
          <cell r="D157" t="str">
            <v>底盘部件</v>
          </cell>
        </row>
        <row r="158">
          <cell r="A158" t="str">
            <v>F0201003118</v>
          </cell>
          <cell r="B158" t="str">
            <v>后桥总成/电磁驻车/碟刹制动器</v>
          </cell>
          <cell r="C158" t="str">
            <v>套</v>
          </cell>
          <cell r="D158" t="str">
            <v>底盘部件</v>
          </cell>
        </row>
        <row r="159">
          <cell r="A159" t="str">
            <v>F0201004009</v>
          </cell>
          <cell r="B159" t="str">
            <v>电磁制动器</v>
          </cell>
          <cell r="C159" t="str">
            <v>件</v>
          </cell>
          <cell r="D159" t="str">
            <v>制动部件</v>
          </cell>
        </row>
        <row r="160">
          <cell r="A160" t="str">
            <v>F0201009030</v>
          </cell>
          <cell r="B160" t="str">
            <v>后稳定杆</v>
          </cell>
          <cell r="C160" t="str">
            <v>件</v>
          </cell>
          <cell r="D160" t="str">
            <v>底盘部件</v>
          </cell>
        </row>
        <row r="161">
          <cell r="A161" t="str">
            <v>F0201011011</v>
          </cell>
          <cell r="B161" t="str">
            <v>左转向节</v>
          </cell>
          <cell r="C161" t="str">
            <v>件</v>
          </cell>
          <cell r="D161" t="str">
            <v>底盘部件</v>
          </cell>
        </row>
        <row r="162">
          <cell r="A162" t="str">
            <v>F0201011012</v>
          </cell>
          <cell r="B162" t="str">
            <v>右转向节</v>
          </cell>
          <cell r="C162" t="str">
            <v>件</v>
          </cell>
          <cell r="D162" t="str">
            <v>底盘部件</v>
          </cell>
        </row>
        <row r="163">
          <cell r="A163" t="str">
            <v>F0201011019</v>
          </cell>
          <cell r="B163" t="str">
            <v>左转向节</v>
          </cell>
          <cell r="C163" t="str">
            <v>件</v>
          </cell>
          <cell r="D163" t="str">
            <v>底盘部件</v>
          </cell>
        </row>
        <row r="164">
          <cell r="A164" t="str">
            <v>F0201011020</v>
          </cell>
          <cell r="B164" t="str">
            <v>右转向节</v>
          </cell>
          <cell r="C164" t="str">
            <v>件</v>
          </cell>
          <cell r="D164" t="str">
            <v>底盘部件</v>
          </cell>
        </row>
        <row r="165">
          <cell r="A165" t="str">
            <v>F0201013007</v>
          </cell>
          <cell r="B165" t="str">
            <v>上摆臂</v>
          </cell>
          <cell r="C165" t="str">
            <v>件</v>
          </cell>
          <cell r="D165" t="str">
            <v>底盘部件</v>
          </cell>
        </row>
        <row r="166">
          <cell r="A166" t="str">
            <v>F0201013008</v>
          </cell>
          <cell r="B166" t="str">
            <v>下摆臂左</v>
          </cell>
          <cell r="C166" t="str">
            <v>件</v>
          </cell>
          <cell r="D166" t="str">
            <v>底盘部件</v>
          </cell>
        </row>
        <row r="167">
          <cell r="A167" t="str">
            <v>F0201013009</v>
          </cell>
          <cell r="B167" t="str">
            <v>下摆臂右</v>
          </cell>
          <cell r="C167" t="str">
            <v>件</v>
          </cell>
          <cell r="D167" t="str">
            <v>底盘部件</v>
          </cell>
        </row>
        <row r="168">
          <cell r="A168" t="str">
            <v>F0201013010</v>
          </cell>
          <cell r="B168" t="str">
            <v>可调球壳总成</v>
          </cell>
          <cell r="C168" t="str">
            <v>件</v>
          </cell>
          <cell r="D168" t="str">
            <v>底盘部件</v>
          </cell>
        </row>
        <row r="169">
          <cell r="A169" t="str">
            <v>F0201013021</v>
          </cell>
          <cell r="B169" t="str">
            <v>后托臂-加重型</v>
          </cell>
          <cell r="C169" t="str">
            <v>件</v>
          </cell>
          <cell r="D169" t="str">
            <v>底盘部件</v>
          </cell>
        </row>
        <row r="170">
          <cell r="A170" t="str">
            <v>F0201013022</v>
          </cell>
          <cell r="B170" t="str">
            <v>上摆臂</v>
          </cell>
          <cell r="C170" t="str">
            <v>件</v>
          </cell>
          <cell r="D170" t="str">
            <v>底盘部件</v>
          </cell>
        </row>
        <row r="171">
          <cell r="A171" t="str">
            <v>F0201013023</v>
          </cell>
          <cell r="B171" t="str">
            <v>下摆臂左</v>
          </cell>
          <cell r="C171" t="str">
            <v>件</v>
          </cell>
          <cell r="D171" t="str">
            <v>底盘部件</v>
          </cell>
        </row>
        <row r="172">
          <cell r="A172" t="str">
            <v>F0201013024</v>
          </cell>
          <cell r="B172" t="str">
            <v>下摆臂右</v>
          </cell>
          <cell r="C172" t="str">
            <v>件</v>
          </cell>
          <cell r="D172" t="str">
            <v>底盘部件</v>
          </cell>
        </row>
        <row r="173">
          <cell r="A173" t="str">
            <v>F0201013025</v>
          </cell>
          <cell r="B173" t="str">
            <v>可调球壳总成</v>
          </cell>
          <cell r="C173" t="str">
            <v>件</v>
          </cell>
          <cell r="D173" t="str">
            <v>底盘部件</v>
          </cell>
        </row>
        <row r="174">
          <cell r="A174" t="str">
            <v>F0202006036</v>
          </cell>
          <cell r="B174" t="str">
            <v>前减震器总成</v>
          </cell>
          <cell r="C174" t="str">
            <v>件</v>
          </cell>
          <cell r="D174" t="str">
            <v>底盘部件</v>
          </cell>
        </row>
        <row r="175">
          <cell r="A175" t="str">
            <v>F0202006085</v>
          </cell>
          <cell r="B175" t="str">
            <v>后减震器</v>
          </cell>
          <cell r="C175" t="str">
            <v>根</v>
          </cell>
          <cell r="D175" t="str">
            <v>底盘部件</v>
          </cell>
        </row>
        <row r="176">
          <cell r="A176" t="str">
            <v>F0202006088</v>
          </cell>
          <cell r="B176" t="str">
            <v>前减震器</v>
          </cell>
          <cell r="C176" t="str">
            <v>件</v>
          </cell>
          <cell r="D176" t="str">
            <v>底盘部件</v>
          </cell>
        </row>
        <row r="177">
          <cell r="A177" t="str">
            <v>F0202006089</v>
          </cell>
          <cell r="B177" t="str">
            <v>后减震器</v>
          </cell>
          <cell r="C177" t="str">
            <v>根</v>
          </cell>
          <cell r="D177" t="str">
            <v>底盘部件</v>
          </cell>
        </row>
        <row r="178">
          <cell r="A178" t="str">
            <v>F0203003104</v>
          </cell>
          <cell r="B178" t="str">
            <v>刹车总泵（南京金江）</v>
          </cell>
          <cell r="C178" t="str">
            <v>件</v>
          </cell>
          <cell r="D178" t="str">
            <v>制动部件</v>
          </cell>
        </row>
        <row r="179">
          <cell r="A179" t="str">
            <v>F0203006039</v>
          </cell>
          <cell r="B179" t="str">
            <v>成型制动油管-中后</v>
          </cell>
          <cell r="C179" t="str">
            <v>根</v>
          </cell>
          <cell r="D179" t="str">
            <v>制动部件</v>
          </cell>
        </row>
        <row r="180">
          <cell r="A180" t="str">
            <v>F0203006043</v>
          </cell>
          <cell r="B180" t="str">
            <v>成型制动油管-前（左右）</v>
          </cell>
          <cell r="C180" t="str">
            <v>根</v>
          </cell>
          <cell r="D180" t="str">
            <v>制动部件</v>
          </cell>
        </row>
        <row r="181">
          <cell r="A181" t="str">
            <v>F0203006045</v>
          </cell>
          <cell r="B181" t="str">
            <v>成型制动油管-左后</v>
          </cell>
          <cell r="C181" t="str">
            <v>根</v>
          </cell>
          <cell r="D181" t="str">
            <v>制动部件</v>
          </cell>
        </row>
        <row r="182">
          <cell r="A182" t="str">
            <v>F0203006046</v>
          </cell>
          <cell r="B182" t="str">
            <v>成型制动油管-右后</v>
          </cell>
          <cell r="C182" t="str">
            <v>根</v>
          </cell>
          <cell r="D182" t="str">
            <v>制动部件</v>
          </cell>
        </row>
        <row r="183">
          <cell r="A183" t="str">
            <v>F0203006047</v>
          </cell>
          <cell r="B183" t="str">
            <v>成型制动油管-中前</v>
          </cell>
          <cell r="C183" t="str">
            <v>根</v>
          </cell>
          <cell r="D183" t="str">
            <v>制动部件</v>
          </cell>
        </row>
        <row r="184">
          <cell r="A184" t="str">
            <v>F0203006048</v>
          </cell>
          <cell r="B184" t="str">
            <v>成型制动油管-左前</v>
          </cell>
          <cell r="C184" t="str">
            <v>根</v>
          </cell>
          <cell r="D184" t="str">
            <v>制动部件</v>
          </cell>
        </row>
        <row r="185">
          <cell r="A185" t="str">
            <v>F0203006049</v>
          </cell>
          <cell r="B185" t="str">
            <v>成型制动油管-右前</v>
          </cell>
          <cell r="C185" t="str">
            <v>根</v>
          </cell>
          <cell r="D185" t="str">
            <v>制动部件</v>
          </cell>
        </row>
        <row r="186">
          <cell r="A186" t="str">
            <v>F0203006051</v>
          </cell>
          <cell r="B186" t="str">
            <v>成型制动油管-中前</v>
          </cell>
          <cell r="C186" t="str">
            <v>根</v>
          </cell>
          <cell r="D186" t="str">
            <v>制动部件</v>
          </cell>
        </row>
        <row r="187">
          <cell r="A187" t="str">
            <v>F0203006052</v>
          </cell>
          <cell r="B187" t="str">
            <v>成型制动油管-中间前</v>
          </cell>
          <cell r="C187" t="str">
            <v>根</v>
          </cell>
          <cell r="D187" t="str">
            <v>制动部件</v>
          </cell>
        </row>
        <row r="188">
          <cell r="A188" t="str">
            <v>F0203006053</v>
          </cell>
          <cell r="B188" t="str">
            <v>成型制动油管-中间后</v>
          </cell>
          <cell r="C188" t="str">
            <v>根</v>
          </cell>
          <cell r="D188" t="str">
            <v>制动部件</v>
          </cell>
        </row>
        <row r="189">
          <cell r="A189" t="str">
            <v>F0203006054</v>
          </cell>
          <cell r="B189" t="str">
            <v>成型制动油管-左后/右后</v>
          </cell>
          <cell r="C189" t="str">
            <v>根</v>
          </cell>
          <cell r="D189" t="str">
            <v>制动部件</v>
          </cell>
        </row>
        <row r="190">
          <cell r="A190" t="str">
            <v>F0203006055</v>
          </cell>
          <cell r="B190" t="str">
            <v>成型制动油管-左前</v>
          </cell>
          <cell r="C190" t="str">
            <v>根</v>
          </cell>
          <cell r="D190" t="str">
            <v>制动部件</v>
          </cell>
        </row>
        <row r="191">
          <cell r="A191" t="str">
            <v>F0203006056</v>
          </cell>
          <cell r="B191" t="str">
            <v>或型制动油管-右前</v>
          </cell>
          <cell r="C191" t="str">
            <v>根</v>
          </cell>
          <cell r="D191" t="str">
            <v>制动部件</v>
          </cell>
        </row>
        <row r="192">
          <cell r="A192" t="str">
            <v>F0203007008</v>
          </cell>
          <cell r="B192" t="str">
            <v>制动软管/L510 一头直一头L</v>
          </cell>
          <cell r="C192" t="str">
            <v>根</v>
          </cell>
          <cell r="D192" t="str">
            <v>制动部件</v>
          </cell>
        </row>
        <row r="193">
          <cell r="A193" t="str">
            <v>F0203007009</v>
          </cell>
          <cell r="B193" t="str">
            <v>制动软管/L460 一头直一头L</v>
          </cell>
          <cell r="C193" t="str">
            <v>根</v>
          </cell>
          <cell r="D193" t="str">
            <v>制动部件</v>
          </cell>
        </row>
        <row r="194">
          <cell r="A194" t="str">
            <v>F0203007011</v>
          </cell>
          <cell r="B194" t="str">
            <v>制动软管/L545 一头直一头L</v>
          </cell>
          <cell r="C194" t="str">
            <v>根</v>
          </cell>
          <cell r="D194" t="str">
            <v>制动部件</v>
          </cell>
        </row>
        <row r="195">
          <cell r="A195" t="str">
            <v>F0203013009</v>
          </cell>
          <cell r="B195" t="str">
            <v>304不锈钢德式喉箍/10-16</v>
          </cell>
          <cell r="C195" t="str">
            <v>只</v>
          </cell>
          <cell r="D195" t="str">
            <v>紧固件</v>
          </cell>
        </row>
        <row r="196">
          <cell r="A196" t="str">
            <v>F0203013010</v>
          </cell>
          <cell r="B196" t="str">
            <v>不锈钢卡箍/50-70-9mm宽</v>
          </cell>
          <cell r="C196" t="str">
            <v>件</v>
          </cell>
          <cell r="D196" t="str">
            <v>塑料件</v>
          </cell>
        </row>
        <row r="197">
          <cell r="A197" t="str">
            <v>F0204001011.5</v>
          </cell>
          <cell r="B197" t="str">
            <v>特色方向盘/款式见图片</v>
          </cell>
          <cell r="C197" t="str">
            <v>只</v>
          </cell>
          <cell r="D197" t="str">
            <v>车身部件</v>
          </cell>
        </row>
        <row r="198">
          <cell r="A198" t="str">
            <v>F0204001012</v>
          </cell>
          <cell r="B198" t="str">
            <v>特色方向盘底座</v>
          </cell>
          <cell r="C198" t="str">
            <v>只</v>
          </cell>
          <cell r="D198" t="str">
            <v>车身部件</v>
          </cell>
        </row>
        <row r="199">
          <cell r="A199" t="str">
            <v>F0204001013</v>
          </cell>
          <cell r="B199" t="str">
            <v>方向盘计分牌</v>
          </cell>
          <cell r="C199" t="str">
            <v>只</v>
          </cell>
          <cell r="D199" t="str">
            <v>塑料件</v>
          </cell>
        </row>
        <row r="200">
          <cell r="A200" t="str">
            <v>F0204002032</v>
          </cell>
          <cell r="B200" t="str">
            <v>转向轴管抱箍1</v>
          </cell>
          <cell r="C200" t="str">
            <v>件</v>
          </cell>
          <cell r="D200" t="str">
            <v>底盘部件</v>
          </cell>
        </row>
        <row r="201">
          <cell r="A201" t="str">
            <v>F0204002033</v>
          </cell>
          <cell r="B201" t="str">
            <v>转向轴管抱箍2</v>
          </cell>
          <cell r="C201" t="str">
            <v>件</v>
          </cell>
          <cell r="D201" t="str">
            <v>底盘部件</v>
          </cell>
        </row>
        <row r="202">
          <cell r="A202" t="str">
            <v>F0204002037</v>
          </cell>
          <cell r="B202" t="str">
            <v>转向轴管</v>
          </cell>
          <cell r="C202" t="str">
            <v>件</v>
          </cell>
          <cell r="D202" t="str">
            <v>底盘部件</v>
          </cell>
        </row>
        <row r="203">
          <cell r="A203" t="str">
            <v>F0204002038</v>
          </cell>
          <cell r="B203" t="str">
            <v>转向轴管气弹簧</v>
          </cell>
          <cell r="C203" t="str">
            <v>件</v>
          </cell>
          <cell r="D203" t="str">
            <v>底盘部件</v>
          </cell>
        </row>
        <row r="204">
          <cell r="A204" t="str">
            <v>F0204002043</v>
          </cell>
          <cell r="B204" t="str">
            <v>转向轴管</v>
          </cell>
          <cell r="C204" t="str">
            <v>件</v>
          </cell>
          <cell r="D204" t="str">
            <v>底盘部件</v>
          </cell>
        </row>
        <row r="205">
          <cell r="A205" t="str">
            <v>F0204003025</v>
          </cell>
          <cell r="B205" t="str">
            <v>方向机总成 </v>
          </cell>
          <cell r="C205" t="str">
            <v>件</v>
          </cell>
          <cell r="D205" t="str">
            <v>底盘部件</v>
          </cell>
        </row>
        <row r="206">
          <cell r="A206" t="str">
            <v>F0204003026</v>
          </cell>
          <cell r="B206" t="str">
            <v>方向机总成  加长</v>
          </cell>
          <cell r="C206" t="str">
            <v>件</v>
          </cell>
          <cell r="D206" t="str">
            <v>底盘部件</v>
          </cell>
        </row>
        <row r="207">
          <cell r="A207" t="str">
            <v>F0204004037</v>
          </cell>
          <cell r="B207" t="str">
            <v>转向下轴</v>
          </cell>
          <cell r="C207" t="str">
            <v>件</v>
          </cell>
          <cell r="D207" t="str">
            <v>底盘部件</v>
          </cell>
        </row>
        <row r="208">
          <cell r="A208" t="str">
            <v>F0204004038</v>
          </cell>
          <cell r="B208" t="str">
            <v>转向下轴-加长</v>
          </cell>
          <cell r="C208" t="str">
            <v>件</v>
          </cell>
          <cell r="D208" t="str">
            <v>底盘部件</v>
          </cell>
        </row>
        <row r="209">
          <cell r="A209" t="str">
            <v>F0204004052</v>
          </cell>
          <cell r="B209" t="str">
            <v>转向下轴</v>
          </cell>
          <cell r="C209" t="str">
            <v>件</v>
          </cell>
          <cell r="D209" t="str">
            <v>底盘部件</v>
          </cell>
        </row>
        <row r="210">
          <cell r="A210" t="str">
            <v>F0301014026</v>
          </cell>
          <cell r="B210" t="str">
            <v>防水充电插座带线总成/0.8米</v>
          </cell>
          <cell r="C210" t="str">
            <v>件</v>
          </cell>
          <cell r="D210" t="str">
            <v>线束</v>
          </cell>
        </row>
        <row r="211">
          <cell r="A211" t="str">
            <v>F0301014027</v>
          </cell>
          <cell r="B211" t="str">
            <v>防水充电插头带线总成/2.5米</v>
          </cell>
          <cell r="C211" t="str">
            <v>件</v>
          </cell>
          <cell r="D211" t="str">
            <v>线束</v>
          </cell>
        </row>
        <row r="212">
          <cell r="A212" t="str">
            <v>F0302002067</v>
          </cell>
          <cell r="B212" t="str">
            <v>交流电机5KW/48V/19齿/圆法兰</v>
          </cell>
          <cell r="C212" t="str">
            <v>件</v>
          </cell>
          <cell r="D212" t="str">
            <v>交流电机</v>
          </cell>
        </row>
        <row r="213">
          <cell r="A213" t="str">
            <v>F0302012121</v>
          </cell>
          <cell r="B213" t="str">
            <v>锂电电控/球车/锂电池/CAN/新版</v>
          </cell>
          <cell r="C213" t="str">
            <v>件</v>
          </cell>
          <cell r="D213" t="str">
            <v>电控</v>
          </cell>
        </row>
        <row r="214">
          <cell r="A214" t="str">
            <v>F0302012136</v>
          </cell>
          <cell r="B214" t="str">
            <v>锂电电控/球车/ECO锂电池/CAN</v>
          </cell>
          <cell r="C214" t="str">
            <v>件</v>
          </cell>
          <cell r="D214" t="str">
            <v>电控</v>
          </cell>
        </row>
        <row r="215">
          <cell r="A215" t="str">
            <v>F0302012139</v>
          </cell>
          <cell r="B215" t="str">
            <v>锂电电控/打猎车/ECO锂电池/CAN</v>
          </cell>
          <cell r="C215" t="str">
            <v>件</v>
          </cell>
          <cell r="D215" t="str">
            <v>电控</v>
          </cell>
        </row>
        <row r="216">
          <cell r="A216" t="str">
            <v>F0303002007</v>
          </cell>
          <cell r="B216" t="str">
            <v>铸铝大踏板加速器</v>
          </cell>
          <cell r="C216" t="str">
            <v>件</v>
          </cell>
          <cell r="D216" t="str">
            <v>制动部件</v>
          </cell>
        </row>
        <row r="217">
          <cell r="A217" t="str">
            <v>F0303002011</v>
          </cell>
          <cell r="B217" t="str">
            <v>加速踏板总成</v>
          </cell>
          <cell r="C217" t="str">
            <v>件</v>
          </cell>
          <cell r="D217" t="str">
            <v>制动部件</v>
          </cell>
        </row>
        <row r="218">
          <cell r="A218" t="str">
            <v>F0304004046</v>
          </cell>
          <cell r="B218" t="str">
            <v>DC转换器/非隔离48V转13V300W</v>
          </cell>
          <cell r="C218" t="str">
            <v>件</v>
          </cell>
          <cell r="D218" t="str">
            <v>车身部件</v>
          </cell>
        </row>
        <row r="219">
          <cell r="A219" t="str">
            <v>F0304004047</v>
          </cell>
          <cell r="B219" t="str">
            <v>DC转换器/非隔离48V转13V500W</v>
          </cell>
          <cell r="C219" t="str">
            <v>件</v>
          </cell>
          <cell r="D219" t="str">
            <v>车身部件</v>
          </cell>
        </row>
        <row r="220">
          <cell r="A220" t="str">
            <v>F0304009003</v>
          </cell>
          <cell r="B220" t="str">
            <v>倒车蜂鸣器（带DJ7021-1.5-11插件）</v>
          </cell>
          <cell r="C220" t="str">
            <v>件</v>
          </cell>
          <cell r="D220" t="str">
            <v>塑料件</v>
          </cell>
        </row>
        <row r="221">
          <cell r="A221" t="str">
            <v>F0307001044</v>
          </cell>
          <cell r="B221" t="str">
            <v>10.1寸多功能仪表中控屏/带电池</v>
          </cell>
          <cell r="C221" t="str">
            <v>件</v>
          </cell>
          <cell r="D221" t="str">
            <v>车载液晶显示器</v>
          </cell>
        </row>
        <row r="222">
          <cell r="A222" t="str">
            <v>F0307003018</v>
          </cell>
          <cell r="B222" t="str">
            <v>蜗牛喇叭</v>
          </cell>
          <cell r="C222" t="str">
            <v>件</v>
          </cell>
          <cell r="D222" t="str">
            <v>车身部件</v>
          </cell>
        </row>
        <row r="223">
          <cell r="A223" t="str">
            <v>F0307003025</v>
          </cell>
          <cell r="B223" t="str">
            <v>防水麦克风（MIC）</v>
          </cell>
          <cell r="C223" t="str">
            <v>件</v>
          </cell>
          <cell r="D223" t="str">
            <v>塑料件</v>
          </cell>
        </row>
        <row r="224">
          <cell r="A224" t="str">
            <v>F0307003027</v>
          </cell>
          <cell r="B224" t="str">
            <v>防水扬声器喇叭</v>
          </cell>
          <cell r="C224" t="str">
            <v>件</v>
          </cell>
          <cell r="D224" t="str">
            <v>车身部件</v>
          </cell>
        </row>
        <row r="225">
          <cell r="A225" t="str">
            <v>F0307003030</v>
          </cell>
          <cell r="B225" t="str">
            <v>6*8寸超薄有源低音炮</v>
          </cell>
          <cell r="C225" t="str">
            <v>件</v>
          </cell>
          <cell r="D225" t="str">
            <v>低音炮</v>
          </cell>
        </row>
        <row r="226">
          <cell r="A226" t="str">
            <v>F0307003031</v>
          </cell>
          <cell r="B226" t="str">
            <v>6*8寸超薄有源低音炮音频线</v>
          </cell>
          <cell r="C226" t="str">
            <v>件</v>
          </cell>
          <cell r="D226" t="str">
            <v>音频线</v>
          </cell>
        </row>
        <row r="227">
          <cell r="A227" t="str">
            <v>F0307004007</v>
          </cell>
          <cell r="B227" t="str">
            <v>扬声器网罩/带氛围灯</v>
          </cell>
          <cell r="C227" t="str">
            <v>件</v>
          </cell>
          <cell r="D227" t="str">
            <v>组合大灯附件</v>
          </cell>
        </row>
        <row r="228">
          <cell r="A228" t="str">
            <v>F0307007006</v>
          </cell>
          <cell r="B228" t="str">
            <v>声霸音频线</v>
          </cell>
          <cell r="C228" t="str">
            <v>件</v>
          </cell>
          <cell r="D228" t="str">
            <v>塑料件</v>
          </cell>
        </row>
        <row r="229">
          <cell r="A229" t="str">
            <v>F0307007015</v>
          </cell>
          <cell r="B229" t="str">
            <v>音频线（1RCA公转2RCA母）</v>
          </cell>
          <cell r="C229" t="str">
            <v>件</v>
          </cell>
          <cell r="D229" t="str">
            <v>塑料件</v>
          </cell>
        </row>
        <row r="230">
          <cell r="A230" t="str">
            <v>F0308001043</v>
          </cell>
          <cell r="B230" t="str">
            <v>左前大灯总成</v>
          </cell>
          <cell r="C230" t="str">
            <v>件</v>
          </cell>
          <cell r="D230" t="str">
            <v>组合大灯</v>
          </cell>
        </row>
        <row r="231">
          <cell r="A231" t="str">
            <v>F0308001044</v>
          </cell>
          <cell r="B231" t="str">
            <v>右前大灯总成</v>
          </cell>
          <cell r="C231" t="str">
            <v>件</v>
          </cell>
          <cell r="D231" t="str">
            <v>组合大灯</v>
          </cell>
        </row>
        <row r="232">
          <cell r="A232" t="str">
            <v>F0308007029</v>
          </cell>
          <cell r="B232" t="str">
            <v>左后尾灯</v>
          </cell>
          <cell r="C232" t="str">
            <v>只</v>
          </cell>
          <cell r="D232" t="str">
            <v>组合大灯</v>
          </cell>
        </row>
        <row r="233">
          <cell r="A233" t="str">
            <v>F0308007030</v>
          </cell>
          <cell r="B233" t="str">
            <v>右后尾灯</v>
          </cell>
          <cell r="C233" t="str">
            <v>只</v>
          </cell>
          <cell r="D233" t="str">
            <v>组合大灯</v>
          </cell>
        </row>
        <row r="234">
          <cell r="A234" t="str">
            <v>F0308009016</v>
          </cell>
          <cell r="B234" t="str">
            <v>贯穿灯</v>
          </cell>
          <cell r="C234" t="str">
            <v>件</v>
          </cell>
          <cell r="D234" t="str">
            <v>组合大灯</v>
          </cell>
        </row>
        <row r="235">
          <cell r="A235" t="str">
            <v>F0308010011</v>
          </cell>
          <cell r="B235" t="str">
            <v>后保装饰灯罩</v>
          </cell>
          <cell r="C235" t="str">
            <v>套</v>
          </cell>
          <cell r="D235" t="str">
            <v>塑料件</v>
          </cell>
        </row>
        <row r="236">
          <cell r="A236" t="str">
            <v>F0308011003</v>
          </cell>
          <cell r="B236" t="str">
            <v>后牌照灯</v>
          </cell>
          <cell r="C236" t="str">
            <v>件</v>
          </cell>
          <cell r="D236" t="str">
            <v>组合大灯</v>
          </cell>
        </row>
        <row r="237">
          <cell r="A237" t="str">
            <v>F0308034003</v>
          </cell>
          <cell r="B237" t="str">
            <v>车载时钟( 黑色全夜光）</v>
          </cell>
          <cell r="C237" t="str">
            <v>只</v>
          </cell>
          <cell r="D237" t="str">
            <v>塑料件</v>
          </cell>
        </row>
        <row r="238">
          <cell r="A238" t="str">
            <v>F0308035007</v>
          </cell>
          <cell r="B238" t="str">
            <v>座椅靠背氛围灯灯条</v>
          </cell>
          <cell r="C238" t="str">
            <v>件</v>
          </cell>
          <cell r="D238" t="str">
            <v>组合大灯附件</v>
          </cell>
        </row>
        <row r="239">
          <cell r="A239" t="str">
            <v>F0308035009</v>
          </cell>
          <cell r="B239" t="str">
            <v>整车氛围灯总成（不含喇叭罩电镀件、导光件和座椅靠背灯）</v>
          </cell>
          <cell r="C239" t="str">
            <v>套</v>
          </cell>
          <cell r="D239" t="str">
            <v>组合大灯附件</v>
          </cell>
        </row>
        <row r="240">
          <cell r="A240" t="str">
            <v>F0308035028</v>
          </cell>
          <cell r="B240" t="str">
            <v>整车氛围灯总成（不含喇叭罩电镀件、导光件和座椅靠背灯）</v>
          </cell>
          <cell r="C240" t="str">
            <v>套</v>
          </cell>
          <cell r="D240" t="str">
            <v>组合大灯附件</v>
          </cell>
        </row>
        <row r="241">
          <cell r="A241" t="str">
            <v>F0308035031</v>
          </cell>
          <cell r="B241" t="str">
            <v>座椅靠背氛围灯灯条</v>
          </cell>
          <cell r="C241" t="str">
            <v>件</v>
          </cell>
          <cell r="D241" t="str">
            <v>组合大灯附件</v>
          </cell>
        </row>
        <row r="242">
          <cell r="A242" t="str">
            <v>F0309001109</v>
          </cell>
          <cell r="B242" t="str">
            <v>组合开关罩 左</v>
          </cell>
          <cell r="C242" t="str">
            <v>件</v>
          </cell>
          <cell r="D242" t="str">
            <v>塑料件</v>
          </cell>
        </row>
        <row r="243">
          <cell r="A243" t="str">
            <v>F0309001110</v>
          </cell>
          <cell r="B243" t="str">
            <v>组合开关罩 右</v>
          </cell>
          <cell r="C243" t="str">
            <v>件</v>
          </cell>
          <cell r="D243" t="str">
            <v>塑料件</v>
          </cell>
        </row>
        <row r="244">
          <cell r="A244" t="str">
            <v>F0309001111</v>
          </cell>
          <cell r="B244" t="str">
            <v>组合开关罩上盖</v>
          </cell>
          <cell r="C244" t="str">
            <v>件</v>
          </cell>
          <cell r="D244" t="str">
            <v>塑料件</v>
          </cell>
        </row>
        <row r="245">
          <cell r="A245" t="str">
            <v>F0309001112</v>
          </cell>
          <cell r="B245" t="str">
            <v>组合开关/单柄/带转向回位</v>
          </cell>
          <cell r="C245" t="str">
            <v>件</v>
          </cell>
          <cell r="D245" t="str">
            <v>车身部件</v>
          </cell>
        </row>
        <row r="246">
          <cell r="A246" t="str">
            <v>F0309002208</v>
          </cell>
          <cell r="B246" t="str">
            <v>钮子开关带线束</v>
          </cell>
          <cell r="C246" t="str">
            <v>件</v>
          </cell>
          <cell r="D246" t="str">
            <v>车身部件</v>
          </cell>
        </row>
        <row r="247">
          <cell r="A247" t="str">
            <v>F0309002214</v>
          </cell>
          <cell r="B247" t="str">
            <v>一键启动系统总成（支持苹果和安卓NFC)</v>
          </cell>
          <cell r="C247" t="str">
            <v>套</v>
          </cell>
          <cell r="D247" t="str">
            <v>车身部件</v>
          </cell>
        </row>
        <row r="248">
          <cell r="A248" t="str">
            <v>F0309004004</v>
          </cell>
          <cell r="B248" t="str">
            <v>按钮开关（双闪）/含插件</v>
          </cell>
          <cell r="C248" t="str">
            <v>件</v>
          </cell>
          <cell r="D248" t="str">
            <v>车身部件</v>
          </cell>
        </row>
        <row r="249">
          <cell r="A249" t="str">
            <v>F0309004007</v>
          </cell>
          <cell r="B249" t="str">
            <v>按钮开关（双闪）/含插件/黑色</v>
          </cell>
          <cell r="C249" t="str">
            <v>件</v>
          </cell>
          <cell r="D249" t="str">
            <v>车身部件</v>
          </cell>
        </row>
        <row r="250">
          <cell r="A250" t="str">
            <v>F0309005002</v>
          </cell>
          <cell r="B250" t="str">
            <v>制动灯开关（带DJ7021-1.5-11插件）</v>
          </cell>
          <cell r="C250" t="str">
            <v>件</v>
          </cell>
          <cell r="D250" t="str">
            <v>塑料件</v>
          </cell>
        </row>
        <row r="251">
          <cell r="A251" t="str">
            <v>F0309006006</v>
          </cell>
          <cell r="B251" t="str">
            <v>旋钮换挡开关</v>
          </cell>
          <cell r="C251" t="str">
            <v>件</v>
          </cell>
          <cell r="D251" t="str">
            <v>车身部件</v>
          </cell>
        </row>
        <row r="252">
          <cell r="A252" t="str">
            <v>F0309013049</v>
          </cell>
          <cell r="B252" t="str">
            <v>USB接头母转公</v>
          </cell>
          <cell r="C252" t="str">
            <v>只</v>
          </cell>
          <cell r="D252" t="str">
            <v>塑料件</v>
          </cell>
        </row>
        <row r="253">
          <cell r="A253" t="str">
            <v>F0309013050</v>
          </cell>
          <cell r="B253" t="str">
            <v>圆孔型PD快充</v>
          </cell>
          <cell r="C253" t="str">
            <v>只</v>
          </cell>
          <cell r="D253" t="str">
            <v>塑料件</v>
          </cell>
        </row>
        <row r="254">
          <cell r="A254" t="str">
            <v>F0399011001</v>
          </cell>
          <cell r="B254" t="str">
            <v>无线充电器总成</v>
          </cell>
          <cell r="C254" t="str">
            <v>套</v>
          </cell>
          <cell r="D254" t="str">
            <v>塑料件</v>
          </cell>
        </row>
        <row r="255">
          <cell r="A255" t="str">
            <v>F2101001001</v>
          </cell>
          <cell r="B255" t="str">
            <v>圆头螺丝平垫片弹垫组合件</v>
          </cell>
          <cell r="C255" t="str">
            <v>只</v>
          </cell>
          <cell r="D255" t="str">
            <v>紧固件</v>
          </cell>
        </row>
        <row r="256">
          <cell r="A256" t="str">
            <v>F2101001002</v>
          </cell>
          <cell r="B256" t="str">
            <v>圆头螺丝平垫片弹垫组合件</v>
          </cell>
          <cell r="C256" t="str">
            <v>只</v>
          </cell>
          <cell r="D256" t="str">
            <v>紧固件</v>
          </cell>
        </row>
        <row r="257">
          <cell r="A257" t="str">
            <v>F2101001003</v>
          </cell>
          <cell r="B257" t="str">
            <v>圆头螺丝平垫片弹垫组合件</v>
          </cell>
          <cell r="C257" t="str">
            <v>只</v>
          </cell>
          <cell r="D257" t="str">
            <v>紧固件</v>
          </cell>
        </row>
        <row r="258">
          <cell r="A258" t="str">
            <v>F2101001017</v>
          </cell>
          <cell r="B258" t="str">
            <v>盘头自攻钉</v>
          </cell>
          <cell r="C258" t="str">
            <v>只</v>
          </cell>
          <cell r="D258" t="str">
            <v>紧固件</v>
          </cell>
        </row>
        <row r="259">
          <cell r="A259" t="str">
            <v>F2101001019</v>
          </cell>
          <cell r="B259" t="str">
            <v>304不锈钢十字盘头螺丝</v>
          </cell>
          <cell r="C259" t="str">
            <v>只</v>
          </cell>
          <cell r="D259" t="str">
            <v>紧固件</v>
          </cell>
        </row>
        <row r="260">
          <cell r="A260" t="str">
            <v>F2101001042</v>
          </cell>
          <cell r="B260" t="str">
            <v>盘头螺丝平垫片弹垫组合件</v>
          </cell>
          <cell r="C260" t="str">
            <v>只</v>
          </cell>
          <cell r="D260" t="str">
            <v>紧固件</v>
          </cell>
        </row>
        <row r="261">
          <cell r="A261" t="str">
            <v>F2101002004</v>
          </cell>
          <cell r="B261" t="str">
            <v>不锈钢十字槽沉头螺丝</v>
          </cell>
          <cell r="C261" t="str">
            <v>只</v>
          </cell>
          <cell r="D261" t="str">
            <v>紧固件</v>
          </cell>
        </row>
        <row r="262">
          <cell r="A262" t="str">
            <v>F2101002008</v>
          </cell>
          <cell r="B262" t="str">
            <v>304不锈钢十字平头螺丝</v>
          </cell>
          <cell r="C262" t="str">
            <v>只</v>
          </cell>
          <cell r="D262" t="str">
            <v>紧固件</v>
          </cell>
        </row>
        <row r="263">
          <cell r="A263" t="str">
            <v>F2101002014</v>
          </cell>
          <cell r="B263" t="str">
            <v>十字槽沉头螺钉</v>
          </cell>
          <cell r="C263" t="str">
            <v>只</v>
          </cell>
          <cell r="D263" t="str">
            <v>紧固件</v>
          </cell>
        </row>
        <row r="264">
          <cell r="A264" t="str">
            <v>F2101012004</v>
          </cell>
          <cell r="B264" t="str">
            <v>不锈钢半圆头内六角螺丝</v>
          </cell>
          <cell r="C264" t="str">
            <v>只</v>
          </cell>
          <cell r="D264" t="str">
            <v>紧固件</v>
          </cell>
        </row>
        <row r="265">
          <cell r="A265" t="str">
            <v>F2101018010</v>
          </cell>
          <cell r="B265" t="str">
            <v>8.8级外六角螺丝10*45</v>
          </cell>
          <cell r="C265" t="str">
            <v>只</v>
          </cell>
          <cell r="D265" t="str">
            <v>紧固件</v>
          </cell>
        </row>
        <row r="266">
          <cell r="A266" t="str">
            <v>F2101021004</v>
          </cell>
          <cell r="B266" t="str">
            <v>圆头自攻螺丝</v>
          </cell>
          <cell r="C266" t="str">
            <v>只</v>
          </cell>
          <cell r="D266" t="str">
            <v>紧固件</v>
          </cell>
        </row>
        <row r="267">
          <cell r="A267" t="str">
            <v>F2101021015</v>
          </cell>
          <cell r="B267" t="str">
            <v>十字盘头自攻钉</v>
          </cell>
          <cell r="C267" t="str">
            <v>只</v>
          </cell>
          <cell r="D267" t="str">
            <v>紧固件</v>
          </cell>
        </row>
        <row r="268">
          <cell r="A268" t="str">
            <v>F2101021023</v>
          </cell>
          <cell r="B268" t="str">
            <v>不锈钢盘头自攻钉</v>
          </cell>
          <cell r="C268" t="str">
            <v>只</v>
          </cell>
          <cell r="D268" t="str">
            <v>紧固件</v>
          </cell>
        </row>
        <row r="269">
          <cell r="A269" t="str">
            <v>F210103006</v>
          </cell>
          <cell r="B269" t="str">
            <v>不锈钢内六角法兰面自攻钉</v>
          </cell>
          <cell r="C269" t="str">
            <v>只</v>
          </cell>
          <cell r="D269" t="str">
            <v>紧固件</v>
          </cell>
        </row>
        <row r="270">
          <cell r="A270" t="str">
            <v>F210103007</v>
          </cell>
          <cell r="B270" t="str">
            <v>内六角法兰面自攻钉(4.8*16）</v>
          </cell>
          <cell r="C270" t="str">
            <v>只</v>
          </cell>
          <cell r="D270" t="str">
            <v>紧固件</v>
          </cell>
        </row>
        <row r="271">
          <cell r="A271" t="str">
            <v>F2101032005</v>
          </cell>
          <cell r="B271" t="str">
            <v>十字平头自攻螺钉</v>
          </cell>
          <cell r="C271" t="str">
            <v>件</v>
          </cell>
          <cell r="D271" t="str">
            <v>紧固件</v>
          </cell>
        </row>
        <row r="272">
          <cell r="A272" t="str">
            <v>F2101041030</v>
          </cell>
          <cell r="B272" t="str">
            <v>不锈钢六角螺栓</v>
          </cell>
          <cell r="C272" t="str">
            <v>件</v>
          </cell>
          <cell r="D272" t="str">
            <v>紧固件</v>
          </cell>
        </row>
        <row r="273">
          <cell r="A273" t="str">
            <v>F2101041036</v>
          </cell>
          <cell r="B273" t="str">
            <v>外六角螺栓</v>
          </cell>
          <cell r="C273" t="str">
            <v>只</v>
          </cell>
          <cell r="D273" t="str">
            <v>紧固件</v>
          </cell>
        </row>
        <row r="274">
          <cell r="A274" t="str">
            <v>F2101043060</v>
          </cell>
          <cell r="B274" t="str">
            <v>六角法兰面螺栓</v>
          </cell>
          <cell r="C274" t="str">
            <v>件</v>
          </cell>
          <cell r="D274" t="str">
            <v>紧固件</v>
          </cell>
        </row>
        <row r="275">
          <cell r="A275" t="str">
            <v>F2101043112</v>
          </cell>
          <cell r="B275" t="str">
            <v>六角法兰面自锁螺栓</v>
          </cell>
          <cell r="C275" t="str">
            <v>只</v>
          </cell>
          <cell r="D275" t="str">
            <v>紧固件</v>
          </cell>
        </row>
        <row r="276">
          <cell r="A276" t="str">
            <v>F2101051006</v>
          </cell>
          <cell r="B276" t="str">
            <v>薄型螺母</v>
          </cell>
          <cell r="C276" t="str">
            <v>只</v>
          </cell>
          <cell r="D276" t="str">
            <v>紧固件</v>
          </cell>
        </row>
        <row r="277">
          <cell r="A277" t="str">
            <v>F2101051014</v>
          </cell>
          <cell r="B277" t="str">
            <v>不锈钢六角螺母</v>
          </cell>
          <cell r="C277" t="str">
            <v>只</v>
          </cell>
          <cell r="D277" t="str">
            <v>紧固件</v>
          </cell>
        </row>
        <row r="278">
          <cell r="A278" t="str">
            <v>F2101051015</v>
          </cell>
          <cell r="B278" t="str">
            <v>全金属六角法兰面紧锁螺母</v>
          </cell>
          <cell r="C278" t="str">
            <v>件</v>
          </cell>
          <cell r="D278" t="str">
            <v>紧固件</v>
          </cell>
        </row>
        <row r="279">
          <cell r="A279" t="str">
            <v>F2101059005</v>
          </cell>
          <cell r="B279" t="str">
            <v>不锈钢盖形尼龙锁紧螺母</v>
          </cell>
          <cell r="C279" t="str">
            <v>只</v>
          </cell>
          <cell r="D279" t="str">
            <v>紧固件</v>
          </cell>
        </row>
        <row r="280">
          <cell r="A280" t="str">
            <v>F2101081003</v>
          </cell>
          <cell r="B280" t="str">
            <v>平垫片（5）加大</v>
          </cell>
          <cell r="C280" t="str">
            <v>只</v>
          </cell>
          <cell r="D280" t="str">
            <v>紧固件</v>
          </cell>
        </row>
        <row r="281">
          <cell r="A281" t="str">
            <v>F2101081010</v>
          </cell>
          <cell r="B281" t="str">
            <v>大平垫</v>
          </cell>
          <cell r="C281" t="str">
            <v>只</v>
          </cell>
          <cell r="D281" t="str">
            <v>紧固件</v>
          </cell>
        </row>
        <row r="282">
          <cell r="A282" t="str">
            <v>F2101083021</v>
          </cell>
          <cell r="B282" t="str">
            <v>蝶形弾簧</v>
          </cell>
          <cell r="C282" t="str">
            <v>件</v>
          </cell>
          <cell r="D282" t="str">
            <v>底盘部件</v>
          </cell>
        </row>
        <row r="283">
          <cell r="A283" t="str">
            <v>F2101102023</v>
          </cell>
          <cell r="B283" t="str">
            <v>开口销</v>
          </cell>
          <cell r="C283" t="str">
            <v>件</v>
          </cell>
          <cell r="D283" t="str">
            <v>紧固件</v>
          </cell>
        </row>
        <row r="284">
          <cell r="A284" t="str">
            <v>F2101105008</v>
          </cell>
          <cell r="B284" t="str">
            <v>销轴</v>
          </cell>
          <cell r="C284" t="str">
            <v>件</v>
          </cell>
          <cell r="D284" t="str">
            <v>车身部件</v>
          </cell>
        </row>
        <row r="285">
          <cell r="A285" t="str">
            <v>F2101105014</v>
          </cell>
          <cell r="B285" t="str">
            <v>销轴</v>
          </cell>
          <cell r="C285" t="str">
            <v>件</v>
          </cell>
          <cell r="D285" t="str">
            <v>车身部件</v>
          </cell>
        </row>
        <row r="286">
          <cell r="A286" t="str">
            <v>F2101105015</v>
          </cell>
          <cell r="B286" t="str">
            <v>转向轴管销轴</v>
          </cell>
          <cell r="C286" t="str">
            <v>件</v>
          </cell>
          <cell r="D286" t="str">
            <v>底盘部件</v>
          </cell>
        </row>
        <row r="287">
          <cell r="A287" t="str">
            <v>F2101105019</v>
          </cell>
          <cell r="B287" t="str">
            <v>销轴</v>
          </cell>
          <cell r="C287" t="str">
            <v>件</v>
          </cell>
          <cell r="D287" t="str">
            <v>紧固件</v>
          </cell>
        </row>
        <row r="288">
          <cell r="A288" t="str">
            <v>F2101177002</v>
          </cell>
          <cell r="B288" t="str">
            <v>梅花手旋螺丝</v>
          </cell>
          <cell r="C288" t="str">
            <v>只</v>
          </cell>
          <cell r="D288" t="str">
            <v>三元乙丙橡胶</v>
          </cell>
        </row>
        <row r="289">
          <cell r="A289" t="str">
            <v>F2111000182</v>
          </cell>
          <cell r="B289" t="str">
            <v>G款2座标准件盒</v>
          </cell>
          <cell r="C289" t="str">
            <v>盒</v>
          </cell>
          <cell r="D289" t="str">
            <v>紧固件</v>
          </cell>
        </row>
        <row r="290">
          <cell r="A290" t="str">
            <v>F2111000197</v>
          </cell>
          <cell r="B290" t="str">
            <v>V1G 4座标准件盒</v>
          </cell>
          <cell r="C290" t="str">
            <v>台</v>
          </cell>
          <cell r="D290" t="str">
            <v>紧固件</v>
          </cell>
        </row>
        <row r="291">
          <cell r="A291" t="str">
            <v>F2119000005</v>
          </cell>
          <cell r="B291" t="str">
            <v>扎带</v>
          </cell>
          <cell r="C291" t="str">
            <v>根</v>
          </cell>
          <cell r="D291" t="str">
            <v>塑料件</v>
          </cell>
        </row>
        <row r="292">
          <cell r="A292" t="str">
            <v>F2119000010</v>
          </cell>
          <cell r="B292" t="str">
            <v>螺旋扎带</v>
          </cell>
          <cell r="C292" t="str">
            <v>根</v>
          </cell>
          <cell r="D292" t="str">
            <v>塑料件</v>
          </cell>
        </row>
        <row r="293">
          <cell r="A293" t="str">
            <v>F211900039</v>
          </cell>
          <cell r="B293" t="str">
            <v>圆头螺丝平垫片弹垫组合件</v>
          </cell>
          <cell r="C293" t="str">
            <v>只</v>
          </cell>
          <cell r="D293" t="str">
            <v>紧固件</v>
          </cell>
        </row>
        <row r="294">
          <cell r="A294" t="str">
            <v>F99001043060</v>
          </cell>
          <cell r="B294" t="str">
            <v>V1G后备箱开孔定位卡板</v>
          </cell>
          <cell r="C294" t="str">
            <v>件</v>
          </cell>
          <cell r="D294" t="str">
            <v>塑料件</v>
          </cell>
        </row>
        <row r="295">
          <cell r="A295" t="str">
            <v>FO103035099</v>
          </cell>
          <cell r="B295" t="str">
            <v>烟斗橡胶套/黑色</v>
          </cell>
          <cell r="C295" t="str">
            <v>只</v>
          </cell>
          <cell r="D295" t="str">
            <v>三元乙丙橡胶</v>
          </cell>
        </row>
        <row r="296">
          <cell r="A296" t="str">
            <v>L0100000341</v>
          </cell>
          <cell r="B296" t="str">
            <v>油管两通</v>
          </cell>
          <cell r="C296" t="str">
            <v>只</v>
          </cell>
          <cell r="D296" t="str">
            <v>制动部件</v>
          </cell>
        </row>
        <row r="297">
          <cell r="A297" t="str">
            <v>Y0211045</v>
          </cell>
          <cell r="B297" t="str">
            <v>组合垫圈</v>
          </cell>
          <cell r="C297" t="str">
            <v>只</v>
          </cell>
          <cell r="D297" t="str">
            <v>三元乙丙橡胶</v>
          </cell>
        </row>
        <row r="298">
          <cell r="A298" t="str">
            <v>Y0214003010</v>
          </cell>
          <cell r="B298" t="str">
            <v>扎带</v>
          </cell>
          <cell r="C298" t="str">
            <v>根</v>
          </cell>
          <cell r="D298" t="str">
            <v>塑料件</v>
          </cell>
        </row>
        <row r="299">
          <cell r="A299" t="str">
            <v>Y0214003025</v>
          </cell>
          <cell r="B299" t="str">
            <v>扎带</v>
          </cell>
          <cell r="C299" t="str">
            <v>根</v>
          </cell>
          <cell r="D299" t="str">
            <v>塑料件</v>
          </cell>
        </row>
        <row r="300">
          <cell r="A300" t="str">
            <v>Y0301001029</v>
          </cell>
          <cell r="B300" t="str">
            <v>平头罗丝(6*30)</v>
          </cell>
          <cell r="C300" t="str">
            <v>只</v>
          </cell>
          <cell r="D300" t="str">
            <v>紧固件</v>
          </cell>
        </row>
        <row r="301">
          <cell r="A301" t="str">
            <v>Y0301001061</v>
          </cell>
          <cell r="B301" t="str">
            <v>不锈钢平头螺钉(5*16)</v>
          </cell>
          <cell r="C301" t="str">
            <v>只</v>
          </cell>
          <cell r="D301" t="str">
            <v>紧固件</v>
          </cell>
        </row>
        <row r="302">
          <cell r="A302" t="str">
            <v>Y0301003004</v>
          </cell>
          <cell r="B302" t="str">
            <v>不锈钢十字槽盘头螺钉M6*25</v>
          </cell>
          <cell r="C302" t="str">
            <v>只</v>
          </cell>
          <cell r="D302" t="str">
            <v>紧固件</v>
          </cell>
        </row>
        <row r="303">
          <cell r="A303" t="str">
            <v>Y0301005041</v>
          </cell>
          <cell r="B303" t="str">
            <v>大圆头自攻罗丝(4.8*16)</v>
          </cell>
          <cell r="C303" t="str">
            <v>只</v>
          </cell>
          <cell r="D303" t="str">
            <v>紧固件</v>
          </cell>
        </row>
        <row r="304">
          <cell r="A304" t="str">
            <v>Y0301005043</v>
          </cell>
          <cell r="B304" t="str">
            <v>半圆头内六角自攻钉钢板(4.8*25)</v>
          </cell>
          <cell r="C304" t="str">
            <v>只</v>
          </cell>
          <cell r="D304" t="str">
            <v>紧固件</v>
          </cell>
        </row>
        <row r="305">
          <cell r="A305" t="str">
            <v>Y0301006022</v>
          </cell>
          <cell r="B305" t="str">
            <v>平头自攻(4.2*16)</v>
          </cell>
          <cell r="C305" t="str">
            <v>只</v>
          </cell>
          <cell r="D305" t="str">
            <v>紧固件</v>
          </cell>
        </row>
        <row r="306">
          <cell r="A306" t="str">
            <v>Y0301006023</v>
          </cell>
          <cell r="B306" t="str">
            <v>平头自攻（4.2*10)</v>
          </cell>
          <cell r="C306" t="str">
            <v>只</v>
          </cell>
          <cell r="D306" t="str">
            <v>紧固件</v>
          </cell>
        </row>
        <row r="307">
          <cell r="A307" t="str">
            <v>Y0301007012</v>
          </cell>
          <cell r="B307" t="str">
            <v>不锈钢平头内六角自攻钉（4.2*16）</v>
          </cell>
          <cell r="C307" t="str">
            <v>只</v>
          </cell>
          <cell r="D307" t="str">
            <v>紧固件</v>
          </cell>
        </row>
        <row r="308">
          <cell r="A308" t="str">
            <v>Y0301010009</v>
          </cell>
          <cell r="B308" t="str">
            <v>六角罗丝(6*16)</v>
          </cell>
          <cell r="C308" t="str">
            <v>只</v>
          </cell>
          <cell r="D308" t="str">
            <v>紧固件</v>
          </cell>
        </row>
        <row r="309">
          <cell r="A309" t="str">
            <v>Y0301010010</v>
          </cell>
          <cell r="B309" t="str">
            <v>六角罗丝(6*20)</v>
          </cell>
          <cell r="C309" t="str">
            <v>只</v>
          </cell>
          <cell r="D309" t="str">
            <v>紧固件</v>
          </cell>
        </row>
        <row r="310">
          <cell r="A310" t="str">
            <v>Y0301010011</v>
          </cell>
          <cell r="B310" t="str">
            <v>六角罗丝(6*25)</v>
          </cell>
          <cell r="C310" t="str">
            <v>只</v>
          </cell>
          <cell r="D310" t="str">
            <v>紧固件</v>
          </cell>
        </row>
        <row r="311">
          <cell r="A311" t="str">
            <v>Y0301010012</v>
          </cell>
          <cell r="B311" t="str">
            <v>六角罗丝(6*30)</v>
          </cell>
          <cell r="C311" t="str">
            <v>只</v>
          </cell>
          <cell r="D311" t="str">
            <v>紧固件</v>
          </cell>
        </row>
        <row r="312">
          <cell r="A312" t="str">
            <v>Y0301010013</v>
          </cell>
          <cell r="B312" t="str">
            <v>六角罗丝(6*35)</v>
          </cell>
          <cell r="C312" t="str">
            <v>只</v>
          </cell>
          <cell r="D312" t="str">
            <v>紧固件</v>
          </cell>
        </row>
        <row r="313">
          <cell r="A313" t="str">
            <v>Y0301010016</v>
          </cell>
          <cell r="B313" t="str">
            <v>六角罗丝(6*60)</v>
          </cell>
          <cell r="C313" t="str">
            <v>只</v>
          </cell>
          <cell r="D313" t="str">
            <v>紧固件</v>
          </cell>
        </row>
        <row r="314">
          <cell r="A314" t="str">
            <v>Y0301010020</v>
          </cell>
          <cell r="B314" t="str">
            <v>六角罗丝(8*20)</v>
          </cell>
          <cell r="C314" t="str">
            <v>只</v>
          </cell>
          <cell r="D314" t="str">
            <v>紧固件</v>
          </cell>
        </row>
        <row r="315">
          <cell r="A315" t="str">
            <v>Y0301010021</v>
          </cell>
          <cell r="B315" t="str">
            <v>六角罗丝(8*25)</v>
          </cell>
          <cell r="C315" t="str">
            <v>只</v>
          </cell>
          <cell r="D315" t="str">
            <v>紧固件</v>
          </cell>
        </row>
        <row r="316">
          <cell r="A316" t="str">
            <v>Y0301010022</v>
          </cell>
          <cell r="B316" t="str">
            <v>六角罗丝(8*30)</v>
          </cell>
          <cell r="C316" t="str">
            <v>只</v>
          </cell>
          <cell r="D316" t="str">
            <v>紧固件</v>
          </cell>
        </row>
        <row r="317">
          <cell r="A317" t="str">
            <v>Y0301010024</v>
          </cell>
          <cell r="B317" t="str">
            <v>六角罗丝(8*40)</v>
          </cell>
          <cell r="C317" t="str">
            <v>只</v>
          </cell>
          <cell r="D317" t="str">
            <v>紧固件</v>
          </cell>
        </row>
        <row r="318">
          <cell r="A318" t="str">
            <v>Y0301010025</v>
          </cell>
          <cell r="B318" t="str">
            <v>六角罗丝(8*45)</v>
          </cell>
          <cell r="C318" t="str">
            <v>只</v>
          </cell>
          <cell r="D318" t="str">
            <v>紧固件</v>
          </cell>
        </row>
        <row r="319">
          <cell r="A319" t="str">
            <v>Y0301010026</v>
          </cell>
          <cell r="B319" t="str">
            <v>六角罗丝(8*50)</v>
          </cell>
          <cell r="C319" t="str">
            <v>只</v>
          </cell>
          <cell r="D319" t="str">
            <v>紧固件</v>
          </cell>
        </row>
        <row r="320">
          <cell r="A320" t="str">
            <v>Y0301010027</v>
          </cell>
          <cell r="B320" t="str">
            <v>六角罗丝(8*60)</v>
          </cell>
          <cell r="C320" t="str">
            <v>只</v>
          </cell>
          <cell r="D320" t="str">
            <v>紧固件</v>
          </cell>
        </row>
        <row r="321">
          <cell r="A321" t="str">
            <v>Y0301010040</v>
          </cell>
          <cell r="B321" t="str">
            <v>六角罗丝(10*60)</v>
          </cell>
          <cell r="C321" t="str">
            <v>只</v>
          </cell>
          <cell r="D321" t="str">
            <v>紧固件</v>
          </cell>
        </row>
        <row r="322">
          <cell r="A322" t="str">
            <v>Y0301010057</v>
          </cell>
          <cell r="B322" t="str">
            <v>六角罗丝(12*60)</v>
          </cell>
          <cell r="C322" t="str">
            <v>只</v>
          </cell>
          <cell r="D322" t="str">
            <v>紧固件</v>
          </cell>
        </row>
        <row r="323">
          <cell r="A323" t="str">
            <v>Y0301010061</v>
          </cell>
          <cell r="B323" t="str">
            <v>六角罗丝(12*90)</v>
          </cell>
          <cell r="C323" t="str">
            <v>只</v>
          </cell>
          <cell r="D323" t="str">
            <v>紧固件</v>
          </cell>
        </row>
        <row r="324">
          <cell r="A324" t="str">
            <v>Y0301010062</v>
          </cell>
          <cell r="B324" t="str">
            <v>六角罗丝(12*100)</v>
          </cell>
          <cell r="C324" t="str">
            <v>只</v>
          </cell>
          <cell r="D324" t="str">
            <v>紧固件</v>
          </cell>
        </row>
        <row r="325">
          <cell r="A325" t="str">
            <v>Y0301012011</v>
          </cell>
          <cell r="B325" t="str">
            <v>半园头内六角罗丝8*25</v>
          </cell>
          <cell r="C325" t="str">
            <v>只</v>
          </cell>
          <cell r="D325" t="str">
            <v>紧固件</v>
          </cell>
        </row>
        <row r="326">
          <cell r="A326" t="str">
            <v>Y0301013006</v>
          </cell>
          <cell r="B326" t="str">
            <v>法兰面六角罗丝(6*16)</v>
          </cell>
          <cell r="C326" t="str">
            <v>只</v>
          </cell>
          <cell r="D326" t="str">
            <v>紧固件</v>
          </cell>
        </row>
        <row r="327">
          <cell r="A327" t="str">
            <v>Y030101304314</v>
          </cell>
          <cell r="B327" t="str">
            <v>法兰面六角罗丝（5*12）</v>
          </cell>
          <cell r="C327" t="str">
            <v>只</v>
          </cell>
          <cell r="D327" t="str">
            <v>紧固件</v>
          </cell>
        </row>
        <row r="328">
          <cell r="A328" t="str">
            <v>Y0301014002</v>
          </cell>
          <cell r="B328" t="str">
            <v>不锈钢六角罗丝(6*60)</v>
          </cell>
          <cell r="C328" t="str">
            <v>只</v>
          </cell>
          <cell r="D328" t="str">
            <v>紧固件</v>
          </cell>
        </row>
        <row r="329">
          <cell r="A329" t="str">
            <v>Y0301014004</v>
          </cell>
          <cell r="B329" t="str">
            <v>不锈钢六角罗丝(8*25)</v>
          </cell>
          <cell r="C329" t="str">
            <v>只</v>
          </cell>
          <cell r="D329" t="str">
            <v>紧固件</v>
          </cell>
        </row>
        <row r="330">
          <cell r="A330" t="str">
            <v>Y0301014024</v>
          </cell>
          <cell r="B330" t="str">
            <v>不锈钢六角罗丝(6*20)</v>
          </cell>
          <cell r="C330" t="str">
            <v>只</v>
          </cell>
          <cell r="D330" t="str">
            <v>紧固件</v>
          </cell>
        </row>
        <row r="331">
          <cell r="A331" t="str">
            <v>Y0301014029</v>
          </cell>
          <cell r="B331" t="str">
            <v>不锈钢六角螺丝</v>
          </cell>
          <cell r="C331" t="str">
            <v>只</v>
          </cell>
          <cell r="D331" t="str">
            <v>紧固件</v>
          </cell>
        </row>
        <row r="332">
          <cell r="A332" t="str">
            <v>Y0301019005</v>
          </cell>
          <cell r="B332" t="str">
            <v>罗母(6)</v>
          </cell>
          <cell r="C332" t="str">
            <v>只</v>
          </cell>
          <cell r="D332" t="str">
            <v>紧固件</v>
          </cell>
        </row>
        <row r="333">
          <cell r="A333" t="str">
            <v>Y0301019030</v>
          </cell>
          <cell r="B333" t="str">
            <v>尼龙自锁罗母（10）</v>
          </cell>
          <cell r="C333" t="str">
            <v>只</v>
          </cell>
          <cell r="D333" t="str">
            <v>紧固件</v>
          </cell>
        </row>
        <row r="334">
          <cell r="A334" t="str">
            <v>Y0301019035</v>
          </cell>
          <cell r="B334" t="str">
            <v>不锈钢罗母(8)</v>
          </cell>
          <cell r="C334" t="str">
            <v>只</v>
          </cell>
          <cell r="D334" t="str">
            <v>紧固件</v>
          </cell>
        </row>
        <row r="335">
          <cell r="A335" t="str">
            <v>Y0301019093</v>
          </cell>
          <cell r="B335" t="str">
            <v>尼龙锁紧法兰面螺母</v>
          </cell>
          <cell r="C335" t="str">
            <v>只</v>
          </cell>
          <cell r="D335" t="str">
            <v>紧固件</v>
          </cell>
        </row>
        <row r="336">
          <cell r="A336" t="str">
            <v>Y0301020003</v>
          </cell>
          <cell r="B336" t="str">
            <v>平垫片(5)</v>
          </cell>
          <cell r="C336" t="str">
            <v>只</v>
          </cell>
          <cell r="D336" t="str">
            <v>紧固件</v>
          </cell>
        </row>
        <row r="337">
          <cell r="A337" t="str">
            <v>Y0301020004</v>
          </cell>
          <cell r="B337" t="str">
            <v>平垫片(6)</v>
          </cell>
          <cell r="C337" t="str">
            <v>只</v>
          </cell>
          <cell r="D337" t="str">
            <v>紧固件</v>
          </cell>
        </row>
        <row r="338">
          <cell r="A338" t="str">
            <v>Y0301020005</v>
          </cell>
          <cell r="B338" t="str">
            <v>平垫片(6)加大</v>
          </cell>
          <cell r="C338" t="str">
            <v>只</v>
          </cell>
          <cell r="D338" t="str">
            <v>紧固件</v>
          </cell>
        </row>
        <row r="339">
          <cell r="A339" t="str">
            <v>Y0301020006</v>
          </cell>
          <cell r="B339" t="str">
            <v>平垫片(6)不锈钢加大</v>
          </cell>
          <cell r="C339" t="str">
            <v>只</v>
          </cell>
          <cell r="D339" t="str">
            <v>紧固件</v>
          </cell>
        </row>
        <row r="340">
          <cell r="A340" t="str">
            <v>Y0301020007</v>
          </cell>
          <cell r="B340" t="str">
            <v>平垫片(8)</v>
          </cell>
          <cell r="C340" t="str">
            <v>只</v>
          </cell>
          <cell r="D340" t="str">
            <v>紧固件</v>
          </cell>
        </row>
        <row r="341">
          <cell r="A341" t="str">
            <v>Y0301020008</v>
          </cell>
          <cell r="B341" t="str">
            <v>平垫片(8)加大</v>
          </cell>
          <cell r="C341" t="str">
            <v>只</v>
          </cell>
          <cell r="D341" t="str">
            <v>紧固件</v>
          </cell>
        </row>
        <row r="342">
          <cell r="A342" t="str">
            <v>Y0301020009</v>
          </cell>
          <cell r="B342" t="str">
            <v>平垫片(8)不锈钢加大</v>
          </cell>
          <cell r="C342" t="str">
            <v>只</v>
          </cell>
          <cell r="D342" t="str">
            <v>紧固件</v>
          </cell>
        </row>
        <row r="343">
          <cell r="A343" t="str">
            <v>Y030102001014</v>
          </cell>
          <cell r="B343" t="str">
            <v>平垫片（10）</v>
          </cell>
          <cell r="C343" t="str">
            <v>只</v>
          </cell>
          <cell r="D343" t="str">
            <v>紧固件</v>
          </cell>
        </row>
        <row r="344">
          <cell r="A344" t="str">
            <v>Y0301020011</v>
          </cell>
          <cell r="B344" t="str">
            <v>平垫片(10)加大</v>
          </cell>
          <cell r="C344" t="str">
            <v>只</v>
          </cell>
          <cell r="D344" t="str">
            <v>紧固件</v>
          </cell>
        </row>
        <row r="345">
          <cell r="A345" t="str">
            <v>Y0301020014</v>
          </cell>
          <cell r="B345" t="str">
            <v>平垫片(12)</v>
          </cell>
          <cell r="C345" t="str">
            <v>只</v>
          </cell>
          <cell r="D345" t="str">
            <v>紧固件</v>
          </cell>
        </row>
        <row r="346">
          <cell r="A346" t="str">
            <v>Y0301020015</v>
          </cell>
          <cell r="B346" t="str">
            <v>加大平垫片(12*32)</v>
          </cell>
          <cell r="C346" t="str">
            <v>只</v>
          </cell>
          <cell r="D346" t="str">
            <v>紧固件</v>
          </cell>
        </row>
        <row r="347">
          <cell r="A347" t="str">
            <v>Y0301020026</v>
          </cell>
          <cell r="B347" t="str">
            <v>平垫片(8)不锈钢</v>
          </cell>
          <cell r="C347" t="str">
            <v>只</v>
          </cell>
          <cell r="D347" t="str">
            <v>紧固件</v>
          </cell>
        </row>
        <row r="348">
          <cell r="A348" t="str">
            <v>Y0301021004</v>
          </cell>
          <cell r="B348" t="str">
            <v>弹簧垫片（6）</v>
          </cell>
          <cell r="C348" t="str">
            <v>只</v>
          </cell>
          <cell r="D348" t="str">
            <v>紧固件</v>
          </cell>
        </row>
        <row r="349">
          <cell r="A349" t="str">
            <v>Y0301021005</v>
          </cell>
          <cell r="B349" t="str">
            <v>弹簧垫片（8）</v>
          </cell>
          <cell r="C349" t="str">
            <v>只</v>
          </cell>
          <cell r="D349" t="str">
            <v>紧固件</v>
          </cell>
        </row>
        <row r="350">
          <cell r="A350" t="str">
            <v>Y0301021006</v>
          </cell>
          <cell r="B350" t="str">
            <v>弹簧垫片（8）不锈钢</v>
          </cell>
          <cell r="C350" t="str">
            <v>只</v>
          </cell>
          <cell r="D350" t="str">
            <v>紧固件</v>
          </cell>
        </row>
        <row r="351">
          <cell r="A351" t="str">
            <v>Y0301021007</v>
          </cell>
          <cell r="B351" t="str">
            <v>弹簧垫片（10）</v>
          </cell>
          <cell r="C351" t="str">
            <v>只</v>
          </cell>
          <cell r="D351" t="str">
            <v>紧固件</v>
          </cell>
        </row>
        <row r="352">
          <cell r="A352" t="str">
            <v>Y0301021009</v>
          </cell>
          <cell r="B352" t="str">
            <v>弹簧垫片（12）</v>
          </cell>
          <cell r="C352" t="str">
            <v>只</v>
          </cell>
          <cell r="D352" t="str">
            <v>紧固件</v>
          </cell>
        </row>
        <row r="353">
          <cell r="A353" t="str">
            <v>Y0301021014</v>
          </cell>
          <cell r="B353" t="str">
            <v>弹簧垫片（6）不锈钢</v>
          </cell>
          <cell r="C353" t="str">
            <v>只</v>
          </cell>
          <cell r="D353" t="str">
            <v>紧固件</v>
          </cell>
        </row>
        <row r="354">
          <cell r="A354" t="str">
            <v>Y0301025023</v>
          </cell>
          <cell r="B354" t="str">
            <v>钢卡卡簧（72）</v>
          </cell>
          <cell r="C354" t="str">
            <v>只</v>
          </cell>
          <cell r="D354" t="str">
            <v>紧固件</v>
          </cell>
        </row>
        <row r="355">
          <cell r="A355" t="str">
            <v>Y0301025024</v>
          </cell>
          <cell r="B355" t="str">
            <v>自攻卡扣（金属4.8）彩</v>
          </cell>
          <cell r="C355" t="str">
            <v>只</v>
          </cell>
          <cell r="D355" t="str">
            <v>紧固件</v>
          </cell>
        </row>
        <row r="356">
          <cell r="A356" t="str">
            <v>Y0301035001</v>
          </cell>
          <cell r="B356" t="str">
            <v>六角法兰面螺母(8)</v>
          </cell>
          <cell r="C356" t="str">
            <v>只</v>
          </cell>
          <cell r="D356" t="str">
            <v>紧固件</v>
          </cell>
        </row>
        <row r="357">
          <cell r="A357" t="str">
            <v>Y0301035007</v>
          </cell>
          <cell r="B357" t="str">
            <v>六角法兰面螺母(5)</v>
          </cell>
          <cell r="C357" t="str">
            <v>只</v>
          </cell>
          <cell r="D357" t="str">
            <v>紧固件</v>
          </cell>
        </row>
        <row r="358">
          <cell r="A358" t="str">
            <v>Y0301035008</v>
          </cell>
          <cell r="B358" t="str">
            <v>六角法兰面螺母（6)</v>
          </cell>
          <cell r="C358" t="str">
            <v>只</v>
          </cell>
          <cell r="D358" t="str">
            <v>紧固件</v>
          </cell>
        </row>
        <row r="359">
          <cell r="A359" t="str">
            <v>Y0302002003</v>
          </cell>
          <cell r="B359" t="str">
            <v>波纹管(塑料PAAD10)</v>
          </cell>
          <cell r="C359" t="str">
            <v>M</v>
          </cell>
          <cell r="D359" t="str">
            <v>塑料件</v>
          </cell>
        </row>
        <row r="360">
          <cell r="A360" t="str">
            <v>Y0316020008</v>
          </cell>
          <cell r="B360" t="str">
            <v>离合器油管(内径10mm)</v>
          </cell>
          <cell r="C360" t="str">
            <v>M</v>
          </cell>
          <cell r="D360" t="str">
            <v>制动部件</v>
          </cell>
        </row>
        <row r="361">
          <cell r="A361" t="str">
            <v>Y0320004028</v>
          </cell>
          <cell r="B361" t="str">
            <v>簧片</v>
          </cell>
          <cell r="C361" t="str">
            <v>只</v>
          </cell>
          <cell r="D361" t="str">
            <v>紧固件</v>
          </cell>
        </row>
        <row r="362">
          <cell r="A362" t="str">
            <v>Y0403057</v>
          </cell>
          <cell r="B362" t="str">
            <v>护线圈 1</v>
          </cell>
          <cell r="C362" t="str">
            <v>件</v>
          </cell>
          <cell r="D362" t="str">
            <v>三元乙丙橡胶</v>
          </cell>
        </row>
        <row r="363">
          <cell r="A363" t="str">
            <v>Y0403254</v>
          </cell>
          <cell r="B363" t="str">
            <v>前移窗限位块</v>
          </cell>
          <cell r="C363" t="str">
            <v>件</v>
          </cell>
          <cell r="D363" t="str">
            <v>三元乙丙橡胶</v>
          </cell>
        </row>
        <row r="364">
          <cell r="A364" t="str">
            <v>Y0410024021410</v>
          </cell>
          <cell r="B364" t="str">
            <v>制动总泵支架</v>
          </cell>
          <cell r="C364" t="str">
            <v>件</v>
          </cell>
          <cell r="D364" t="str">
            <v>车身部件（支架等）</v>
          </cell>
        </row>
        <row r="365">
          <cell r="A365" t="str">
            <v>Y0410024021418</v>
          </cell>
          <cell r="B365" t="str">
            <v>仪表台上纵梁</v>
          </cell>
          <cell r="C365" t="str">
            <v>件</v>
          </cell>
          <cell r="D365" t="str">
            <v>车身部件（支架等）</v>
          </cell>
        </row>
        <row r="366">
          <cell r="A366" t="str">
            <v>Y0410024021443</v>
          </cell>
          <cell r="B366" t="str">
            <v>仪表台上弯管梁（G款）</v>
          </cell>
          <cell r="C366" t="str">
            <v>件</v>
          </cell>
          <cell r="D366" t="str">
            <v>车身部件（支架等）</v>
          </cell>
        </row>
        <row r="367">
          <cell r="A367" t="str">
            <v>Y0410024027323</v>
          </cell>
          <cell r="B367" t="str">
            <v>安全带固定支撑</v>
          </cell>
          <cell r="C367" t="str">
            <v>件</v>
          </cell>
          <cell r="D367" t="str">
            <v>车身部件（支架等）</v>
          </cell>
        </row>
        <row r="368">
          <cell r="A368" t="str">
            <v>Y0410024027344</v>
          </cell>
          <cell r="B368" t="str">
            <v>安全带固定支撑</v>
          </cell>
          <cell r="C368" t="str">
            <v>件</v>
          </cell>
          <cell r="D368" t="str">
            <v>车身部件（支架等）</v>
          </cell>
        </row>
        <row r="369">
          <cell r="A369" t="str">
            <v>Y0410024021428</v>
          </cell>
          <cell r="B369" t="str">
            <v>大梁左（2座球车）</v>
          </cell>
          <cell r="C369" t="str">
            <v>件</v>
          </cell>
          <cell r="D369" t="str">
            <v>车身部件（支架等）</v>
          </cell>
        </row>
        <row r="370">
          <cell r="A370" t="str">
            <v>Y0410024021429</v>
          </cell>
          <cell r="B370" t="str">
            <v>大梁右（2座球车）</v>
          </cell>
          <cell r="C370" t="str">
            <v>件</v>
          </cell>
          <cell r="D370" t="str">
            <v>车身部件（支架等）</v>
          </cell>
        </row>
        <row r="371">
          <cell r="A371" t="str">
            <v>F0102045009</v>
          </cell>
          <cell r="B371" t="str">
            <v>加长侧护板（四座）</v>
          </cell>
          <cell r="C371" t="str">
            <v>件</v>
          </cell>
          <cell r="D371" t="str">
            <v>塑料件</v>
          </cell>
        </row>
        <row r="372">
          <cell r="A372" t="str">
            <v>F0102045010</v>
          </cell>
          <cell r="B372" t="str">
            <v>后侧护板</v>
          </cell>
          <cell r="C372" t="str">
            <v>件</v>
          </cell>
          <cell r="D372" t="str">
            <v>塑料件</v>
          </cell>
        </row>
        <row r="373">
          <cell r="A373" t="str">
            <v>F0102045022</v>
          </cell>
          <cell r="B373" t="str">
            <v>四座中座桶</v>
          </cell>
          <cell r="C373" t="str">
            <v>件</v>
          </cell>
          <cell r="D373" t="str">
            <v>塑料件</v>
          </cell>
        </row>
        <row r="374">
          <cell r="A374" t="str">
            <v>F0102045025</v>
          </cell>
          <cell r="B374" t="str">
            <v>后轮眉</v>
          </cell>
          <cell r="C374" t="str">
            <v>件</v>
          </cell>
          <cell r="D374" t="str">
            <v>塑料件</v>
          </cell>
        </row>
        <row r="375">
          <cell r="A375" t="str">
            <v>F0102045035</v>
          </cell>
          <cell r="B375" t="str">
            <v>中座椅桶堵盖</v>
          </cell>
          <cell r="C375" t="str">
            <v>件</v>
          </cell>
          <cell r="D375" t="str">
            <v>三元乙丙橡胶</v>
          </cell>
        </row>
        <row r="376">
          <cell r="A376" t="str">
            <v>F0102045063</v>
          </cell>
          <cell r="B376" t="str">
            <v>侧护板堵盖</v>
          </cell>
          <cell r="C376" t="str">
            <v>件</v>
          </cell>
          <cell r="D376" t="str">
            <v>三元乙丙橡胶</v>
          </cell>
        </row>
        <row r="377">
          <cell r="A377" t="str">
            <v>F0102045090</v>
          </cell>
          <cell r="B377" t="str">
            <v>下底板</v>
          </cell>
          <cell r="C377" t="str">
            <v>件</v>
          </cell>
          <cell r="D377" t="str">
            <v>车身部件（支架等）</v>
          </cell>
        </row>
        <row r="378">
          <cell r="A378" t="str">
            <v>F0102045130</v>
          </cell>
          <cell r="B378" t="str">
            <v>侧踏板安装支架</v>
          </cell>
          <cell r="C378" t="str">
            <v>件</v>
          </cell>
          <cell r="D378" t="str">
            <v>车身部件（支架等）</v>
          </cell>
        </row>
        <row r="379">
          <cell r="A379" t="str">
            <v>F0102045133</v>
          </cell>
          <cell r="B379" t="str">
            <v>氛围灯支架</v>
          </cell>
          <cell r="C379" t="str">
            <v>件</v>
          </cell>
          <cell r="D379" t="str">
            <v>车身部件（支架等）</v>
          </cell>
        </row>
        <row r="380">
          <cell r="A380" t="str">
            <v>F0102045142</v>
          </cell>
          <cell r="B380" t="str">
            <v>低音炮支架</v>
          </cell>
          <cell r="C380" t="str">
            <v>件</v>
          </cell>
          <cell r="D380" t="str">
            <v>车身部件（支架等）</v>
          </cell>
        </row>
        <row r="381">
          <cell r="A381" t="str">
            <v>F0102047021</v>
          </cell>
          <cell r="B381" t="str">
            <v>前中排安装带支架</v>
          </cell>
          <cell r="C381" t="str">
            <v>件</v>
          </cell>
          <cell r="D381" t="str">
            <v>车身部件（支架等）</v>
          </cell>
        </row>
        <row r="382">
          <cell r="A382" t="str">
            <v>F0102047023</v>
          </cell>
          <cell r="B382" t="str">
            <v>球童拉手</v>
          </cell>
          <cell r="C382" t="str">
            <v>件</v>
          </cell>
          <cell r="D382" t="str">
            <v>车身部件（支架等）</v>
          </cell>
        </row>
        <row r="383">
          <cell r="A383" t="str">
            <v>F0102047025</v>
          </cell>
          <cell r="B383" t="str">
            <v>中座椅桶后堵盖</v>
          </cell>
          <cell r="C383" t="str">
            <v>件</v>
          </cell>
          <cell r="D383" t="str">
            <v>三元乙丙橡胶</v>
          </cell>
        </row>
        <row r="384">
          <cell r="A384" t="str">
            <v>F0102047029</v>
          </cell>
          <cell r="B384" t="str">
            <v>下底板</v>
          </cell>
          <cell r="C384" t="str">
            <v>件</v>
          </cell>
          <cell r="D384" t="str">
            <v>车身部件（支架等）</v>
          </cell>
        </row>
        <row r="385">
          <cell r="A385" t="str">
            <v>F0102047030</v>
          </cell>
          <cell r="B385" t="str">
            <v>座椅桶支架</v>
          </cell>
          <cell r="C385" t="str">
            <v>件</v>
          </cell>
          <cell r="D385" t="str">
            <v>车身部件（支架等）</v>
          </cell>
        </row>
        <row r="386">
          <cell r="A386" t="str">
            <v>F0102047031</v>
          </cell>
          <cell r="B386" t="str">
            <v>非隔离DC安装支架</v>
          </cell>
          <cell r="C386" t="str">
            <v>件</v>
          </cell>
          <cell r="D386" t="str">
            <v>车身部件（支架等）</v>
          </cell>
        </row>
        <row r="387">
          <cell r="A387" t="str">
            <v>F0102047086</v>
          </cell>
          <cell r="B387" t="str">
            <v>前座椅骨架安装支架（4座车）</v>
          </cell>
          <cell r="C387" t="str">
            <v>件</v>
          </cell>
          <cell r="D387" t="str">
            <v>车身部件（支架等）</v>
          </cell>
        </row>
        <row r="388">
          <cell r="A388" t="str">
            <v>F0102047103</v>
          </cell>
          <cell r="B388" t="str">
            <v>顶棚后支撑 左（配声霸线卡）</v>
          </cell>
          <cell r="C388" t="str">
            <v>件</v>
          </cell>
          <cell r="D388" t="str">
            <v>车身部件（支架等）</v>
          </cell>
        </row>
        <row r="389">
          <cell r="A389" t="str">
            <v>F0102047104</v>
          </cell>
          <cell r="B389" t="str">
            <v>顶棚后支撑 右（配声霸线卡）</v>
          </cell>
          <cell r="C389" t="str">
            <v>件</v>
          </cell>
          <cell r="D389" t="str">
            <v>车身部件（支架等）</v>
          </cell>
        </row>
        <row r="390">
          <cell r="A390" t="str">
            <v>F0102048003</v>
          </cell>
          <cell r="B390" t="str">
            <v>顶棚</v>
          </cell>
          <cell r="C390" t="str">
            <v>件</v>
          </cell>
          <cell r="D390" t="str">
            <v>塑料件</v>
          </cell>
        </row>
        <row r="391">
          <cell r="A391" t="str">
            <v>F0102063016</v>
          </cell>
          <cell r="B391" t="str">
            <v>左前侧护板</v>
          </cell>
          <cell r="C391" t="str">
            <v>件</v>
          </cell>
          <cell r="D391" t="str">
            <v>塑料件</v>
          </cell>
        </row>
        <row r="392">
          <cell r="A392" t="str">
            <v>F0102063017</v>
          </cell>
          <cell r="B392" t="str">
            <v>右前侧护板</v>
          </cell>
          <cell r="C392" t="str">
            <v>件</v>
          </cell>
          <cell r="D392" t="str">
            <v>塑料件</v>
          </cell>
        </row>
        <row r="393">
          <cell r="A393" t="str">
            <v>F0102063023</v>
          </cell>
          <cell r="B393" t="str">
            <v>前挡板</v>
          </cell>
          <cell r="C393" t="str">
            <v>件</v>
          </cell>
          <cell r="D393" t="str">
            <v>车身部件（支架等）</v>
          </cell>
        </row>
        <row r="394">
          <cell r="A394" t="str">
            <v>F0102063028</v>
          </cell>
          <cell r="B394" t="str">
            <v>后罩挡水板-左</v>
          </cell>
          <cell r="C394" t="str">
            <v>件</v>
          </cell>
          <cell r="D394" t="str">
            <v>塑料件</v>
          </cell>
        </row>
        <row r="395">
          <cell r="A395" t="str">
            <v>F0102063029</v>
          </cell>
          <cell r="B395" t="str">
            <v>后罩挡水板-右</v>
          </cell>
          <cell r="C395" t="str">
            <v>件</v>
          </cell>
          <cell r="D395" t="str">
            <v>塑料件</v>
          </cell>
        </row>
        <row r="396">
          <cell r="A396" t="str">
            <v>F0102063033</v>
          </cell>
          <cell r="B396" t="str">
            <v>左立柱护套堵盖</v>
          </cell>
          <cell r="C396" t="str">
            <v>件</v>
          </cell>
          <cell r="D396" t="str">
            <v>三元乙丙橡胶</v>
          </cell>
        </row>
        <row r="397">
          <cell r="A397" t="str">
            <v>F0102063034</v>
          </cell>
          <cell r="B397" t="str">
            <v>右立柱护套堵盖</v>
          </cell>
          <cell r="C397" t="str">
            <v>件</v>
          </cell>
          <cell r="D397" t="str">
            <v>三元乙丙橡胶</v>
          </cell>
        </row>
        <row r="398">
          <cell r="A398" t="str">
            <v>F0102063040</v>
          </cell>
          <cell r="B398" t="str">
            <v>左前轮眉</v>
          </cell>
          <cell r="C398" t="str">
            <v>件</v>
          </cell>
          <cell r="D398" t="str">
            <v>塑料件</v>
          </cell>
        </row>
        <row r="399">
          <cell r="A399" t="str">
            <v>F0102063041</v>
          </cell>
          <cell r="B399" t="str">
            <v>右前轮眉</v>
          </cell>
          <cell r="C399" t="str">
            <v>件</v>
          </cell>
          <cell r="D399" t="str">
            <v>塑料件</v>
          </cell>
        </row>
        <row r="400">
          <cell r="A400" t="str">
            <v>F0102063042</v>
          </cell>
          <cell r="B400" t="str">
            <v>左后轮眉</v>
          </cell>
          <cell r="C400" t="str">
            <v>件</v>
          </cell>
          <cell r="D400" t="str">
            <v>塑料件</v>
          </cell>
        </row>
        <row r="401">
          <cell r="A401" t="str">
            <v>F0102063043</v>
          </cell>
          <cell r="B401" t="str">
            <v>右后轮眉</v>
          </cell>
          <cell r="C401" t="str">
            <v>件</v>
          </cell>
          <cell r="D401" t="str">
            <v>塑料件</v>
          </cell>
        </row>
        <row r="402">
          <cell r="A402" t="str">
            <v>F0102063906</v>
          </cell>
          <cell r="B402" t="str">
            <v>前弯管竖梁（J款打猎车）</v>
          </cell>
          <cell r="C402" t="str">
            <v>件</v>
          </cell>
          <cell r="D402" t="str">
            <v>车身部件（支架等）</v>
          </cell>
        </row>
        <row r="403">
          <cell r="A403" t="str">
            <v>F0102063907</v>
          </cell>
          <cell r="B403" t="str">
            <v>前弯管竖梁（球车）</v>
          </cell>
          <cell r="C403" t="str">
            <v>件</v>
          </cell>
          <cell r="D403" t="str">
            <v>车身部件（支架等）</v>
          </cell>
        </row>
        <row r="404">
          <cell r="A404" t="str">
            <v>F0102063909</v>
          </cell>
          <cell r="B404" t="str">
            <v>下悬臂支架弯管梁（打猎车）</v>
          </cell>
          <cell r="C404" t="str">
            <v>件</v>
          </cell>
          <cell r="D404" t="str">
            <v>车身部件（支架等）</v>
          </cell>
        </row>
        <row r="405">
          <cell r="A405" t="str">
            <v>F0102063912</v>
          </cell>
          <cell r="B405" t="str">
            <v>前弯管竖梁左（G款打猎车）</v>
          </cell>
          <cell r="C405" t="str">
            <v>件</v>
          </cell>
          <cell r="D405" t="str">
            <v>车身部件（支架等）</v>
          </cell>
        </row>
        <row r="406">
          <cell r="A406" t="str">
            <v>F0102064005</v>
          </cell>
          <cell r="B406" t="str">
            <v>中座框</v>
          </cell>
          <cell r="C406" t="str">
            <v>件</v>
          </cell>
          <cell r="D406" t="str">
            <v>车身部件（支架等）</v>
          </cell>
        </row>
        <row r="407">
          <cell r="A407" t="str">
            <v>F0102064021</v>
          </cell>
          <cell r="B407" t="str">
            <v>声霸支架</v>
          </cell>
          <cell r="C407" t="str">
            <v>件</v>
          </cell>
          <cell r="D407" t="str">
            <v>车身部件（支架等）</v>
          </cell>
        </row>
        <row r="408">
          <cell r="A408" t="str">
            <v>F0102064022</v>
          </cell>
          <cell r="B408" t="str">
            <v>顶棚U形骨架（后支架后移70，顶下降140），直杆件</v>
          </cell>
          <cell r="C408" t="str">
            <v>件</v>
          </cell>
          <cell r="D408" t="str">
            <v>车身部件（支架等）</v>
          </cell>
        </row>
        <row r="409">
          <cell r="A409" t="str">
            <v>F0102073001</v>
          </cell>
          <cell r="B409" t="str">
            <v>前罩</v>
          </cell>
          <cell r="C409" t="str">
            <v>件</v>
          </cell>
          <cell r="D409" t="str">
            <v>塑料件</v>
          </cell>
        </row>
        <row r="410">
          <cell r="A410" t="str">
            <v>F0102073002</v>
          </cell>
          <cell r="B410" t="str">
            <v>前保险杠</v>
          </cell>
          <cell r="C410" t="str">
            <v>件</v>
          </cell>
          <cell r="D410" t="str">
            <v>塑料件</v>
          </cell>
        </row>
        <row r="411">
          <cell r="A411" t="str">
            <v>F0102073011</v>
          </cell>
          <cell r="B411" t="str">
            <v>中网</v>
          </cell>
          <cell r="C411" t="str">
            <v>件</v>
          </cell>
          <cell r="D411" t="str">
            <v>塑料件</v>
          </cell>
        </row>
        <row r="412">
          <cell r="A412" t="str">
            <v>F0102073014</v>
          </cell>
          <cell r="B412" t="str">
            <v>左前轮眉/打猎车</v>
          </cell>
          <cell r="C412" t="str">
            <v>件</v>
          </cell>
          <cell r="D412" t="str">
            <v>塑料件</v>
          </cell>
        </row>
        <row r="413">
          <cell r="A413" t="str">
            <v>F0102073015</v>
          </cell>
          <cell r="B413" t="str">
            <v>右前轮眉/打猎车</v>
          </cell>
          <cell r="C413" t="str">
            <v>件</v>
          </cell>
          <cell r="D413" t="str">
            <v>塑料件</v>
          </cell>
        </row>
        <row r="414">
          <cell r="A414" t="str">
            <v>F0102073016</v>
          </cell>
          <cell r="B414" t="str">
            <v>前保险杠/G款打猎车/</v>
          </cell>
          <cell r="C414" t="str">
            <v>件</v>
          </cell>
          <cell r="D414" t="str">
            <v>车身部件（支架等）</v>
          </cell>
        </row>
        <row r="415">
          <cell r="A415" t="str">
            <v>F0102073026</v>
          </cell>
          <cell r="B415" t="str">
            <v>前保支架</v>
          </cell>
          <cell r="C415" t="str">
            <v>件</v>
          </cell>
          <cell r="D415" t="str">
            <v>车身部件（支架等）</v>
          </cell>
        </row>
        <row r="416">
          <cell r="A416" t="str">
            <v>F0102073028</v>
          </cell>
          <cell r="B416" t="str">
            <v>伞桶支架</v>
          </cell>
          <cell r="C416" t="str">
            <v>件</v>
          </cell>
          <cell r="D416" t="str">
            <v>车身部件（支架等）</v>
          </cell>
        </row>
        <row r="417">
          <cell r="A417" t="str">
            <v>F0102074008</v>
          </cell>
          <cell r="B417" t="str">
            <v>铁制侧踏板 左</v>
          </cell>
          <cell r="C417" t="str">
            <v>件</v>
          </cell>
          <cell r="D417" t="str">
            <v>车身部件（支架等）</v>
          </cell>
        </row>
        <row r="418">
          <cell r="A418" t="str">
            <v>F0102074009</v>
          </cell>
          <cell r="B418" t="str">
            <v>铁制侧踏板 右</v>
          </cell>
          <cell r="C418" t="str">
            <v>件</v>
          </cell>
          <cell r="D418" t="str">
            <v>车身部件（支架等）</v>
          </cell>
        </row>
        <row r="419">
          <cell r="A419" t="str">
            <v>F0102074010</v>
          </cell>
          <cell r="B419" t="str">
            <v>铁制侧踏板连接支架</v>
          </cell>
          <cell r="C419" t="str">
            <v>件</v>
          </cell>
          <cell r="D419" t="str">
            <v>车身部件（支架等）</v>
          </cell>
        </row>
        <row r="420">
          <cell r="A420" t="str">
            <v>F0102074011</v>
          </cell>
          <cell r="B420" t="str">
            <v>中桶靠背支架 左</v>
          </cell>
          <cell r="C420" t="str">
            <v>件</v>
          </cell>
          <cell r="D420" t="str">
            <v>车身部件（支架等）</v>
          </cell>
        </row>
        <row r="421">
          <cell r="A421" t="str">
            <v>F0102074012</v>
          </cell>
          <cell r="B421" t="str">
            <v>中桶靠背支架 右</v>
          </cell>
          <cell r="C421" t="str">
            <v>件</v>
          </cell>
          <cell r="D421" t="str">
            <v>车身部件（支架等）</v>
          </cell>
        </row>
        <row r="422">
          <cell r="A422" t="str">
            <v>F0102074013</v>
          </cell>
          <cell r="B422" t="str">
            <v>后靠背安装座 左</v>
          </cell>
          <cell r="C422" t="str">
            <v>件</v>
          </cell>
          <cell r="D422" t="str">
            <v>车身部件（支架等）</v>
          </cell>
        </row>
        <row r="423">
          <cell r="A423" t="str">
            <v>F0102074014</v>
          </cell>
          <cell r="B423" t="str">
            <v>后靠背安装座 右</v>
          </cell>
          <cell r="C423" t="str">
            <v>件</v>
          </cell>
          <cell r="D423" t="str">
            <v>车身部件（支架等）</v>
          </cell>
        </row>
        <row r="424">
          <cell r="A424" t="str">
            <v>F0102074015</v>
          </cell>
          <cell r="B424" t="str">
            <v>前靠背支架 左</v>
          </cell>
          <cell r="C424" t="str">
            <v>件</v>
          </cell>
          <cell r="D424" t="str">
            <v>车身部件（支架等）</v>
          </cell>
        </row>
        <row r="425">
          <cell r="A425" t="str">
            <v>F0102074016</v>
          </cell>
          <cell r="B425" t="str">
            <v>前靠背支架 右</v>
          </cell>
          <cell r="C425" t="str">
            <v>件</v>
          </cell>
          <cell r="D425" t="str">
            <v>车身部件（支架等）</v>
          </cell>
        </row>
        <row r="426">
          <cell r="A426" t="str">
            <v>F0102074017</v>
          </cell>
          <cell r="B426" t="str">
            <v>后靠背支架 左</v>
          </cell>
          <cell r="C426" t="str">
            <v>件</v>
          </cell>
          <cell r="D426" t="str">
            <v>车身部件（支架等）</v>
          </cell>
        </row>
        <row r="427">
          <cell r="A427" t="str">
            <v>F0102074018</v>
          </cell>
          <cell r="B427" t="str">
            <v>后靠背支架 右</v>
          </cell>
          <cell r="C427" t="str">
            <v>件</v>
          </cell>
          <cell r="D427" t="str">
            <v>车身部件（支架等）</v>
          </cell>
        </row>
        <row r="428">
          <cell r="A428" t="str">
            <v>F0102074019</v>
          </cell>
          <cell r="B428" t="str">
            <v>后扶手带牌照灯支架</v>
          </cell>
          <cell r="C428" t="str">
            <v>件</v>
          </cell>
          <cell r="D428" t="str">
            <v>车身部件（支架等）</v>
          </cell>
        </row>
        <row r="429">
          <cell r="A429" t="str">
            <v>F0102074020</v>
          </cell>
          <cell r="B429" t="str">
            <v>后踏板侧踏板 左</v>
          </cell>
          <cell r="C429" t="str">
            <v>件</v>
          </cell>
          <cell r="D429" t="str">
            <v>车身部件（支架等）</v>
          </cell>
        </row>
        <row r="430">
          <cell r="A430" t="str">
            <v>F0102074021</v>
          </cell>
          <cell r="B430" t="str">
            <v>后踏板侧踏板 右</v>
          </cell>
          <cell r="C430" t="str">
            <v>件</v>
          </cell>
          <cell r="D430" t="str">
            <v>车身部件（支架等）</v>
          </cell>
        </row>
        <row r="431">
          <cell r="A431" t="str">
            <v>F0102074022</v>
          </cell>
          <cell r="B431" t="str">
            <v>顶棚前支架</v>
          </cell>
          <cell r="C431" t="str">
            <v>件</v>
          </cell>
          <cell r="D431" t="str">
            <v>车身部件（支架等）</v>
          </cell>
        </row>
        <row r="432">
          <cell r="A432" t="str">
            <v>F0102075003</v>
          </cell>
          <cell r="B432" t="str">
            <v>顶棚加强梁</v>
          </cell>
          <cell r="C432" t="str">
            <v>件</v>
          </cell>
          <cell r="D432" t="str">
            <v>车身部件（支架等）</v>
          </cell>
        </row>
        <row r="433">
          <cell r="A433" t="str">
            <v>F0102076035</v>
          </cell>
          <cell r="B433" t="str">
            <v>充电机支架</v>
          </cell>
          <cell r="C433" t="str">
            <v>件</v>
          </cell>
          <cell r="D433" t="str">
            <v>车身部件（支架等）</v>
          </cell>
        </row>
        <row r="434">
          <cell r="A434" t="str">
            <v>F0102077004</v>
          </cell>
          <cell r="B434" t="str">
            <v>前保险杠</v>
          </cell>
          <cell r="C434" t="str">
            <v>件</v>
          </cell>
          <cell r="D434" t="str">
            <v>塑料件</v>
          </cell>
        </row>
        <row r="435">
          <cell r="A435" t="str">
            <v>F0102077005</v>
          </cell>
          <cell r="B435" t="str">
            <v>仪表台</v>
          </cell>
          <cell r="C435" t="str">
            <v>件</v>
          </cell>
          <cell r="D435" t="str">
            <v>塑料件</v>
          </cell>
        </row>
        <row r="436">
          <cell r="A436" t="str">
            <v>F0102077006</v>
          </cell>
          <cell r="B436" t="str">
            <v>左杂物盒</v>
          </cell>
          <cell r="C436" t="str">
            <v>件</v>
          </cell>
          <cell r="D436" t="str">
            <v>塑料件</v>
          </cell>
        </row>
        <row r="437">
          <cell r="A437" t="str">
            <v>F0102077007</v>
          </cell>
          <cell r="B437" t="str">
            <v>右杂物盒</v>
          </cell>
          <cell r="C437" t="str">
            <v>件</v>
          </cell>
          <cell r="D437" t="str">
            <v>塑料件</v>
          </cell>
        </row>
        <row r="438">
          <cell r="A438" t="str">
            <v>Y0410024021423</v>
          </cell>
          <cell r="B438" t="str">
            <v>大梁（2座打猎车）</v>
          </cell>
          <cell r="C438" t="str">
            <v>件</v>
          </cell>
          <cell r="D438" t="str">
            <v>车身部件（支架等）</v>
          </cell>
        </row>
        <row r="439">
          <cell r="A439" t="str">
            <v>F0102077008</v>
          </cell>
          <cell r="B439" t="str">
            <v>左杂物盒盖</v>
          </cell>
          <cell r="C439" t="str">
            <v>件</v>
          </cell>
          <cell r="D439" t="str">
            <v>塑料件</v>
          </cell>
        </row>
        <row r="440">
          <cell r="A440" t="str">
            <v>Y0410024021367</v>
          </cell>
          <cell r="B440" t="str">
            <v>侧踏板前安装支架总成</v>
          </cell>
          <cell r="C440" t="str">
            <v>件</v>
          </cell>
          <cell r="D440" t="str">
            <v>车身部件（支架等）</v>
          </cell>
        </row>
        <row r="441">
          <cell r="A441" t="str">
            <v>Y0410024021366</v>
          </cell>
          <cell r="B441" t="str">
            <v>侧踏板后安装板</v>
          </cell>
          <cell r="C441" t="str">
            <v>件</v>
          </cell>
          <cell r="D441" t="str">
            <v>车身部件（支架等）</v>
          </cell>
        </row>
        <row r="442">
          <cell r="A442" t="str">
            <v>F0102077009</v>
          </cell>
          <cell r="B442" t="str">
            <v>右杂物盒盖</v>
          </cell>
          <cell r="C442" t="str">
            <v>件</v>
          </cell>
          <cell r="D442" t="str">
            <v>塑料件</v>
          </cell>
        </row>
        <row r="443">
          <cell r="A443" t="str">
            <v>F0102077010</v>
          </cell>
          <cell r="B443" t="str">
            <v>中控开关面板</v>
          </cell>
          <cell r="C443" t="str">
            <v>件</v>
          </cell>
          <cell r="D443" t="str">
            <v>塑料件</v>
          </cell>
        </row>
        <row r="444">
          <cell r="A444" t="str">
            <v>F0102077011</v>
          </cell>
          <cell r="B444" t="str">
            <v>附件电器座</v>
          </cell>
          <cell r="C444" t="str">
            <v>件</v>
          </cell>
          <cell r="D444" t="str">
            <v>塑料件</v>
          </cell>
        </row>
        <row r="445">
          <cell r="A445" t="str">
            <v>F0102077012</v>
          </cell>
          <cell r="B445" t="str">
            <v>左前轮眉</v>
          </cell>
          <cell r="C445" t="str">
            <v>件</v>
          </cell>
          <cell r="D445" t="str">
            <v>塑料件</v>
          </cell>
        </row>
        <row r="446">
          <cell r="A446" t="str">
            <v>F0102077013</v>
          </cell>
          <cell r="B446" t="str">
            <v>右前轮眉</v>
          </cell>
          <cell r="C446" t="str">
            <v>件</v>
          </cell>
          <cell r="D446" t="str">
            <v>塑料件</v>
          </cell>
        </row>
        <row r="447">
          <cell r="A447" t="str">
            <v>F0102077014</v>
          </cell>
          <cell r="B447" t="str">
            <v>前立柱胶塞 左</v>
          </cell>
          <cell r="C447" t="str">
            <v>件</v>
          </cell>
          <cell r="D447" t="str">
            <v>三元乙丙橡胶</v>
          </cell>
        </row>
        <row r="448">
          <cell r="A448" t="str">
            <v>F0102077015</v>
          </cell>
          <cell r="B448" t="str">
            <v>前立柱胶塞 右</v>
          </cell>
          <cell r="C448" t="str">
            <v>件</v>
          </cell>
          <cell r="D448" t="str">
            <v>三元乙丙橡胶</v>
          </cell>
        </row>
        <row r="449">
          <cell r="A449" t="str">
            <v>F0102077016</v>
          </cell>
          <cell r="B449" t="str">
            <v>转向管柱胶套</v>
          </cell>
          <cell r="C449" t="str">
            <v>件</v>
          </cell>
          <cell r="D449" t="str">
            <v>三元乙丙橡胶</v>
          </cell>
        </row>
        <row r="450">
          <cell r="A450" t="str">
            <v>F0102077021</v>
          </cell>
          <cell r="B450" t="str">
            <v>铁制侧踏板</v>
          </cell>
          <cell r="C450" t="str">
            <v>件</v>
          </cell>
          <cell r="D450" t="str">
            <v>车身部件（支架等）</v>
          </cell>
        </row>
        <row r="451">
          <cell r="A451" t="str">
            <v>F0102077046</v>
          </cell>
          <cell r="B451" t="str">
            <v>后踏板侧踏板 左</v>
          </cell>
          <cell r="C451" t="str">
            <v>件</v>
          </cell>
          <cell r="D451" t="str">
            <v>车身部件（支架等）</v>
          </cell>
        </row>
        <row r="452">
          <cell r="A452" t="str">
            <v>F0102077047</v>
          </cell>
          <cell r="B452" t="str">
            <v>后踏板侧踏板 右</v>
          </cell>
          <cell r="C452" t="str">
            <v>件</v>
          </cell>
          <cell r="D452" t="str">
            <v>车身部件（支架等）</v>
          </cell>
        </row>
        <row r="453">
          <cell r="A453" t="str">
            <v>F0102077017</v>
          </cell>
          <cell r="B453" t="str">
            <v>前保支架</v>
          </cell>
          <cell r="C453" t="str">
            <v>件</v>
          </cell>
          <cell r="D453" t="str">
            <v>车身部件（支架等）</v>
          </cell>
        </row>
        <row r="454">
          <cell r="A454" t="str">
            <v>F0102077018</v>
          </cell>
          <cell r="B454" t="str">
            <v>J款铁制前保险杠</v>
          </cell>
          <cell r="C454" t="str">
            <v>件</v>
          </cell>
          <cell r="D454" t="str">
            <v>车身部件（支架等）</v>
          </cell>
        </row>
        <row r="455">
          <cell r="A455" t="str">
            <v>F0102077019</v>
          </cell>
          <cell r="B455" t="str">
            <v>仪表台堵盖</v>
          </cell>
          <cell r="C455" t="str">
            <v>件</v>
          </cell>
          <cell r="D455" t="str">
            <v>三元乙丙橡胶</v>
          </cell>
        </row>
        <row r="456">
          <cell r="A456" t="str">
            <v>F0102077023</v>
          </cell>
          <cell r="B456" t="str">
            <v>电池框</v>
          </cell>
          <cell r="C456" t="str">
            <v>件</v>
          </cell>
          <cell r="D456" t="str">
            <v>车身部件（支架等）</v>
          </cell>
        </row>
        <row r="457">
          <cell r="A457" t="str">
            <v>F0102077024</v>
          </cell>
          <cell r="B457" t="str">
            <v>靠背支架 左</v>
          </cell>
          <cell r="C457" t="str">
            <v>件</v>
          </cell>
          <cell r="D457" t="str">
            <v>车身部件（支架等）</v>
          </cell>
        </row>
        <row r="458">
          <cell r="A458" t="str">
            <v>F0102077025</v>
          </cell>
          <cell r="B458" t="str">
            <v>靠背支架 右</v>
          </cell>
          <cell r="C458" t="str">
            <v>件</v>
          </cell>
          <cell r="D458" t="str">
            <v>车身部件（支架等）</v>
          </cell>
        </row>
        <row r="459">
          <cell r="A459" t="str">
            <v>F0102077026</v>
          </cell>
          <cell r="B459" t="str">
            <v>后靠背安装座 左</v>
          </cell>
          <cell r="C459" t="str">
            <v>件</v>
          </cell>
          <cell r="D459" t="str">
            <v>车身部件（支架等）</v>
          </cell>
        </row>
        <row r="460">
          <cell r="A460" t="str">
            <v>F0102077027</v>
          </cell>
          <cell r="B460" t="str">
            <v>后靠背安装座 右</v>
          </cell>
          <cell r="C460" t="str">
            <v>件</v>
          </cell>
          <cell r="D460" t="str">
            <v>车身部件（支架等）</v>
          </cell>
        </row>
        <row r="461">
          <cell r="A461" t="str">
            <v>F0102077028</v>
          </cell>
          <cell r="B461" t="str">
            <v>中桶靠背支架 左</v>
          </cell>
          <cell r="C461" t="str">
            <v>件</v>
          </cell>
          <cell r="D461" t="str">
            <v>车身部件（支架等）</v>
          </cell>
        </row>
        <row r="462">
          <cell r="A462" t="str">
            <v>F0102077029</v>
          </cell>
          <cell r="B462" t="str">
            <v>中桶靠背支架 右</v>
          </cell>
          <cell r="C462" t="str">
            <v>件</v>
          </cell>
          <cell r="D462" t="str">
            <v>车身部件（支架等）</v>
          </cell>
        </row>
        <row r="463">
          <cell r="A463" t="str">
            <v>F0102077031</v>
          </cell>
          <cell r="B463" t="str">
            <v>顶棚U形骨架，直杆件（左）</v>
          </cell>
          <cell r="C463" t="str">
            <v>件</v>
          </cell>
          <cell r="D463" t="str">
            <v>车身部件（支架等）</v>
          </cell>
        </row>
        <row r="464">
          <cell r="A464" t="str">
            <v>F0102077032</v>
          </cell>
          <cell r="B464" t="str">
            <v>顶棚后支架 左</v>
          </cell>
          <cell r="C464" t="str">
            <v>件</v>
          </cell>
          <cell r="D464" t="str">
            <v>车身部件（支架等）</v>
          </cell>
        </row>
        <row r="465">
          <cell r="A465" t="str">
            <v>F0102077033</v>
          </cell>
          <cell r="B465" t="str">
            <v>顶棚后支架 右</v>
          </cell>
          <cell r="C465" t="str">
            <v>件</v>
          </cell>
          <cell r="D465" t="str">
            <v>车身部件（支架等）</v>
          </cell>
        </row>
        <row r="466">
          <cell r="A466" t="str">
            <v>F0102077034</v>
          </cell>
          <cell r="B466" t="str">
            <v>球童拉手</v>
          </cell>
          <cell r="C466" t="str">
            <v>件</v>
          </cell>
          <cell r="D466" t="str">
            <v>车身部件（支架等）</v>
          </cell>
        </row>
        <row r="467">
          <cell r="A467" t="str">
            <v>F0102077035</v>
          </cell>
          <cell r="B467" t="str">
            <v>靠背罩</v>
          </cell>
          <cell r="C467" t="str">
            <v>件</v>
          </cell>
          <cell r="D467" t="str">
            <v>塑料件</v>
          </cell>
        </row>
        <row r="468">
          <cell r="A468" t="str">
            <v>F0102077036</v>
          </cell>
          <cell r="B468" t="str">
            <v>坐垫底板</v>
          </cell>
          <cell r="C468" t="str">
            <v>件</v>
          </cell>
          <cell r="D468" t="str">
            <v>塑料件</v>
          </cell>
        </row>
        <row r="469">
          <cell r="A469" t="str">
            <v>F0102077037</v>
          </cell>
          <cell r="B469" t="str">
            <v>后拉手固定块</v>
          </cell>
          <cell r="C469" t="str">
            <v>件</v>
          </cell>
          <cell r="D469" t="str">
            <v>塑料件</v>
          </cell>
        </row>
        <row r="470">
          <cell r="A470" t="str">
            <v>F0102077038</v>
          </cell>
          <cell r="B470" t="str">
            <v>后拉手</v>
          </cell>
          <cell r="C470" t="str">
            <v>件</v>
          </cell>
          <cell r="D470" t="str">
            <v>塑料件</v>
          </cell>
        </row>
        <row r="471">
          <cell r="A471" t="str">
            <v>F0102077039</v>
          </cell>
          <cell r="B471" t="str">
            <v>转向轴管护罩 左</v>
          </cell>
          <cell r="C471" t="str">
            <v>件</v>
          </cell>
          <cell r="D471" t="str">
            <v>底盘部件</v>
          </cell>
        </row>
        <row r="472">
          <cell r="A472" t="str">
            <v>F0102077040</v>
          </cell>
          <cell r="B472" t="str">
            <v>转向轴管护罩 右</v>
          </cell>
          <cell r="C472" t="str">
            <v>件</v>
          </cell>
          <cell r="D472" t="str">
            <v>底盘部件</v>
          </cell>
        </row>
        <row r="473">
          <cell r="A473" t="str">
            <v>F0102077041</v>
          </cell>
          <cell r="B473" t="str">
            <v>中网</v>
          </cell>
          <cell r="C473" t="str">
            <v>件</v>
          </cell>
          <cell r="D473" t="str">
            <v>塑料件</v>
          </cell>
        </row>
        <row r="474">
          <cell r="A474" t="str">
            <v>F0102077042</v>
          </cell>
          <cell r="B474" t="str">
            <v>前标</v>
          </cell>
          <cell r="C474" t="str">
            <v>件</v>
          </cell>
          <cell r="D474" t="str">
            <v>塑料件</v>
          </cell>
        </row>
        <row r="475">
          <cell r="A475" t="str">
            <v>F0102077043</v>
          </cell>
          <cell r="B475" t="str">
            <v>后牌照边框</v>
          </cell>
          <cell r="C475" t="str">
            <v>件</v>
          </cell>
          <cell r="D475" t="str">
            <v>底盘部件</v>
          </cell>
        </row>
        <row r="476">
          <cell r="A476" t="str">
            <v>F0202006081</v>
          </cell>
          <cell r="B476" t="str">
            <v>后减震器</v>
          </cell>
          <cell r="C476" t="str">
            <v>件</v>
          </cell>
          <cell r="D476" t="str">
            <v>底盘部件</v>
          </cell>
        </row>
        <row r="477">
          <cell r="A477" t="str">
            <v>F0102077044</v>
          </cell>
          <cell r="B477" t="str">
            <v>后靠背支架 左</v>
          </cell>
          <cell r="C477" t="str">
            <v>件</v>
          </cell>
          <cell r="D477" t="str">
            <v>车身部件（支架等）</v>
          </cell>
        </row>
        <row r="478">
          <cell r="A478" t="str">
            <v>F0102077045</v>
          </cell>
          <cell r="B478" t="str">
            <v>后靠背支架 右</v>
          </cell>
          <cell r="C478" t="str">
            <v>件</v>
          </cell>
          <cell r="D478" t="str">
            <v>车身部件（支架等）</v>
          </cell>
        </row>
        <row r="479">
          <cell r="A479" t="str">
            <v>F0102078029</v>
          </cell>
          <cell r="B479" t="str">
            <v>锂电池框</v>
          </cell>
          <cell r="C479" t="str">
            <v>件</v>
          </cell>
          <cell r="D479" t="str">
            <v>车身部件（支架等）</v>
          </cell>
        </row>
        <row r="480">
          <cell r="A480" t="str">
            <v>F0102081003</v>
          </cell>
          <cell r="B480" t="str">
            <v>顶棚前支架</v>
          </cell>
          <cell r="C480" t="str">
            <v>件</v>
          </cell>
          <cell r="D480" t="str">
            <v>车身部件（支架等）</v>
          </cell>
        </row>
        <row r="481">
          <cell r="A481" t="str">
            <v>F0102081004</v>
          </cell>
          <cell r="B481" t="str">
            <v>顶棚U形骨架，直杆件（右）</v>
          </cell>
          <cell r="C481" t="str">
            <v>件</v>
          </cell>
          <cell r="D481" t="str">
            <v>车身部件（支架等）</v>
          </cell>
        </row>
        <row r="482">
          <cell r="A482" t="str">
            <v>F0102081006</v>
          </cell>
          <cell r="B482" t="str">
            <v>下底板</v>
          </cell>
          <cell r="C482" t="str">
            <v>件</v>
          </cell>
          <cell r="D482" t="str">
            <v>车身部件（支架等）</v>
          </cell>
        </row>
        <row r="483">
          <cell r="A483" t="str">
            <v>F0102081007</v>
          </cell>
          <cell r="B483" t="str">
            <v>方向机安装支架</v>
          </cell>
          <cell r="C483" t="str">
            <v>件</v>
          </cell>
          <cell r="D483" t="str">
            <v>底盘部件</v>
          </cell>
        </row>
        <row r="484">
          <cell r="A484" t="str">
            <v>F0102081009</v>
          </cell>
          <cell r="B484" t="str">
            <v>翻转座椅底座</v>
          </cell>
          <cell r="C484" t="str">
            <v>件</v>
          </cell>
          <cell r="D484" t="str">
            <v>塑料件</v>
          </cell>
        </row>
        <row r="485">
          <cell r="A485" t="str">
            <v>F0102081010</v>
          </cell>
          <cell r="B485" t="str">
            <v>坐垫翻板</v>
          </cell>
          <cell r="C485" t="str">
            <v>件</v>
          </cell>
          <cell r="D485" t="str">
            <v>塑料件</v>
          </cell>
        </row>
        <row r="486">
          <cell r="A486" t="str">
            <v>F0102081011</v>
          </cell>
          <cell r="B486" t="str">
            <v>翻转合页</v>
          </cell>
          <cell r="C486" t="str">
            <v>件</v>
          </cell>
          <cell r="D486" t="str">
            <v>塑料件</v>
          </cell>
        </row>
        <row r="487">
          <cell r="A487" t="str">
            <v>F0102081012</v>
          </cell>
          <cell r="B487" t="str">
            <v>翻转合页轴</v>
          </cell>
          <cell r="C487" t="str">
            <v>件</v>
          </cell>
          <cell r="D487" t="str">
            <v>塑料件</v>
          </cell>
        </row>
        <row r="488">
          <cell r="A488" t="str">
            <v>F0102081013</v>
          </cell>
          <cell r="B488" t="str">
            <v>翻转座椅扶手</v>
          </cell>
          <cell r="C488" t="str">
            <v>件</v>
          </cell>
          <cell r="D488" t="str">
            <v>塑料件</v>
          </cell>
        </row>
        <row r="489">
          <cell r="A489" t="str">
            <v>F0102081014</v>
          </cell>
          <cell r="B489" t="str">
            <v>冰桶盖</v>
          </cell>
          <cell r="C489" t="str">
            <v>件</v>
          </cell>
          <cell r="D489" t="str">
            <v>塑料件</v>
          </cell>
        </row>
        <row r="490">
          <cell r="A490" t="str">
            <v>F0102081015</v>
          </cell>
          <cell r="B490" t="str">
            <v>冰桶</v>
          </cell>
          <cell r="C490" t="str">
            <v>件</v>
          </cell>
          <cell r="D490" t="str">
            <v>塑料件</v>
          </cell>
        </row>
        <row r="491">
          <cell r="A491" t="str">
            <v>F0102081016</v>
          </cell>
          <cell r="B491" t="str">
            <v>拉簧锁</v>
          </cell>
          <cell r="C491" t="str">
            <v>件</v>
          </cell>
          <cell r="D491" t="str">
            <v>塑料件</v>
          </cell>
        </row>
        <row r="492">
          <cell r="A492" t="str">
            <v>F0102081017</v>
          </cell>
          <cell r="B492" t="str">
            <v>翻转座椅踏板</v>
          </cell>
          <cell r="C492" t="str">
            <v>件</v>
          </cell>
          <cell r="D492" t="str">
            <v>塑料件</v>
          </cell>
        </row>
        <row r="493">
          <cell r="A493" t="str">
            <v>F0102081018</v>
          </cell>
          <cell r="B493" t="str">
            <v>翻转座椅堵盖</v>
          </cell>
          <cell r="C493" t="str">
            <v>件</v>
          </cell>
          <cell r="D493" t="str">
            <v>三元乙丙橡胶</v>
          </cell>
        </row>
        <row r="494">
          <cell r="A494" t="str">
            <v>F0102081019</v>
          </cell>
          <cell r="B494" t="str">
            <v>底座骨架总成</v>
          </cell>
          <cell r="C494" t="str">
            <v>件</v>
          </cell>
          <cell r="D494" t="str">
            <v>车身部件（支架等）</v>
          </cell>
        </row>
        <row r="495">
          <cell r="A495" t="str">
            <v>F0102081020</v>
          </cell>
          <cell r="B495" t="str">
            <v>脚踏板连接梁 左</v>
          </cell>
          <cell r="C495" t="str">
            <v>件</v>
          </cell>
          <cell r="D495" t="str">
            <v>车身部件（支架等）</v>
          </cell>
        </row>
        <row r="496">
          <cell r="A496" t="str">
            <v>F0102081021</v>
          </cell>
          <cell r="B496" t="str">
            <v>脚踏板连接梁 右</v>
          </cell>
          <cell r="C496" t="str">
            <v>件</v>
          </cell>
          <cell r="D496" t="str">
            <v>车身部件（支架等）</v>
          </cell>
        </row>
        <row r="497">
          <cell r="A497" t="str">
            <v>F0102081022</v>
          </cell>
          <cell r="B497" t="str">
            <v>踏板骨架总成</v>
          </cell>
          <cell r="C497" t="str">
            <v>件</v>
          </cell>
          <cell r="D497" t="str">
            <v>车身部件（支架等）</v>
          </cell>
        </row>
        <row r="498">
          <cell r="A498" t="str">
            <v>F0102081023</v>
          </cell>
          <cell r="B498" t="str">
            <v>后扶手</v>
          </cell>
          <cell r="C498" t="str">
            <v>件</v>
          </cell>
          <cell r="D498" t="str">
            <v>车身部件（支架等）</v>
          </cell>
        </row>
        <row r="499">
          <cell r="A499" t="str">
            <v>F0102081024</v>
          </cell>
          <cell r="B499" t="str">
            <v>后摄像头支架1</v>
          </cell>
          <cell r="C499" t="str">
            <v>件</v>
          </cell>
          <cell r="D499" t="str">
            <v>车身部件（支架等）</v>
          </cell>
        </row>
        <row r="500">
          <cell r="A500" t="str">
            <v>Y0410024021430</v>
          </cell>
          <cell r="B500" t="str">
            <v>大梁左（4座球车）</v>
          </cell>
          <cell r="C500" t="str">
            <v>件</v>
          </cell>
          <cell r="D500" t="str">
            <v>车身部件（支架等）</v>
          </cell>
        </row>
        <row r="501">
          <cell r="A501" t="str">
            <v>Y0410024021431</v>
          </cell>
          <cell r="B501" t="str">
            <v>大梁右（4座球车）</v>
          </cell>
          <cell r="C501" t="str">
            <v>件</v>
          </cell>
          <cell r="D501" t="str">
            <v>车身部件（支架等）</v>
          </cell>
        </row>
        <row r="502">
          <cell r="A502" t="str">
            <v>F0102081025</v>
          </cell>
          <cell r="B502" t="str">
            <v>后摄像头支架2</v>
          </cell>
          <cell r="C502" t="str">
            <v>件</v>
          </cell>
          <cell r="D502" t="str">
            <v>车身部件（支架等）</v>
          </cell>
        </row>
        <row r="503">
          <cell r="A503" t="str">
            <v>F0102081026</v>
          </cell>
          <cell r="B503" t="str">
            <v>电控调试接口安装板</v>
          </cell>
          <cell r="C503" t="str">
            <v>件</v>
          </cell>
          <cell r="D503" t="str">
            <v>车身部件（支架等）</v>
          </cell>
        </row>
        <row r="504">
          <cell r="A504" t="str">
            <v>F0102081029</v>
          </cell>
          <cell r="B504" t="str">
            <v>前罩中网款</v>
          </cell>
          <cell r="C504" t="str">
            <v>件</v>
          </cell>
          <cell r="D504" t="str">
            <v>塑料件</v>
          </cell>
        </row>
        <row r="505">
          <cell r="A505" t="str">
            <v>F0102081030</v>
          </cell>
          <cell r="B505" t="str">
            <v>充电插座加强版</v>
          </cell>
          <cell r="C505" t="str">
            <v>件</v>
          </cell>
          <cell r="D505" t="str">
            <v>车身部件（支架等）</v>
          </cell>
        </row>
        <row r="506">
          <cell r="A506" t="str">
            <v>F0102081031</v>
          </cell>
          <cell r="B506" t="str">
            <v>J款球车铁制前保险杠</v>
          </cell>
          <cell r="C506" t="str">
            <v>件</v>
          </cell>
          <cell r="D506" t="str">
            <v>车身部件（支架等）</v>
          </cell>
        </row>
        <row r="507">
          <cell r="A507" t="str">
            <v>F0102081032</v>
          </cell>
          <cell r="B507" t="str">
            <v>转向轴管护罩 左</v>
          </cell>
          <cell r="C507" t="str">
            <v>件</v>
          </cell>
          <cell r="D507" t="str">
            <v>塑料件</v>
          </cell>
        </row>
        <row r="508">
          <cell r="A508" t="str">
            <v>F0102081033</v>
          </cell>
          <cell r="B508" t="str">
            <v>转向轴管护罩 右</v>
          </cell>
          <cell r="C508" t="str">
            <v>件</v>
          </cell>
          <cell r="D508" t="str">
            <v>塑料件</v>
          </cell>
        </row>
        <row r="509">
          <cell r="A509" t="str">
            <v>F0102081034</v>
          </cell>
          <cell r="B509" t="str">
            <v>踏板骨架总成</v>
          </cell>
          <cell r="C509" t="str">
            <v>件</v>
          </cell>
          <cell r="D509" t="str">
            <v>车身部件（支架等）</v>
          </cell>
        </row>
        <row r="510">
          <cell r="A510" t="str">
            <v>F0102081037</v>
          </cell>
          <cell r="B510" t="str">
            <v>长排翻转合页总成</v>
          </cell>
          <cell r="C510" t="str">
            <v>件</v>
          </cell>
          <cell r="D510" t="str">
            <v>塑料件</v>
          </cell>
        </row>
        <row r="511">
          <cell r="A511" t="str">
            <v>F0102084003</v>
          </cell>
          <cell r="B511" t="str">
            <v>6座注塑顶棚</v>
          </cell>
          <cell r="C511" t="str">
            <v>件</v>
          </cell>
          <cell r="D511" t="str">
            <v>塑料件</v>
          </cell>
        </row>
        <row r="512">
          <cell r="A512" t="str">
            <v>F0102087954</v>
          </cell>
          <cell r="B512" t="str">
            <v>倒车蜂鸣器支架</v>
          </cell>
          <cell r="C512" t="str">
            <v>件</v>
          </cell>
          <cell r="D512" t="str">
            <v>车身部件（支架等）</v>
          </cell>
        </row>
        <row r="513">
          <cell r="A513" t="str">
            <v>F0103009031</v>
          </cell>
          <cell r="B513" t="str">
            <v>J款前挡玻璃/4座/DOT</v>
          </cell>
          <cell r="C513" t="str">
            <v>件</v>
          </cell>
          <cell r="D513" t="str">
            <v>塑料件</v>
          </cell>
        </row>
        <row r="514">
          <cell r="A514" t="str">
            <v>F0103013014</v>
          </cell>
          <cell r="B514" t="str">
            <v>ELR 3点式安全带</v>
          </cell>
          <cell r="C514" t="str">
            <v>件</v>
          </cell>
          <cell r="D514" t="str">
            <v>塑料件</v>
          </cell>
        </row>
        <row r="515">
          <cell r="A515" t="str">
            <v>F0103014287</v>
          </cell>
          <cell r="B515" t="str">
            <v>豪华坐垫</v>
          </cell>
          <cell r="C515" t="str">
            <v>件</v>
          </cell>
          <cell r="D515" t="str">
            <v>座椅套装</v>
          </cell>
        </row>
        <row r="516">
          <cell r="A516" t="str">
            <v>F0103014288</v>
          </cell>
          <cell r="B516" t="str">
            <v>豪华坐垫</v>
          </cell>
          <cell r="C516" t="str">
            <v>件</v>
          </cell>
          <cell r="D516" t="str">
            <v>座椅套装</v>
          </cell>
        </row>
        <row r="517">
          <cell r="A517" t="str">
            <v>F0103014289</v>
          </cell>
          <cell r="B517" t="str">
            <v>豪华坐垫</v>
          </cell>
          <cell r="C517" t="str">
            <v>件</v>
          </cell>
          <cell r="D517" t="str">
            <v>座椅套装</v>
          </cell>
        </row>
        <row r="518">
          <cell r="A518" t="str">
            <v>F0103014330</v>
          </cell>
          <cell r="B518" t="str">
            <v>豪华靠背罩</v>
          </cell>
          <cell r="C518" t="str">
            <v>件</v>
          </cell>
          <cell r="D518" t="str">
            <v>塑料件</v>
          </cell>
        </row>
        <row r="519">
          <cell r="A519" t="str">
            <v>F0103016008</v>
          </cell>
          <cell r="B519" t="str">
            <v>内后视镜</v>
          </cell>
          <cell r="C519" t="str">
            <v>件</v>
          </cell>
          <cell r="D519" t="str">
            <v>车身部件</v>
          </cell>
        </row>
        <row r="520">
          <cell r="A520" t="str">
            <v>F0103017039</v>
          </cell>
          <cell r="B520" t="str">
            <v>左后视镜/带转向灯</v>
          </cell>
          <cell r="C520" t="str">
            <v>件</v>
          </cell>
          <cell r="D520" t="str">
            <v>车身部件</v>
          </cell>
        </row>
        <row r="521">
          <cell r="A521" t="str">
            <v>F0103017040</v>
          </cell>
          <cell r="B521" t="str">
            <v>右后视镜/带转向灯</v>
          </cell>
          <cell r="C521" t="str">
            <v>件</v>
          </cell>
          <cell r="D521" t="str">
            <v>车身部件</v>
          </cell>
        </row>
        <row r="522">
          <cell r="A522" t="str">
            <v>F0103020014</v>
          </cell>
          <cell r="B522" t="str">
            <v>左前挡泥板/G款打猎车</v>
          </cell>
          <cell r="C522" t="str">
            <v>件</v>
          </cell>
          <cell r="D522" t="str">
            <v>塑料件</v>
          </cell>
        </row>
        <row r="523">
          <cell r="A523" t="str">
            <v>F0103020015</v>
          </cell>
          <cell r="B523" t="str">
            <v>右前挡泥板/G款打猎车</v>
          </cell>
          <cell r="C523" t="str">
            <v>件</v>
          </cell>
          <cell r="D523" t="str">
            <v>塑料件</v>
          </cell>
        </row>
        <row r="524">
          <cell r="A524" t="str">
            <v>F0103020022</v>
          </cell>
          <cell r="B524" t="str">
            <v>左前挡泥板/J款打猎车</v>
          </cell>
          <cell r="C524" t="str">
            <v>件</v>
          </cell>
          <cell r="D524" t="str">
            <v>塑料件</v>
          </cell>
        </row>
        <row r="525">
          <cell r="A525" t="str">
            <v>F0103020023</v>
          </cell>
          <cell r="B525" t="str">
            <v>右前挡泥板/J款打猎车</v>
          </cell>
          <cell r="C525" t="str">
            <v>件</v>
          </cell>
          <cell r="D525" t="str">
            <v>塑料件</v>
          </cell>
        </row>
        <row r="526">
          <cell r="A526" t="str">
            <v>F0103020024</v>
          </cell>
          <cell r="B526" t="str">
            <v>左前挡泥板/J款球车</v>
          </cell>
          <cell r="C526" t="str">
            <v>件</v>
          </cell>
          <cell r="D526" t="str">
            <v>塑料件</v>
          </cell>
        </row>
        <row r="527">
          <cell r="A527" t="str">
            <v>F0103020025</v>
          </cell>
          <cell r="B527" t="str">
            <v>右前挡泥板/J款球车</v>
          </cell>
          <cell r="C527" t="str">
            <v>件</v>
          </cell>
          <cell r="D527" t="str">
            <v>塑料件</v>
          </cell>
        </row>
        <row r="528">
          <cell r="A528" t="str">
            <v>F0103027105</v>
          </cell>
          <cell r="B528" t="str">
            <v>4座D款成型地板革/毒液</v>
          </cell>
          <cell r="C528" t="str">
            <v>件</v>
          </cell>
          <cell r="D528" t="str">
            <v>塑料件</v>
          </cell>
        </row>
        <row r="529">
          <cell r="A529" t="str">
            <v>F0103027115</v>
          </cell>
          <cell r="B529" t="str">
            <v>2座B款成型地板革/ACTIV EV</v>
          </cell>
          <cell r="C529" t="str">
            <v>件</v>
          </cell>
          <cell r="D529" t="str">
            <v>塑料件</v>
          </cell>
        </row>
        <row r="530">
          <cell r="A530" t="str">
            <v>F0103027116</v>
          </cell>
          <cell r="B530" t="str">
            <v>4座J款成型地板革/ACTIV EV</v>
          </cell>
          <cell r="C530" t="str">
            <v>件</v>
          </cell>
          <cell r="D530" t="str">
            <v>塑料件</v>
          </cell>
        </row>
        <row r="531">
          <cell r="A531" t="str">
            <v>F0103027117</v>
          </cell>
          <cell r="B531" t="str">
            <v>后踏板成型地板革</v>
          </cell>
          <cell r="C531" t="str">
            <v>件</v>
          </cell>
          <cell r="D531" t="str">
            <v>塑料件</v>
          </cell>
        </row>
        <row r="532">
          <cell r="A532" t="str">
            <v>F0103035070</v>
          </cell>
          <cell r="B532" t="str">
            <v>橡胶垫片/外φ21.5/内φ7.5/T6.5</v>
          </cell>
          <cell r="C532" t="str">
            <v>件</v>
          </cell>
          <cell r="D532" t="str">
            <v>三元乙丙橡胶</v>
          </cell>
        </row>
        <row r="533">
          <cell r="A533" t="str">
            <v>F0103035085</v>
          </cell>
          <cell r="B533" t="str">
            <v>侧护板堵盖1</v>
          </cell>
          <cell r="C533" t="str">
            <v>件</v>
          </cell>
          <cell r="D533" t="str">
            <v>三元乙丙橡胶</v>
          </cell>
        </row>
        <row r="534">
          <cell r="A534" t="str">
            <v>F0202006086</v>
          </cell>
          <cell r="B534" t="str">
            <v>后减震器</v>
          </cell>
          <cell r="C534" t="str">
            <v>件</v>
          </cell>
          <cell r="D534" t="str">
            <v>底盘部件</v>
          </cell>
        </row>
        <row r="535">
          <cell r="A535" t="str">
            <v>F0103035086</v>
          </cell>
          <cell r="B535" t="str">
            <v>侧护板堵盖2</v>
          </cell>
          <cell r="C535" t="str">
            <v>件</v>
          </cell>
          <cell r="D535" t="str">
            <v>三元乙丙橡胶</v>
          </cell>
        </row>
        <row r="536">
          <cell r="A536" t="str">
            <v>F0103035089</v>
          </cell>
          <cell r="B536" t="str">
            <v>下冰桶胶塞</v>
          </cell>
          <cell r="C536" t="str">
            <v>件</v>
          </cell>
          <cell r="D536" t="str">
            <v>三元乙丙橡胶</v>
          </cell>
        </row>
        <row r="537">
          <cell r="A537" t="str">
            <v>F0103035090</v>
          </cell>
          <cell r="B537" t="str">
            <v>加速踏板胶套</v>
          </cell>
          <cell r="C537" t="str">
            <v>件</v>
          </cell>
          <cell r="D537" t="str">
            <v>三元乙丙橡胶</v>
          </cell>
        </row>
        <row r="538">
          <cell r="A538" t="str">
            <v>F0103035091</v>
          </cell>
          <cell r="B538" t="str">
            <v>制动踏板胶套</v>
          </cell>
          <cell r="C538" t="str">
            <v>件</v>
          </cell>
          <cell r="D538" t="str">
            <v>三元乙丙橡胶</v>
          </cell>
        </row>
        <row r="539">
          <cell r="A539" t="str">
            <v>F0103035092</v>
          </cell>
          <cell r="B539" t="str">
            <v>油壶密封垫</v>
          </cell>
          <cell r="C539" t="str">
            <v>件</v>
          </cell>
          <cell r="D539" t="str">
            <v>塑料件</v>
          </cell>
        </row>
        <row r="540">
          <cell r="A540" t="str">
            <v>F0103035093</v>
          </cell>
          <cell r="B540" t="str">
            <v>后靠背安装座缓冲胶垫</v>
          </cell>
          <cell r="C540" t="str">
            <v>件</v>
          </cell>
          <cell r="D540" t="str">
            <v>三元乙丙橡胶</v>
          </cell>
        </row>
        <row r="541">
          <cell r="A541" t="str">
            <v>F0103038003</v>
          </cell>
          <cell r="B541" t="str">
            <v>尼龙衬套3</v>
          </cell>
          <cell r="C541" t="str">
            <v>件</v>
          </cell>
          <cell r="D541" t="str">
            <v>三元乙丙橡胶</v>
          </cell>
        </row>
        <row r="542">
          <cell r="A542" t="str">
            <v>F0103054002</v>
          </cell>
          <cell r="B542" t="str">
            <v>二合一水杯架（可拆卸）</v>
          </cell>
          <cell r="C542" t="str">
            <v>件</v>
          </cell>
          <cell r="D542" t="str">
            <v>塑料件</v>
          </cell>
        </row>
        <row r="543">
          <cell r="A543" t="str">
            <v>F0103099073</v>
          </cell>
          <cell r="B543" t="str">
            <v>反光贴</v>
          </cell>
          <cell r="C543" t="str">
            <v>件</v>
          </cell>
          <cell r="D543" t="str">
            <v>塑料件</v>
          </cell>
        </row>
        <row r="544">
          <cell r="A544" t="str">
            <v>F0199002087</v>
          </cell>
          <cell r="B544" t="str">
            <v>方向盘Logo</v>
          </cell>
          <cell r="C544" t="str">
            <v>件</v>
          </cell>
          <cell r="D544" t="str">
            <v>塑料件</v>
          </cell>
        </row>
        <row r="545">
          <cell r="A545" t="str">
            <v>F0199002088</v>
          </cell>
          <cell r="B545" t="str">
            <v>ACTIV EV字母标</v>
          </cell>
          <cell r="C545" t="str">
            <v>件</v>
          </cell>
          <cell r="D545" t="str">
            <v>塑料件</v>
          </cell>
        </row>
        <row r="546">
          <cell r="A546" t="str">
            <v>F0199002089</v>
          </cell>
          <cell r="B546" t="str">
            <v>ACTIV EV字母标</v>
          </cell>
          <cell r="C546" t="str">
            <v>件</v>
          </cell>
          <cell r="D546" t="str">
            <v>塑料件</v>
          </cell>
        </row>
        <row r="547">
          <cell r="A547" t="str">
            <v>F0199002090</v>
          </cell>
          <cell r="B547" t="str">
            <v>PULSE字母标</v>
          </cell>
          <cell r="C547" t="str">
            <v>件</v>
          </cell>
          <cell r="D547" t="str">
            <v>塑料件</v>
          </cell>
        </row>
        <row r="548">
          <cell r="A548" t="str">
            <v>F0199002092</v>
          </cell>
          <cell r="B548" t="str">
            <v>PULSE字母标</v>
          </cell>
          <cell r="C548" t="str">
            <v>件</v>
          </cell>
          <cell r="D548" t="str">
            <v>塑料件</v>
          </cell>
        </row>
        <row r="549">
          <cell r="A549" t="str">
            <v>F0199003177</v>
          </cell>
          <cell r="B549" t="str">
            <v>充电指示灯贴纸</v>
          </cell>
          <cell r="C549" t="str">
            <v>件</v>
          </cell>
          <cell r="D549" t="str">
            <v>塑料件</v>
          </cell>
        </row>
        <row r="550">
          <cell r="A550" t="str">
            <v>F0201002034</v>
          </cell>
          <cell r="B550" t="str">
            <v>前刹车卡钳 左</v>
          </cell>
          <cell r="C550" t="str">
            <v>件</v>
          </cell>
          <cell r="D550" t="str">
            <v>制动部件</v>
          </cell>
        </row>
        <row r="551">
          <cell r="A551" t="str">
            <v>F0201002035</v>
          </cell>
          <cell r="B551" t="str">
            <v>前刹车卡钳 右</v>
          </cell>
          <cell r="C551" t="str">
            <v>件</v>
          </cell>
          <cell r="D551" t="str">
            <v>制动部件</v>
          </cell>
        </row>
        <row r="552">
          <cell r="A552" t="str">
            <v>F0201003107</v>
          </cell>
          <cell r="B552" t="str">
            <v>后桥总成/电磁驻车/碟刹制动器</v>
          </cell>
          <cell r="C552" t="str">
            <v>件</v>
          </cell>
          <cell r="D552" t="str">
            <v>底盘部件</v>
          </cell>
        </row>
        <row r="553">
          <cell r="A553" t="str">
            <v>F0201003114</v>
          </cell>
          <cell r="B553" t="str">
            <v>后桥总成/电磁驻车/碟刹制动器</v>
          </cell>
          <cell r="C553" t="str">
            <v>件</v>
          </cell>
          <cell r="D553" t="str">
            <v>底盘部件</v>
          </cell>
        </row>
        <row r="554">
          <cell r="A554" t="str">
            <v>F0201003115</v>
          </cell>
          <cell r="B554" t="str">
            <v>后桥总成/电磁驻车/碟刹制动器</v>
          </cell>
          <cell r="C554" t="str">
            <v>件</v>
          </cell>
          <cell r="D554" t="str">
            <v>底盘部件</v>
          </cell>
        </row>
        <row r="555">
          <cell r="A555" t="str">
            <v>F0202006037</v>
          </cell>
          <cell r="B555" t="str">
            <v>前减震器总成 加长</v>
          </cell>
          <cell r="C555" t="str">
            <v>件</v>
          </cell>
          <cell r="D555" t="str">
            <v>底盘部件</v>
          </cell>
        </row>
        <row r="556">
          <cell r="A556" t="str">
            <v>F0202006082</v>
          </cell>
          <cell r="B556" t="str">
            <v>后减震器</v>
          </cell>
          <cell r="C556" t="str">
            <v>件</v>
          </cell>
          <cell r="D556" t="str">
            <v>底盘部件</v>
          </cell>
        </row>
        <row r="557">
          <cell r="A557" t="str">
            <v>F0202009200</v>
          </cell>
          <cell r="B557" t="str">
            <v>轮胎22*10-14/花纹T928 品牌：NOBARON</v>
          </cell>
          <cell r="C557" t="str">
            <v>件</v>
          </cell>
          <cell r="D557" t="str">
            <v>高尔夫轮胎</v>
          </cell>
        </row>
        <row r="558">
          <cell r="A558" t="str">
            <v>F0202009204</v>
          </cell>
          <cell r="B558" t="str">
            <v>轮胎</v>
          </cell>
          <cell r="C558" t="str">
            <v>件</v>
          </cell>
          <cell r="D558" t="str">
            <v>高尔夫轮胎</v>
          </cell>
        </row>
        <row r="559">
          <cell r="A559" t="str">
            <v>F0203006042</v>
          </cell>
          <cell r="B559" t="str">
            <v>成型制动油管-中前</v>
          </cell>
          <cell r="C559" t="str">
            <v>件</v>
          </cell>
          <cell r="D559" t="str">
            <v>制动部件</v>
          </cell>
        </row>
        <row r="560">
          <cell r="A560" t="str">
            <v>F0203006044</v>
          </cell>
          <cell r="B560" t="str">
            <v>成型制动油管-中后</v>
          </cell>
          <cell r="C560" t="str">
            <v>件</v>
          </cell>
          <cell r="D560" t="str">
            <v>制动部件</v>
          </cell>
        </row>
        <row r="561">
          <cell r="A561" t="str">
            <v>F0203007010</v>
          </cell>
          <cell r="B561" t="str">
            <v>制动软管/L520 一头直一头L</v>
          </cell>
          <cell r="C561" t="str">
            <v>件</v>
          </cell>
          <cell r="D561" t="str">
            <v>制动部件</v>
          </cell>
        </row>
        <row r="562">
          <cell r="A562" t="str">
            <v>F0204001015</v>
          </cell>
          <cell r="B562" t="str">
            <v>方向盘总成</v>
          </cell>
          <cell r="C562" t="str">
            <v>件</v>
          </cell>
          <cell r="D562" t="str">
            <v>塑料件</v>
          </cell>
        </row>
        <row r="563">
          <cell r="A563" t="str">
            <v>F0204002031</v>
          </cell>
          <cell r="B563" t="str">
            <v>转向轴管</v>
          </cell>
          <cell r="C563" t="str">
            <v>件</v>
          </cell>
          <cell r="D563" t="str">
            <v>塑料件</v>
          </cell>
        </row>
        <row r="564">
          <cell r="A564" t="str">
            <v>F0204002035</v>
          </cell>
          <cell r="B564" t="str">
            <v>转向轴管</v>
          </cell>
          <cell r="C564" t="str">
            <v>件</v>
          </cell>
          <cell r="D564" t="str">
            <v>底盘部件</v>
          </cell>
        </row>
        <row r="565">
          <cell r="A565" t="str">
            <v>Y0410024021368</v>
          </cell>
          <cell r="B565" t="str">
            <v>侧踏板安装支架总成</v>
          </cell>
          <cell r="C565" t="str">
            <v>件</v>
          </cell>
          <cell r="D565" t="str">
            <v>车身部件（支架等）</v>
          </cell>
        </row>
        <row r="566">
          <cell r="A566" t="str">
            <v>F0204004053</v>
          </cell>
          <cell r="B566" t="str">
            <v>转向下轴</v>
          </cell>
          <cell r="C566" t="str">
            <v>件</v>
          </cell>
          <cell r="D566" t="str">
            <v>底盘部件</v>
          </cell>
        </row>
        <row r="567">
          <cell r="A567" t="str">
            <v>F0301013063</v>
          </cell>
          <cell r="B567" t="str">
            <v>30600充电器</v>
          </cell>
          <cell r="C567" t="str">
            <v>件</v>
          </cell>
          <cell r="D567" t="str">
            <v>底盘部件</v>
          </cell>
        </row>
        <row r="568">
          <cell r="A568" t="str">
            <v>F0301014033</v>
          </cell>
          <cell r="B568" t="str">
            <v>充电插座带线总成/0.8米</v>
          </cell>
          <cell r="C568" t="str">
            <v>件</v>
          </cell>
          <cell r="D568" t="str">
            <v>线束</v>
          </cell>
        </row>
        <row r="569">
          <cell r="A569" t="str">
            <v>F0301014034</v>
          </cell>
          <cell r="B569" t="str">
            <v>充电插头带线总成/3.0米</v>
          </cell>
          <cell r="C569" t="str">
            <v>件</v>
          </cell>
          <cell r="D569" t="str">
            <v>线束</v>
          </cell>
        </row>
        <row r="570">
          <cell r="A570" t="str">
            <v>F0301014035</v>
          </cell>
          <cell r="B570" t="str">
            <v>充电机电源输出线/0.8米</v>
          </cell>
          <cell r="C570" t="str">
            <v>件</v>
          </cell>
          <cell r="D570" t="str">
            <v>线束</v>
          </cell>
        </row>
        <row r="571">
          <cell r="A571" t="str">
            <v>F0302002072</v>
          </cell>
          <cell r="B571" t="str">
            <v>交流电机5KW/48V/19齿/圆法兰</v>
          </cell>
          <cell r="C571" t="str">
            <v>件</v>
          </cell>
          <cell r="D571" t="str">
            <v>交流电机</v>
          </cell>
        </row>
        <row r="572">
          <cell r="A572" t="str">
            <v>F0302012106</v>
          </cell>
          <cell r="B572" t="str">
            <v>锂电电控/打猎车/CAN/48V450A</v>
          </cell>
          <cell r="C572" t="str">
            <v>件</v>
          </cell>
          <cell r="D572" t="str">
            <v>电控</v>
          </cell>
        </row>
        <row r="573">
          <cell r="A573" t="str">
            <v>F0302012110</v>
          </cell>
          <cell r="B573" t="str">
            <v>锂电电控/球车/CAN/48V450A</v>
          </cell>
          <cell r="C573" t="str">
            <v>件</v>
          </cell>
          <cell r="D573" t="str">
            <v>电控</v>
          </cell>
        </row>
        <row r="574">
          <cell r="A574" t="str">
            <v>F0102077022</v>
          </cell>
          <cell r="B574" t="str">
            <v>铁制侧踏板（左）</v>
          </cell>
          <cell r="C574" t="str">
            <v>件</v>
          </cell>
          <cell r="D574" t="str">
            <v>车身部件（支架等）</v>
          </cell>
        </row>
        <row r="575">
          <cell r="A575" t="str">
            <v>F0102081035</v>
          </cell>
          <cell r="B575" t="str">
            <v>后踏板侧踏板 左</v>
          </cell>
          <cell r="C575" t="str">
            <v>件</v>
          </cell>
          <cell r="D575" t="str">
            <v>车身部件（支架等）</v>
          </cell>
        </row>
        <row r="576">
          <cell r="A576" t="str">
            <v>F0102081036</v>
          </cell>
          <cell r="B576" t="str">
            <v>后踏板侧踏板 右</v>
          </cell>
          <cell r="C576" t="str">
            <v>件</v>
          </cell>
          <cell r="D576" t="str">
            <v>车身部件（支架等）</v>
          </cell>
        </row>
        <row r="577">
          <cell r="A577" t="str">
            <v>F0302012123</v>
          </cell>
          <cell r="B577" t="str">
            <v>锂电电控/打猎车/锂电池/CAN/新版</v>
          </cell>
          <cell r="C577" t="str">
            <v>件</v>
          </cell>
          <cell r="D577" t="str">
            <v>电控</v>
          </cell>
        </row>
        <row r="578">
          <cell r="A578" t="str">
            <v>F0303002008</v>
          </cell>
          <cell r="B578" t="str">
            <v>铸铝大踏板加速器</v>
          </cell>
          <cell r="C578" t="str">
            <v>件</v>
          </cell>
          <cell r="D578" t="str">
            <v>制动部件</v>
          </cell>
        </row>
        <row r="579">
          <cell r="A579" t="str">
            <v>F0304001444</v>
          </cell>
          <cell r="B579" t="str">
            <v>氛围灯线束</v>
          </cell>
          <cell r="C579" t="str">
            <v>件</v>
          </cell>
          <cell r="D579" t="str">
            <v>线束</v>
          </cell>
        </row>
        <row r="580">
          <cell r="A580" t="str">
            <v>F0304001449</v>
          </cell>
          <cell r="B580" t="str">
            <v>低音炮转接线</v>
          </cell>
          <cell r="C580" t="str">
            <v>件</v>
          </cell>
          <cell r="D580" t="str">
            <v>线束</v>
          </cell>
        </row>
        <row r="581">
          <cell r="A581" t="str">
            <v>F0304001463</v>
          </cell>
          <cell r="B581" t="str">
            <v>后牌照灯转接线</v>
          </cell>
          <cell r="C581" t="str">
            <v>件</v>
          </cell>
          <cell r="D581" t="str">
            <v>线束</v>
          </cell>
        </row>
        <row r="582">
          <cell r="A582" t="str">
            <v>F0304001501</v>
          </cell>
          <cell r="B582" t="str">
            <v>WH2027K  2座球车锂电线束</v>
          </cell>
          <cell r="C582" t="str">
            <v>件</v>
          </cell>
          <cell r="D582" t="str">
            <v>线束</v>
          </cell>
        </row>
        <row r="583">
          <cell r="A583" t="str">
            <v>F0304001502</v>
          </cell>
          <cell r="B583" t="str">
            <v>WH2047K  4座球车锂电线束</v>
          </cell>
          <cell r="C583" t="str">
            <v>件</v>
          </cell>
          <cell r="D583" t="str">
            <v>线束</v>
          </cell>
        </row>
        <row r="584">
          <cell r="A584" t="str">
            <v>F0304001503</v>
          </cell>
          <cell r="B584" t="str">
            <v>按钮开关连接线</v>
          </cell>
          <cell r="C584" t="str">
            <v>件</v>
          </cell>
          <cell r="D584" t="str">
            <v>线束</v>
          </cell>
        </row>
        <row r="585">
          <cell r="A585" t="str">
            <v>F0304001508</v>
          </cell>
          <cell r="B585" t="str">
            <v>锂电充电机通讯线</v>
          </cell>
          <cell r="C585" t="str">
            <v>件</v>
          </cell>
          <cell r="D585" t="str">
            <v>线束</v>
          </cell>
        </row>
        <row r="586">
          <cell r="A586" t="str">
            <v>F0304001556</v>
          </cell>
          <cell r="B586" t="str">
            <v>WH2045K   4座球车ECO锂电线束(含闪光器）</v>
          </cell>
          <cell r="C586" t="str">
            <v>件</v>
          </cell>
          <cell r="D586" t="str">
            <v>线束</v>
          </cell>
        </row>
        <row r="587">
          <cell r="A587" t="str">
            <v>F0304002198</v>
          </cell>
          <cell r="B587" t="str">
            <v>动力线总成(适配赣锋锂电）</v>
          </cell>
          <cell r="C587" t="str">
            <v>件</v>
          </cell>
          <cell r="D587" t="str">
            <v>线束</v>
          </cell>
        </row>
        <row r="588">
          <cell r="A588" t="str">
            <v>F0304002228</v>
          </cell>
          <cell r="B588" t="str">
            <v>动力线总成/Li-ion</v>
          </cell>
          <cell r="C588" t="str">
            <v>件</v>
          </cell>
          <cell r="D588" t="str">
            <v>线束</v>
          </cell>
        </row>
        <row r="589">
          <cell r="A589" t="str">
            <v>F0304004045</v>
          </cell>
          <cell r="B589" t="str">
            <v>DC转换器/DC2105-48-12单</v>
          </cell>
          <cell r="C589" t="str">
            <v>件</v>
          </cell>
          <cell r="D589" t="str">
            <v>车身部件</v>
          </cell>
        </row>
        <row r="590">
          <cell r="A590" t="str">
            <v>F0304016016</v>
          </cell>
          <cell r="B590" t="str">
            <v>保险盒/10路/含闪光器/含继电器</v>
          </cell>
          <cell r="C590" t="str">
            <v>件</v>
          </cell>
          <cell r="D590" t="str">
            <v>电子闪光器</v>
          </cell>
        </row>
        <row r="591">
          <cell r="A591" t="str">
            <v>F0304017005</v>
          </cell>
          <cell r="B591" t="str">
            <v>点烟器母座</v>
          </cell>
          <cell r="C591" t="str">
            <v>件</v>
          </cell>
          <cell r="D591" t="str">
            <v>塑料件</v>
          </cell>
        </row>
        <row r="592">
          <cell r="A592" t="str">
            <v>F0307001040</v>
          </cell>
          <cell r="B592" t="str">
            <v>10.1寸多功能仪表中控屏/带电池</v>
          </cell>
          <cell r="C592" t="str">
            <v>件</v>
          </cell>
          <cell r="D592" t="str">
            <v>车载液晶显示器</v>
          </cell>
        </row>
        <row r="593">
          <cell r="A593" t="str">
            <v>F0307003029</v>
          </cell>
          <cell r="B593" t="str">
            <v>蜗牛喇叭</v>
          </cell>
          <cell r="C593" t="str">
            <v>件</v>
          </cell>
          <cell r="D593" t="str">
            <v>塑料件</v>
          </cell>
        </row>
        <row r="594">
          <cell r="A594" t="str">
            <v>F0307004009</v>
          </cell>
          <cell r="B594" t="str">
            <v>扬声器网罩/八爪/黑色皮纹</v>
          </cell>
          <cell r="C594" t="str">
            <v>件</v>
          </cell>
          <cell r="D594" t="str">
            <v>塑料件</v>
          </cell>
        </row>
        <row r="595">
          <cell r="A595" t="str">
            <v>F0308001049</v>
          </cell>
          <cell r="B595" t="str">
            <v>左前大灯总成</v>
          </cell>
          <cell r="C595" t="str">
            <v>件</v>
          </cell>
          <cell r="D595" t="str">
            <v>组合大灯</v>
          </cell>
        </row>
        <row r="596">
          <cell r="A596" t="str">
            <v>F0308001050</v>
          </cell>
          <cell r="B596" t="str">
            <v>右前大灯总成</v>
          </cell>
          <cell r="C596" t="str">
            <v>件</v>
          </cell>
          <cell r="D596" t="str">
            <v>组合大灯</v>
          </cell>
        </row>
        <row r="597">
          <cell r="A597" t="str">
            <v>F0308011004</v>
          </cell>
          <cell r="B597" t="str">
            <v>后牌照灯</v>
          </cell>
          <cell r="C597" t="str">
            <v>件</v>
          </cell>
          <cell r="D597" t="str">
            <v>组合大灯</v>
          </cell>
        </row>
        <row r="598">
          <cell r="A598" t="str">
            <v>F0308035012</v>
          </cell>
          <cell r="B598" t="str">
            <v>4+2座球车（毒液专供）</v>
          </cell>
          <cell r="C598" t="str">
            <v>件</v>
          </cell>
          <cell r="D598" t="str">
            <v>组合大灯</v>
          </cell>
        </row>
        <row r="599">
          <cell r="A599" t="str">
            <v>F0309001106</v>
          </cell>
          <cell r="B599" t="str">
            <v>左侧组合开关罩/BTL</v>
          </cell>
          <cell r="C599" t="str">
            <v>件</v>
          </cell>
          <cell r="D599" t="str">
            <v>塑料件</v>
          </cell>
        </row>
        <row r="600">
          <cell r="A600" t="str">
            <v>F0309001107</v>
          </cell>
          <cell r="B600" t="str">
            <v>右侧组合开关罩/BTL</v>
          </cell>
          <cell r="C600" t="str">
            <v>件</v>
          </cell>
          <cell r="D600" t="str">
            <v>塑料件</v>
          </cell>
        </row>
        <row r="601">
          <cell r="A601" t="str">
            <v>F0309001108</v>
          </cell>
          <cell r="B601" t="str">
            <v>组合开关/单柄</v>
          </cell>
          <cell r="C601" t="str">
            <v>件</v>
          </cell>
          <cell r="D601" t="str">
            <v>塑料件</v>
          </cell>
        </row>
        <row r="602">
          <cell r="A602" t="str">
            <v>F0309002212</v>
          </cell>
          <cell r="B602" t="str">
            <v>点火锁</v>
          </cell>
          <cell r="C602" t="str">
            <v>件</v>
          </cell>
          <cell r="D602" t="str">
            <v>塑料件</v>
          </cell>
        </row>
        <row r="603">
          <cell r="A603" t="str">
            <v>F0309004008</v>
          </cell>
          <cell r="B603" t="str">
            <v>按钮开关(备用电源)/蓝色指示灯</v>
          </cell>
          <cell r="C603" t="str">
            <v>件</v>
          </cell>
          <cell r="D603" t="str">
            <v>塑料件</v>
          </cell>
        </row>
        <row r="604">
          <cell r="A604" t="str">
            <v>F0399007002</v>
          </cell>
          <cell r="B604" t="str">
            <v>充电指示灯（锂电款）</v>
          </cell>
          <cell r="C604" t="str">
            <v>件</v>
          </cell>
          <cell r="D604" t="str">
            <v>塑料件</v>
          </cell>
        </row>
        <row r="605">
          <cell r="A605" t="str">
            <v>Y0403302</v>
          </cell>
          <cell r="B605" t="str">
            <v>螺母盖</v>
          </cell>
          <cell r="C605" t="str">
            <v>件</v>
          </cell>
          <cell r="D605" t="str">
            <v>塑料件</v>
          </cell>
        </row>
        <row r="606">
          <cell r="A606" t="str">
            <v>Y0403506</v>
          </cell>
          <cell r="B606" t="str">
            <v>冷凝器橡胶垫</v>
          </cell>
          <cell r="C606" t="str">
            <v>件</v>
          </cell>
          <cell r="D606" t="str">
            <v>三元乙丙橡胶</v>
          </cell>
        </row>
        <row r="607">
          <cell r="A607" t="str">
            <v>Y0410024021009</v>
          </cell>
          <cell r="B607" t="str">
            <v>侧边梁中横梁（4座车）</v>
          </cell>
          <cell r="C607" t="str">
            <v>件</v>
          </cell>
          <cell r="D607" t="str">
            <v>车身部件（支架等）</v>
          </cell>
        </row>
        <row r="608">
          <cell r="A608" t="str">
            <v>Y0410024021010</v>
          </cell>
          <cell r="B608" t="str">
            <v>前座椅桶安装板（J款4座车）</v>
          </cell>
          <cell r="C608" t="str">
            <v>件</v>
          </cell>
          <cell r="D608" t="str">
            <v>车身部件（支架等）</v>
          </cell>
        </row>
        <row r="609">
          <cell r="A609" t="str">
            <v>Y0410024021011</v>
          </cell>
          <cell r="B609" t="str">
            <v>前座椅桶下横梁（4座车）</v>
          </cell>
          <cell r="C609" t="str">
            <v>件</v>
          </cell>
          <cell r="D609" t="str">
            <v>车身部件（支架等）</v>
          </cell>
        </row>
        <row r="610">
          <cell r="A610" t="str">
            <v>Y0410024021012</v>
          </cell>
          <cell r="B610" t="str">
            <v>前座椅中纵梁（J款4座车）</v>
          </cell>
          <cell r="C610" t="str">
            <v>件</v>
          </cell>
          <cell r="D610" t="str">
            <v>车身部件（支架等）</v>
          </cell>
        </row>
        <row r="611">
          <cell r="A611" t="str">
            <v>Y0410024021013</v>
          </cell>
          <cell r="B611" t="str">
            <v>侧边梁前连接板</v>
          </cell>
          <cell r="C611" t="str">
            <v>件</v>
          </cell>
          <cell r="D611" t="str">
            <v>车身部件（支架等）</v>
          </cell>
        </row>
        <row r="612">
          <cell r="A612" t="str">
            <v>Y0410024021014</v>
          </cell>
          <cell r="B612" t="str">
            <v>制动踏板右纵梁连接板</v>
          </cell>
          <cell r="C612" t="str">
            <v>件</v>
          </cell>
          <cell r="D612" t="str">
            <v>制动部件</v>
          </cell>
        </row>
        <row r="613">
          <cell r="A613" t="str">
            <v>Y0410024021015</v>
          </cell>
          <cell r="B613" t="str">
            <v>后立柱支架后封板</v>
          </cell>
          <cell r="C613" t="str">
            <v>件</v>
          </cell>
          <cell r="D613" t="str">
            <v>车身部件（支架等）</v>
          </cell>
        </row>
        <row r="614">
          <cell r="A614" t="str">
            <v>Y0410024021016</v>
          </cell>
          <cell r="B614" t="str">
            <v>制动踏板前支架</v>
          </cell>
          <cell r="C614" t="str">
            <v>件</v>
          </cell>
          <cell r="D614" t="str">
            <v>制动部件</v>
          </cell>
        </row>
        <row r="615">
          <cell r="A615" t="str">
            <v>Y0410024021017</v>
          </cell>
          <cell r="B615" t="str">
            <v>制动踏板后支架</v>
          </cell>
          <cell r="C615" t="str">
            <v>件</v>
          </cell>
          <cell r="D615" t="str">
            <v>制动部件</v>
          </cell>
        </row>
        <row r="616">
          <cell r="A616" t="str">
            <v>Y0410024021018</v>
          </cell>
          <cell r="B616" t="str">
            <v>制动总泵支架横梁</v>
          </cell>
          <cell r="C616" t="str">
            <v>件</v>
          </cell>
          <cell r="D616" t="str">
            <v>制动部件</v>
          </cell>
        </row>
        <row r="617">
          <cell r="A617" t="str">
            <v>Y0410024021020</v>
          </cell>
          <cell r="B617" t="str">
            <v>前减振器支架（打猎车）</v>
          </cell>
          <cell r="C617" t="str">
            <v>件</v>
          </cell>
          <cell r="D617" t="str">
            <v>车身部件（支架等）</v>
          </cell>
        </row>
        <row r="618">
          <cell r="A618" t="str">
            <v>Y0410024021024</v>
          </cell>
          <cell r="B618" t="str">
            <v>制动油壶支架</v>
          </cell>
          <cell r="C618" t="str">
            <v>件</v>
          </cell>
          <cell r="D618" t="str">
            <v>制动部件</v>
          </cell>
        </row>
        <row r="619">
          <cell r="A619" t="str">
            <v>Y0410024021025</v>
          </cell>
          <cell r="B619" t="str">
            <v>制动油壶支架加强板</v>
          </cell>
          <cell r="C619" t="str">
            <v>件</v>
          </cell>
          <cell r="D619" t="str">
            <v>制动部件</v>
          </cell>
        </row>
        <row r="620">
          <cell r="A620" t="str">
            <v>Y0410024021028</v>
          </cell>
          <cell r="B620" t="str">
            <v>转向管柱支架（J款）</v>
          </cell>
          <cell r="C620" t="str">
            <v>件</v>
          </cell>
          <cell r="D620" t="str">
            <v>底盘部件</v>
          </cell>
        </row>
        <row r="621">
          <cell r="A621" t="str">
            <v>Y0410024021032</v>
          </cell>
          <cell r="B621" t="str">
            <v>前加强横梁（打猎车）</v>
          </cell>
          <cell r="C621" t="str">
            <v>件</v>
          </cell>
          <cell r="D621" t="str">
            <v>车身部件（支架等）</v>
          </cell>
        </row>
        <row r="622">
          <cell r="A622" t="str">
            <v>Y0410024021033</v>
          </cell>
          <cell r="B622" t="str">
            <v>充电机前横梁</v>
          </cell>
          <cell r="C622" t="str">
            <v>件</v>
          </cell>
          <cell r="D622" t="str">
            <v>车身部件（支架等）</v>
          </cell>
        </row>
        <row r="623">
          <cell r="A623" t="str">
            <v>Y0410024021035</v>
          </cell>
          <cell r="B623" t="str">
            <v>钮子开关支架</v>
          </cell>
          <cell r="C623" t="str">
            <v>件</v>
          </cell>
          <cell r="D623" t="str">
            <v>车身部件（支架等）</v>
          </cell>
        </row>
        <row r="624">
          <cell r="A624" t="str">
            <v>Y0410024021036</v>
          </cell>
          <cell r="B624" t="str">
            <v>前三通支架横梁（打猎车）</v>
          </cell>
          <cell r="C624" t="str">
            <v>件</v>
          </cell>
          <cell r="D624" t="str">
            <v>车身部件（支架等）</v>
          </cell>
        </row>
        <row r="625">
          <cell r="A625" t="str">
            <v>Y0410024021038</v>
          </cell>
          <cell r="B625" t="str">
            <v>后轮罩上安装支架</v>
          </cell>
          <cell r="C625" t="str">
            <v>件</v>
          </cell>
          <cell r="D625" t="str">
            <v>车身部件（支架等）</v>
          </cell>
        </row>
        <row r="626">
          <cell r="A626" t="str">
            <v>Y0410024021039</v>
          </cell>
          <cell r="B626" t="str">
            <v>上悬臂安装支架</v>
          </cell>
          <cell r="C626" t="str">
            <v>件</v>
          </cell>
          <cell r="D626" t="str">
            <v>车身部件（支架等）</v>
          </cell>
        </row>
        <row r="627">
          <cell r="A627" t="str">
            <v>Y0410024021040</v>
          </cell>
          <cell r="B627" t="str">
            <v>下悬臂安装支架</v>
          </cell>
          <cell r="C627" t="str">
            <v>件</v>
          </cell>
          <cell r="D627" t="str">
            <v>车身部件（支架等）</v>
          </cell>
        </row>
        <row r="628">
          <cell r="A628" t="str">
            <v>Y0410024021046</v>
          </cell>
          <cell r="B628" t="str">
            <v>后罩后底板连接板</v>
          </cell>
          <cell r="C628" t="str">
            <v>件</v>
          </cell>
          <cell r="D628" t="str">
            <v>车身部件（支架等）</v>
          </cell>
        </row>
        <row r="629">
          <cell r="A629" t="str">
            <v>Y0410024021048</v>
          </cell>
          <cell r="B629" t="str">
            <v>方向机焊接支架</v>
          </cell>
          <cell r="C629" t="str">
            <v>件</v>
          </cell>
          <cell r="D629" t="str">
            <v>车身部件（支架等）</v>
          </cell>
        </row>
        <row r="630">
          <cell r="A630" t="str">
            <v>Y0410024021052</v>
          </cell>
          <cell r="B630" t="str">
            <v>电控安装支架右(F款)</v>
          </cell>
          <cell r="C630" t="str">
            <v>件</v>
          </cell>
          <cell r="D630" t="str">
            <v>车身部件（支架等）</v>
          </cell>
        </row>
        <row r="631">
          <cell r="A631" t="str">
            <v>Y0410024021053</v>
          </cell>
          <cell r="B631" t="str">
            <v>电控安装支架左(F款)</v>
          </cell>
          <cell r="C631" t="str">
            <v>件</v>
          </cell>
          <cell r="D631" t="str">
            <v>车身部件（支架等）</v>
          </cell>
        </row>
        <row r="632">
          <cell r="A632" t="str">
            <v>Y0410024021067</v>
          </cell>
          <cell r="B632" t="str">
            <v>后轮罩前安装横梁</v>
          </cell>
          <cell r="C632" t="str">
            <v>件</v>
          </cell>
          <cell r="D632" t="str">
            <v>车身部件（支架等）</v>
          </cell>
        </row>
        <row r="633">
          <cell r="A633" t="str">
            <v>Y0410024021069</v>
          </cell>
          <cell r="B633" t="str">
            <v>电池框上横梁</v>
          </cell>
          <cell r="C633" t="str">
            <v>件</v>
          </cell>
          <cell r="D633" t="str">
            <v>车身部件（支架等）</v>
          </cell>
        </row>
        <row r="634">
          <cell r="A634" t="str">
            <v>Y0410024021072</v>
          </cell>
          <cell r="B634" t="str">
            <v>制动油壶软管支架</v>
          </cell>
          <cell r="C634" t="str">
            <v>件</v>
          </cell>
          <cell r="D634" t="str">
            <v>制动部件</v>
          </cell>
        </row>
        <row r="635">
          <cell r="A635" t="str">
            <v>Y0410024021075</v>
          </cell>
          <cell r="B635" t="str">
            <v>电控安装板（J款）</v>
          </cell>
          <cell r="C635" t="str">
            <v>件</v>
          </cell>
          <cell r="D635" t="str">
            <v>车身部件（支架等）</v>
          </cell>
        </row>
        <row r="636">
          <cell r="A636" t="str">
            <v>Y0410024021076</v>
          </cell>
          <cell r="B636" t="str">
            <v>充电机安装板（J款）</v>
          </cell>
          <cell r="C636" t="str">
            <v>件</v>
          </cell>
          <cell r="D636" t="str">
            <v>车身部件（支架等）</v>
          </cell>
        </row>
        <row r="637">
          <cell r="A637" t="str">
            <v>Y0410024021077</v>
          </cell>
          <cell r="B637" t="str">
            <v>04-04电喇叭安装支架</v>
          </cell>
          <cell r="C637" t="str">
            <v>件</v>
          </cell>
          <cell r="D637" t="str">
            <v>车身部件（支架等）</v>
          </cell>
        </row>
        <row r="638">
          <cell r="A638" t="str">
            <v>Y0410024021078</v>
          </cell>
          <cell r="B638" t="str">
            <v>线卡</v>
          </cell>
          <cell r="C638" t="str">
            <v>件</v>
          </cell>
          <cell r="D638" t="str">
            <v>车身部件（支架等）</v>
          </cell>
        </row>
        <row r="639">
          <cell r="A639" t="str">
            <v>Y0410024021080</v>
          </cell>
          <cell r="B639" t="str">
            <v>后座椅支架安装板</v>
          </cell>
          <cell r="C639" t="str">
            <v>件</v>
          </cell>
          <cell r="D639" t="str">
            <v>车身部件（支架等）</v>
          </cell>
        </row>
        <row r="640">
          <cell r="A640" t="str">
            <v>Y0410024021081</v>
          </cell>
          <cell r="B640" t="str">
            <v>后坐垫支撑</v>
          </cell>
          <cell r="C640" t="str">
            <v>件</v>
          </cell>
          <cell r="D640" t="str">
            <v>车身部件（支架等）</v>
          </cell>
        </row>
        <row r="641">
          <cell r="A641" t="str">
            <v>Y0410024021082</v>
          </cell>
          <cell r="B641" t="str">
            <v>电池框前安装支架</v>
          </cell>
          <cell r="C641" t="str">
            <v>件</v>
          </cell>
          <cell r="D641" t="str">
            <v>车身部件（支架等）</v>
          </cell>
        </row>
        <row r="642">
          <cell r="A642" t="str">
            <v>Y0410024021086</v>
          </cell>
          <cell r="B642" t="str">
            <v>制动总泵支架横梁连接板</v>
          </cell>
          <cell r="C642" t="str">
            <v>件</v>
          </cell>
          <cell r="D642" t="str">
            <v>制动部件</v>
          </cell>
        </row>
        <row r="643">
          <cell r="A643" t="str">
            <v>Y0410024021087</v>
          </cell>
          <cell r="B643" t="str">
            <v>后罩后底板</v>
          </cell>
          <cell r="C643" t="str">
            <v>件</v>
          </cell>
          <cell r="D643" t="str">
            <v>车身部件（支架等）</v>
          </cell>
        </row>
        <row r="644">
          <cell r="A644" t="str">
            <v>Y0410024021088</v>
          </cell>
          <cell r="B644" t="str">
            <v>后保险杠安装梁</v>
          </cell>
          <cell r="C644" t="str">
            <v>件</v>
          </cell>
          <cell r="D644" t="str">
            <v>车身部件（支架等）</v>
          </cell>
        </row>
        <row r="645">
          <cell r="A645" t="str">
            <v>Y0410024021090</v>
          </cell>
          <cell r="B645" t="str">
            <v>侧边梁（2座车）</v>
          </cell>
          <cell r="C645" t="str">
            <v>件</v>
          </cell>
          <cell r="D645" t="str">
            <v>车身部件（支架等）</v>
          </cell>
        </row>
        <row r="646">
          <cell r="A646" t="str">
            <v>Y0410024021107</v>
          </cell>
          <cell r="B646" t="str">
            <v>大梁加强管前封板（4座车）</v>
          </cell>
          <cell r="C646" t="str">
            <v>件</v>
          </cell>
          <cell r="D646" t="str">
            <v>车身部件（支架等）</v>
          </cell>
        </row>
        <row r="647">
          <cell r="A647" t="str">
            <v>Y0410024021113</v>
          </cell>
          <cell r="B647" t="str">
            <v>仪表台下横梁加强板(球车)</v>
          </cell>
          <cell r="C647" t="str">
            <v>件</v>
          </cell>
          <cell r="D647" t="str">
            <v>车身部件（支架等）</v>
          </cell>
        </row>
        <row r="648">
          <cell r="A648" t="str">
            <v>Y0410024021114</v>
          </cell>
          <cell r="B648" t="str">
            <v>前减振器支架（球车）</v>
          </cell>
          <cell r="C648" t="str">
            <v>件</v>
          </cell>
          <cell r="D648" t="str">
            <v>车身部件（支架等）</v>
          </cell>
        </row>
        <row r="649">
          <cell r="A649" t="str">
            <v>Y0410024021115</v>
          </cell>
          <cell r="B649" t="str">
            <v>前减支架上封板（球车）</v>
          </cell>
          <cell r="C649" t="str">
            <v>件</v>
          </cell>
          <cell r="D649" t="str">
            <v>车身部件（支架等）</v>
          </cell>
        </row>
        <row r="650">
          <cell r="A650" t="str">
            <v>Y0410024021116</v>
          </cell>
          <cell r="B650" t="str">
            <v>制动踏板后支架加强板</v>
          </cell>
          <cell r="C650" t="str">
            <v>件</v>
          </cell>
          <cell r="D650" t="str">
            <v>制动部件</v>
          </cell>
        </row>
        <row r="651">
          <cell r="A651" t="str">
            <v>Y0410024021120</v>
          </cell>
          <cell r="B651" t="str">
            <v>圆管梁加强横梁（球车）</v>
          </cell>
          <cell r="C651" t="str">
            <v>件</v>
          </cell>
          <cell r="D651" t="str">
            <v>车身部件（支架等）</v>
          </cell>
        </row>
        <row r="652">
          <cell r="A652" t="str">
            <v>Y0410024021121</v>
          </cell>
          <cell r="B652" t="str">
            <v>前立柱支架右（J款）</v>
          </cell>
          <cell r="C652" t="str">
            <v>件</v>
          </cell>
          <cell r="D652" t="str">
            <v>车身部件（支架等）</v>
          </cell>
        </row>
        <row r="653">
          <cell r="A653" t="str">
            <v>Y0410024021122</v>
          </cell>
          <cell r="B653" t="str">
            <v>仪表台斜侧边梁（J款）</v>
          </cell>
          <cell r="C653" t="str">
            <v>件</v>
          </cell>
          <cell r="D653" t="str">
            <v>车身部件（支架等）</v>
          </cell>
        </row>
        <row r="654">
          <cell r="A654" t="str">
            <v>Y0410024021123</v>
          </cell>
          <cell r="B654" t="str">
            <v>前制动油管支架（球车）</v>
          </cell>
          <cell r="C654" t="str">
            <v>件</v>
          </cell>
          <cell r="D654" t="str">
            <v>制动部件</v>
          </cell>
        </row>
        <row r="655">
          <cell r="A655" t="str">
            <v>Y0410024021125</v>
          </cell>
          <cell r="B655" t="str">
            <v>前罩下支架横梁（球车）</v>
          </cell>
          <cell r="C655" t="str">
            <v>件</v>
          </cell>
          <cell r="D655" t="str">
            <v>车身部件（支架等）</v>
          </cell>
        </row>
        <row r="656">
          <cell r="A656" t="str">
            <v>F2119000010 </v>
          </cell>
          <cell r="B656" t="str">
            <v>螺旋扎带</v>
          </cell>
          <cell r="C656" t="str">
            <v>件</v>
          </cell>
          <cell r="D656" t="str">
            <v>塑料件</v>
          </cell>
        </row>
        <row r="657">
          <cell r="A657" t="str">
            <v>Y0410024021127</v>
          </cell>
          <cell r="B657" t="str">
            <v>制动踏板右纵梁</v>
          </cell>
          <cell r="C657" t="str">
            <v>件</v>
          </cell>
          <cell r="D657" t="str">
            <v>制动部件</v>
          </cell>
        </row>
        <row r="658">
          <cell r="A658" t="str">
            <v>Y0410024021128</v>
          </cell>
          <cell r="B658" t="str">
            <v>前立柱支架左（J款）</v>
          </cell>
          <cell r="C658" t="str">
            <v>件</v>
          </cell>
          <cell r="D658" t="str">
            <v>车身部件（支架等）</v>
          </cell>
        </row>
        <row r="659">
          <cell r="A659" t="str">
            <v>Y0410024021133</v>
          </cell>
          <cell r="B659" t="str">
            <v>制动油管支架</v>
          </cell>
          <cell r="C659" t="str">
            <v>件</v>
          </cell>
          <cell r="D659" t="str">
            <v>制动部件</v>
          </cell>
        </row>
        <row r="660">
          <cell r="A660" t="str">
            <v>Y0410024021134</v>
          </cell>
          <cell r="B660" t="str">
            <v>前减加强支架（打猎车）</v>
          </cell>
          <cell r="C660" t="str">
            <v>件</v>
          </cell>
          <cell r="D660" t="str">
            <v>车身部件（支架等）</v>
          </cell>
        </row>
        <row r="661">
          <cell r="A661" t="str">
            <v>Y0410024021136</v>
          </cell>
          <cell r="B661" t="str">
            <v>前罩下支架横梁（打猎车）</v>
          </cell>
          <cell r="C661" t="str">
            <v>件</v>
          </cell>
          <cell r="D661" t="str">
            <v>车身部件（支架等）</v>
          </cell>
        </row>
        <row r="662">
          <cell r="A662" t="str">
            <v>Y0410024021139</v>
          </cell>
          <cell r="B662" t="str">
            <v>侧边梁（4座车）</v>
          </cell>
          <cell r="C662" t="str">
            <v>件</v>
          </cell>
          <cell r="D662" t="str">
            <v>车身部件（支架等）</v>
          </cell>
        </row>
        <row r="663">
          <cell r="A663" t="str">
            <v>Y0410024021152</v>
          </cell>
          <cell r="B663" t="str">
            <v>后油管固定支架</v>
          </cell>
          <cell r="C663" t="str">
            <v>件</v>
          </cell>
          <cell r="D663" t="str">
            <v>制动部件</v>
          </cell>
        </row>
        <row r="664">
          <cell r="A664" t="str">
            <v>Y0410024021153</v>
          </cell>
          <cell r="B664" t="str">
            <v>前三通支架（打猎车）</v>
          </cell>
          <cell r="C664" t="str">
            <v>件</v>
          </cell>
          <cell r="D664" t="str">
            <v>车身部件（支架等）</v>
          </cell>
        </row>
        <row r="665">
          <cell r="A665" t="str">
            <v>Y0410024021154</v>
          </cell>
          <cell r="B665" t="str">
            <v>仪表台下斜封板</v>
          </cell>
          <cell r="C665" t="str">
            <v>件</v>
          </cell>
          <cell r="D665" t="str">
            <v>车身部件（支架等）</v>
          </cell>
        </row>
        <row r="666">
          <cell r="A666" t="str">
            <v>Y0410024021157</v>
          </cell>
          <cell r="B666" t="str">
            <v>仪表台下横梁板（打猎车）</v>
          </cell>
          <cell r="C666" t="str">
            <v>件</v>
          </cell>
          <cell r="D666" t="str">
            <v>车身部件（支架等）</v>
          </cell>
        </row>
        <row r="667">
          <cell r="A667" t="str">
            <v>Y0410024021158</v>
          </cell>
          <cell r="B667" t="str">
            <v>仪表台下横梁板(球车)</v>
          </cell>
          <cell r="C667" t="str">
            <v>件</v>
          </cell>
          <cell r="D667" t="str">
            <v>车身部件（支架等）</v>
          </cell>
        </row>
        <row r="668">
          <cell r="A668" t="str">
            <v>Y0410024021173</v>
          </cell>
          <cell r="B668" t="str">
            <v>仪表台斜侧边梁（G款）</v>
          </cell>
          <cell r="C668" t="str">
            <v>件</v>
          </cell>
          <cell r="D668" t="str">
            <v>车身部件（支架等）</v>
          </cell>
        </row>
        <row r="669">
          <cell r="A669" t="str">
            <v>Y0410024021174</v>
          </cell>
          <cell r="B669" t="str">
            <v>仪表台上横梁板（G款）</v>
          </cell>
          <cell r="C669" t="str">
            <v>件</v>
          </cell>
          <cell r="D669" t="str">
            <v>车身部件（支架等）</v>
          </cell>
        </row>
        <row r="670">
          <cell r="A670" t="str">
            <v>Y0410024021175</v>
          </cell>
          <cell r="B670" t="str">
            <v>前立柱支架左（G款）</v>
          </cell>
          <cell r="C670" t="str">
            <v>件</v>
          </cell>
          <cell r="D670" t="str">
            <v>车身部件（支架等）</v>
          </cell>
        </row>
        <row r="671">
          <cell r="A671" t="str">
            <v>Y0410024021176</v>
          </cell>
          <cell r="B671" t="str">
            <v>前立柱支架右（G款）</v>
          </cell>
          <cell r="C671" t="str">
            <v>件</v>
          </cell>
          <cell r="D671" t="str">
            <v>车身部件（支架等）</v>
          </cell>
        </row>
        <row r="672">
          <cell r="A672" t="str">
            <v>Y0410024021179</v>
          </cell>
          <cell r="B672" t="str">
            <v>前罩下支架（G款打猎车）</v>
          </cell>
          <cell r="C672" t="str">
            <v>件</v>
          </cell>
          <cell r="D672" t="str">
            <v>车身部件（支架等）</v>
          </cell>
        </row>
        <row r="673">
          <cell r="A673" t="str">
            <v>Y0410024021181</v>
          </cell>
          <cell r="B673" t="str">
            <v>前塑料保险杠焊接支架（G款打猎车）</v>
          </cell>
          <cell r="C673" t="str">
            <v>件</v>
          </cell>
          <cell r="D673" t="str">
            <v>车身部件（支架等）</v>
          </cell>
        </row>
        <row r="674">
          <cell r="A674" t="str">
            <v>Y0410024021343</v>
          </cell>
          <cell r="B674" t="str">
            <v>仪表台上横梁板（J款）</v>
          </cell>
          <cell r="C674" t="str">
            <v>件</v>
          </cell>
          <cell r="D674" t="str">
            <v>车身部件（支架等）</v>
          </cell>
        </row>
        <row r="675">
          <cell r="A675" t="str">
            <v>Y0410024021344</v>
          </cell>
          <cell r="B675" t="str">
            <v>前罩下支架（J款球车）</v>
          </cell>
          <cell r="C675" t="str">
            <v>件</v>
          </cell>
          <cell r="D675" t="str">
            <v>车身部件（支架等）</v>
          </cell>
        </row>
        <row r="676">
          <cell r="A676" t="str">
            <v>Y0410024021345</v>
          </cell>
          <cell r="B676" t="str">
            <v>前塑料保险杠焊接支架左（J款球车）</v>
          </cell>
          <cell r="C676" t="str">
            <v>件</v>
          </cell>
          <cell r="D676" t="str">
            <v>车身部件（支架等）</v>
          </cell>
        </row>
        <row r="677">
          <cell r="A677" t="str">
            <v>Y0410024021352</v>
          </cell>
          <cell r="B677" t="str">
            <v>后稳定杆梁加强板</v>
          </cell>
          <cell r="C677" t="str">
            <v>件</v>
          </cell>
          <cell r="D677" t="str">
            <v>车身部件（支架等）</v>
          </cell>
        </row>
        <row r="678">
          <cell r="A678" t="str">
            <v>Y0410024021353</v>
          </cell>
          <cell r="B678" t="str">
            <v>电池框前横梁</v>
          </cell>
          <cell r="C678" t="str">
            <v>件</v>
          </cell>
          <cell r="D678" t="str">
            <v>车身部件（支架等）</v>
          </cell>
        </row>
        <row r="679">
          <cell r="A679" t="str">
            <v>Y0410024021354</v>
          </cell>
          <cell r="B679" t="str">
            <v>电控后安装支架</v>
          </cell>
          <cell r="C679" t="str">
            <v>件</v>
          </cell>
          <cell r="D679" t="str">
            <v>车身部件（支架等）</v>
          </cell>
        </row>
        <row r="680">
          <cell r="A680" t="str">
            <v>Y0410024021355</v>
          </cell>
          <cell r="B680" t="str">
            <v>电控前安装支架</v>
          </cell>
          <cell r="C680" t="str">
            <v>件</v>
          </cell>
          <cell r="D680" t="str">
            <v>车身部件（支架等）</v>
          </cell>
        </row>
        <row r="681">
          <cell r="A681" t="str">
            <v>Y0410024021359</v>
          </cell>
          <cell r="B681" t="str">
            <v>后拖曳臂上支架</v>
          </cell>
          <cell r="C681" t="str">
            <v>件</v>
          </cell>
          <cell r="D681" t="str">
            <v>车身部件（支架等）</v>
          </cell>
        </row>
        <row r="682">
          <cell r="A682" t="str">
            <v>Y0410024021360</v>
          </cell>
          <cell r="B682" t="str">
            <v>大梁加强板（4座车）</v>
          </cell>
          <cell r="C682" t="str">
            <v>件</v>
          </cell>
          <cell r="D682" t="str">
            <v>车身部件（支架等）</v>
          </cell>
        </row>
        <row r="683">
          <cell r="A683" t="str">
            <v>Y0410024021361</v>
          </cell>
          <cell r="B683" t="str">
            <v>后拖曳臂下支架</v>
          </cell>
          <cell r="C683" t="str">
            <v>件</v>
          </cell>
          <cell r="D683" t="str">
            <v>车身部件（支架等）</v>
          </cell>
        </row>
        <row r="684">
          <cell r="A684" t="str">
            <v>Y0410024021365</v>
          </cell>
          <cell r="B684" t="str">
            <v>后拖曳臂上支架加强板</v>
          </cell>
          <cell r="C684" t="str">
            <v>件</v>
          </cell>
          <cell r="D684" t="str">
            <v>车身部件（支架等）</v>
          </cell>
        </row>
        <row r="685">
          <cell r="A685" t="str">
            <v>Y0410024021370</v>
          </cell>
          <cell r="B685" t="str">
            <v>后减振器上支架</v>
          </cell>
          <cell r="C685" t="str">
            <v>件</v>
          </cell>
          <cell r="D685" t="str">
            <v>车身部件（支架等）</v>
          </cell>
        </row>
        <row r="686">
          <cell r="A686" t="str">
            <v>Y0410024021372</v>
          </cell>
          <cell r="B686" t="str">
            <v>转向管柱支架（F款）</v>
          </cell>
          <cell r="C686" t="str">
            <v>件</v>
          </cell>
          <cell r="D686" t="str">
            <v>底盘部件</v>
          </cell>
        </row>
        <row r="687">
          <cell r="A687" t="str">
            <v>Y0410024021373</v>
          </cell>
          <cell r="B687" t="str">
            <v>方向机前焊接支架</v>
          </cell>
          <cell r="C687" t="str">
            <v>件</v>
          </cell>
          <cell r="D687" t="str">
            <v>车身部件（支架等）</v>
          </cell>
        </row>
        <row r="688">
          <cell r="A688" t="str">
            <v>Y0410024021374</v>
          </cell>
          <cell r="B688" t="str">
            <v>方向机后焊接支架</v>
          </cell>
          <cell r="C688" t="str">
            <v>件</v>
          </cell>
          <cell r="D688" t="str">
            <v>车身部件（支架等）</v>
          </cell>
        </row>
        <row r="689">
          <cell r="A689" t="str">
            <v>Y0410024021375</v>
          </cell>
          <cell r="B689" t="str">
            <v>后立柱支架加强板</v>
          </cell>
          <cell r="C689" t="str">
            <v>件</v>
          </cell>
          <cell r="D689" t="str">
            <v>车身部件（支架等）</v>
          </cell>
        </row>
        <row r="690">
          <cell r="A690" t="str">
            <v>Y0410024021376</v>
          </cell>
          <cell r="B690" t="str">
            <v>后立柱安装支架</v>
          </cell>
          <cell r="C690" t="str">
            <v>件</v>
          </cell>
          <cell r="D690" t="str">
            <v>车身部件（支架等）</v>
          </cell>
        </row>
        <row r="691">
          <cell r="A691" t="str">
            <v>Y0410024021377</v>
          </cell>
          <cell r="B691" t="str">
            <v>保险丝盒支架</v>
          </cell>
          <cell r="C691" t="str">
            <v>件</v>
          </cell>
          <cell r="D691" t="str">
            <v>车身部件（支架等）</v>
          </cell>
        </row>
        <row r="692">
          <cell r="A692" t="str">
            <v>Y0410024021378</v>
          </cell>
          <cell r="B692" t="str">
            <v>后稳定杆支架焊接总成（打猎车）</v>
          </cell>
          <cell r="C692" t="str">
            <v>件</v>
          </cell>
          <cell r="D692" t="str">
            <v>车身部件（支架等）</v>
          </cell>
        </row>
        <row r="693">
          <cell r="A693" t="str">
            <v>Y0410024021379</v>
          </cell>
          <cell r="B693" t="str">
            <v>后翻转座椅下安装梁</v>
          </cell>
          <cell r="C693" t="str">
            <v>件</v>
          </cell>
          <cell r="D693" t="str">
            <v>车身部件（支架等）</v>
          </cell>
        </row>
        <row r="694">
          <cell r="A694" t="str">
            <v>Y0410024021409</v>
          </cell>
          <cell r="B694" t="str">
            <v>后稳定杆安装支架焊接总成（球车）</v>
          </cell>
          <cell r="C694" t="str">
            <v>件</v>
          </cell>
          <cell r="D694" t="str">
            <v>车身部件（支架等）</v>
          </cell>
        </row>
        <row r="695">
          <cell r="A695" t="str">
            <v>Y0410024021414</v>
          </cell>
          <cell r="B695" t="str">
            <v>上悬臂支架纵梁左（打猎车）</v>
          </cell>
          <cell r="C695" t="str">
            <v>件</v>
          </cell>
          <cell r="D695" t="str">
            <v>车身部件（支架等）</v>
          </cell>
        </row>
        <row r="696">
          <cell r="A696" t="str">
            <v>Y0410024021415</v>
          </cell>
          <cell r="B696" t="str">
            <v>上悬臂支架纵梁右（打猎车）</v>
          </cell>
          <cell r="C696" t="str">
            <v>件</v>
          </cell>
          <cell r="D696" t="str">
            <v>车身部件（支架等）</v>
          </cell>
        </row>
        <row r="697">
          <cell r="A697" t="str">
            <v>Y0410024021416</v>
          </cell>
          <cell r="B697" t="str">
            <v>前减支架竖梁（打猎车）</v>
          </cell>
          <cell r="C697" t="str">
            <v>件</v>
          </cell>
          <cell r="D697" t="str">
            <v>车身部件（支架等）</v>
          </cell>
        </row>
        <row r="698">
          <cell r="A698" t="str">
            <v>Y0410024021417</v>
          </cell>
          <cell r="B698" t="str">
            <v>仪表台上弯管梁（J款）</v>
          </cell>
          <cell r="C698" t="str">
            <v>件</v>
          </cell>
          <cell r="D698" t="str">
            <v>车身部件（支架等）</v>
          </cell>
        </row>
        <row r="699">
          <cell r="A699" t="str">
            <v>Y0410024021419</v>
          </cell>
          <cell r="B699" t="str">
            <v>仪表台侧斜梁</v>
          </cell>
          <cell r="C699" t="str">
            <v>件</v>
          </cell>
          <cell r="D699" t="str">
            <v>车身部件（支架等）</v>
          </cell>
        </row>
        <row r="700">
          <cell r="A700" t="str">
            <v>Y0410024021420</v>
          </cell>
          <cell r="B700" t="str">
            <v>仪表台中斜梁</v>
          </cell>
          <cell r="C700" t="str">
            <v>件</v>
          </cell>
          <cell r="D700" t="str">
            <v>车身部件（支架等）</v>
          </cell>
        </row>
        <row r="701">
          <cell r="A701" t="str">
            <v>Y0410024021421</v>
          </cell>
          <cell r="B701" t="str">
            <v>大梁（4座打猎车）</v>
          </cell>
          <cell r="C701" t="str">
            <v>件</v>
          </cell>
          <cell r="D701" t="str">
            <v>车身部件（支架等）</v>
          </cell>
        </row>
        <row r="702">
          <cell r="A702" t="str">
            <v>Y0410024021422</v>
          </cell>
          <cell r="B702" t="str">
            <v>大梁加强管（4座车）</v>
          </cell>
          <cell r="C702" t="str">
            <v>件</v>
          </cell>
          <cell r="D702" t="str">
            <v>车身部件（支架等）</v>
          </cell>
        </row>
        <row r="703">
          <cell r="A703" t="str">
            <v>Y0410024021424</v>
          </cell>
          <cell r="B703" t="str">
            <v>圆管梁后端焊接横梁（球车）</v>
          </cell>
          <cell r="C703" t="str">
            <v>件</v>
          </cell>
          <cell r="D703" t="str">
            <v>车身部件（支架等）</v>
          </cell>
        </row>
        <row r="704">
          <cell r="A704" t="str">
            <v>Y0410024021425</v>
          </cell>
          <cell r="B704" t="str">
            <v>下悬臂支架纵梁左（球车）</v>
          </cell>
          <cell r="C704" t="str">
            <v>件</v>
          </cell>
          <cell r="D704" t="str">
            <v>车身部件（支架等）</v>
          </cell>
        </row>
        <row r="705">
          <cell r="A705" t="str">
            <v>Y0410024021426</v>
          </cell>
          <cell r="B705" t="str">
            <v>下悬臂支架纵梁右（球车）</v>
          </cell>
          <cell r="C705" t="str">
            <v>件</v>
          </cell>
          <cell r="D705" t="str">
            <v>车身部件（支架等）</v>
          </cell>
        </row>
        <row r="706">
          <cell r="A706" t="str">
            <v>Y0410024021427</v>
          </cell>
          <cell r="B706" t="str">
            <v>下悬臂纵梁加强横梁（球车）</v>
          </cell>
          <cell r="C706" t="str">
            <v>件</v>
          </cell>
          <cell r="D706" t="str">
            <v>车身部件（支架等）</v>
          </cell>
        </row>
        <row r="707">
          <cell r="A707" t="str">
            <v>Y0410024021432</v>
          </cell>
          <cell r="B707" t="str">
            <v>上悬臂安装支架（球车）</v>
          </cell>
          <cell r="C707" t="str">
            <v>件</v>
          </cell>
          <cell r="D707" t="str">
            <v>车身部件（支架等）</v>
          </cell>
        </row>
        <row r="708">
          <cell r="A708" t="str">
            <v>Y0410024021438</v>
          </cell>
          <cell r="B708" t="str">
            <v>充电机安装板（F款）</v>
          </cell>
          <cell r="C708" t="str">
            <v>件</v>
          </cell>
          <cell r="D708" t="str">
            <v>车身部件（支架等）</v>
          </cell>
        </row>
        <row r="709">
          <cell r="A709" t="str">
            <v>Y0410024021439</v>
          </cell>
          <cell r="B709" t="str">
            <v>电控安装板（F款）</v>
          </cell>
          <cell r="C709" t="str">
            <v>件</v>
          </cell>
          <cell r="D709" t="str">
            <v>车身部件（支架等）</v>
          </cell>
        </row>
        <row r="710">
          <cell r="A710" t="str">
            <v>Y0410024021441</v>
          </cell>
          <cell r="B710" t="str">
            <v>前座椅桶安装板（F款4座车）</v>
          </cell>
          <cell r="C710" t="str">
            <v>件</v>
          </cell>
          <cell r="D710" t="str">
            <v>车身部件（支架等）</v>
          </cell>
        </row>
        <row r="711">
          <cell r="A711" t="str">
            <v>Y0410024021442</v>
          </cell>
          <cell r="B711" t="str">
            <v>前座椅中纵梁（F款4座车）</v>
          </cell>
          <cell r="C711" t="str">
            <v>件</v>
          </cell>
          <cell r="D711" t="str">
            <v>车身部件（支架等）</v>
          </cell>
        </row>
        <row r="712">
          <cell r="A712" t="str">
            <v>Y0410999101</v>
          </cell>
          <cell r="B712" t="str">
            <v>后减振器套管</v>
          </cell>
          <cell r="C712" t="str">
            <v>件</v>
          </cell>
          <cell r="D712" t="str">
            <v>车身部件（支架等）</v>
          </cell>
        </row>
        <row r="713">
          <cell r="A713" t="str">
            <v>F0102073008</v>
          </cell>
          <cell r="B713" t="str">
            <v>液晶屏座</v>
          </cell>
          <cell r="C713" t="str">
            <v>件</v>
          </cell>
          <cell r="D713" t="str">
            <v>塑料件</v>
          </cell>
        </row>
        <row r="714">
          <cell r="A714" t="str">
            <v>F0103014290</v>
          </cell>
          <cell r="B714" t="str">
            <v>豪华靠背</v>
          </cell>
          <cell r="C714" t="str">
            <v>件</v>
          </cell>
          <cell r="D714" t="str">
            <v>座椅套装</v>
          </cell>
        </row>
        <row r="715">
          <cell r="A715" t="str">
            <v>F0103014291</v>
          </cell>
          <cell r="B715" t="str">
            <v>豪华靠背</v>
          </cell>
          <cell r="C715" t="str">
            <v>件</v>
          </cell>
          <cell r="D715" t="str">
            <v>座椅套装</v>
          </cell>
        </row>
        <row r="716">
          <cell r="A716" t="str">
            <v>F0199002008</v>
          </cell>
          <cell r="B716" t="str">
            <v>高尔夫铭牌</v>
          </cell>
          <cell r="C716" t="str">
            <v>件</v>
          </cell>
          <cell r="D716" t="str">
            <v>车身部件</v>
          </cell>
        </row>
        <row r="717">
          <cell r="A717" t="str">
            <v>F0202010217</v>
          </cell>
          <cell r="B717" t="str">
            <v>铝轮惘</v>
          </cell>
          <cell r="C717" t="str">
            <v>件</v>
          </cell>
          <cell r="D717" t="str">
            <v>轮胎</v>
          </cell>
        </row>
        <row r="718">
          <cell r="A718" t="str">
            <v>F02104001003</v>
          </cell>
          <cell r="B718" t="str">
            <v>制动液</v>
          </cell>
          <cell r="C718" t="str">
            <v>件</v>
          </cell>
          <cell r="D718" t="str">
            <v>辅材</v>
          </cell>
        </row>
        <row r="719">
          <cell r="A719" t="str">
            <v>F2104001003</v>
          </cell>
          <cell r="B719" t="str">
            <v>制动液</v>
          </cell>
          <cell r="C719" t="str">
            <v>件</v>
          </cell>
          <cell r="D719" t="str">
            <v>辅材</v>
          </cell>
        </row>
        <row r="720">
          <cell r="A720" t="str">
            <v>Y0207006021</v>
          </cell>
          <cell r="B720" t="str">
            <v>黑胶布</v>
          </cell>
          <cell r="C720" t="str">
            <v>件</v>
          </cell>
          <cell r="D720" t="str">
            <v>辅材</v>
          </cell>
        </row>
        <row r="721">
          <cell r="A721" t="str">
            <v>Y0308011</v>
          </cell>
          <cell r="B721" t="str">
            <v>齿轮油</v>
          </cell>
          <cell r="C721" t="str">
            <v>件</v>
          </cell>
          <cell r="D721" t="str">
            <v>辅材</v>
          </cell>
        </row>
        <row r="722">
          <cell r="A722" t="str">
            <v>Y0309001005</v>
          </cell>
          <cell r="B722" t="str">
            <v>306胶</v>
          </cell>
          <cell r="C722" t="str">
            <v>件</v>
          </cell>
          <cell r="D722" t="str">
            <v>辅材</v>
          </cell>
        </row>
        <row r="723">
          <cell r="A723" t="str">
            <v>Y0410024021433</v>
          </cell>
          <cell r="B723" t="str">
            <v>前罩下支架（J款打猎车）</v>
          </cell>
          <cell r="C723" t="str">
            <v>件</v>
          </cell>
          <cell r="D723" t="str">
            <v>车身部件（支架等）</v>
          </cell>
        </row>
        <row r="724">
          <cell r="A724" t="str">
            <v>Y0317009004</v>
          </cell>
          <cell r="B724" t="str">
            <v>FD30夹紧条</v>
          </cell>
          <cell r="C724" t="str">
            <v>M</v>
          </cell>
          <cell r="D724" t="str">
            <v>塑料件</v>
          </cell>
        </row>
        <row r="725">
          <cell r="A725" t="str">
            <v>F0103009035</v>
          </cell>
          <cell r="B725" t="str">
            <v>J款前挡玻璃/2座/茶色/D0T</v>
          </cell>
          <cell r="C725" t="str">
            <v>套</v>
          </cell>
          <cell r="D725" t="str">
            <v>塑料件</v>
          </cell>
        </row>
        <row r="726">
          <cell r="A726" t="str">
            <v>F2111000208</v>
          </cell>
          <cell r="B726" t="str">
            <v>4+2座标准件</v>
          </cell>
          <cell r="C726" t="str">
            <v>盒</v>
          </cell>
          <cell r="D726" t="str">
            <v>紧固件</v>
          </cell>
        </row>
        <row r="727">
          <cell r="A727" t="str">
            <v>F2101059006</v>
          </cell>
          <cell r="B727" t="str">
            <v>不锈钢盖型尼龙锁紧螺母（M6）</v>
          </cell>
          <cell r="C727" t="str">
            <v>只</v>
          </cell>
          <cell r="D727" t="str">
            <v>紧固件</v>
          </cell>
        </row>
        <row r="728">
          <cell r="A728" t="str">
            <v>Y0301014001</v>
          </cell>
          <cell r="B728" t="str">
            <v>不锈钢六角罗丝（M6*40）</v>
          </cell>
          <cell r="C728" t="str">
            <v>只</v>
          </cell>
          <cell r="D728" t="str">
            <v>紧固件</v>
          </cell>
        </row>
        <row r="729">
          <cell r="A729" t="str">
            <v>Y030100504513</v>
          </cell>
          <cell r="B729" t="str">
            <v>法兰面圆头自攻螺钉（4.8*16）</v>
          </cell>
          <cell r="C729" t="str">
            <v>件</v>
          </cell>
          <cell r="D729" t="str">
            <v>紧固件</v>
          </cell>
        </row>
        <row r="730">
          <cell r="A730" t="str">
            <v>Y0301014008</v>
          </cell>
          <cell r="B730" t="str">
            <v>不锈钢六角螺栓（M8*50）</v>
          </cell>
          <cell r="C730" t="str">
            <v>只</v>
          </cell>
          <cell r="D730" t="str">
            <v>紧固件</v>
          </cell>
        </row>
        <row r="731">
          <cell r="A731" t="str">
            <v>Y0301014025</v>
          </cell>
          <cell r="B731" t="str">
            <v>不锈钢六角罗丝（M8*45）</v>
          </cell>
          <cell r="C731" t="str">
            <v>只</v>
          </cell>
          <cell r="D731" t="str">
            <v>紧固件</v>
          </cell>
        </row>
        <row r="732">
          <cell r="A732" t="str">
            <v>F2101041063</v>
          </cell>
          <cell r="B732" t="str">
            <v>不锈钢六角罗丝（M8*65）</v>
          </cell>
          <cell r="C732" t="str">
            <v>只</v>
          </cell>
          <cell r="D732" t="str">
            <v>紧固件</v>
          </cell>
        </row>
        <row r="733">
          <cell r="A733" t="str">
            <v>Y0301019034</v>
          </cell>
          <cell r="B733" t="str">
            <v>不锈钢罗母（6）</v>
          </cell>
          <cell r="C733" t="str">
            <v>只</v>
          </cell>
          <cell r="D733" t="str">
            <v>紧固件</v>
          </cell>
        </row>
        <row r="734">
          <cell r="A734" t="str">
            <v>F2101041052</v>
          </cell>
          <cell r="B734" t="str">
            <v>不锈钢六角罗丝（M6*25）</v>
          </cell>
          <cell r="C734" t="str">
            <v>只</v>
          </cell>
          <cell r="D734" t="str">
            <v>紧固件</v>
          </cell>
        </row>
        <row r="735">
          <cell r="A735" t="str">
            <v>Y0301014025</v>
          </cell>
          <cell r="B735" t="str">
            <v>不锈钢六角罗丝（M8*50）</v>
          </cell>
          <cell r="C735" t="str">
            <v>只</v>
          </cell>
          <cell r="D735" t="str">
            <v>紧固件</v>
          </cell>
        </row>
        <row r="736">
          <cell r="A736" t="str">
            <v>F2101041006</v>
          </cell>
          <cell r="B736" t="str">
            <v>不锈钢六角罗丝（M10*75）</v>
          </cell>
          <cell r="C736" t="str">
            <v>只</v>
          </cell>
          <cell r="D736" t="str">
            <v>紧固件</v>
          </cell>
        </row>
        <row r="737">
          <cell r="A737" t="str">
            <v>Y0301019036</v>
          </cell>
          <cell r="B737" t="str">
            <v>不锈钢螺母（10）</v>
          </cell>
          <cell r="C737" t="str">
            <v>件</v>
          </cell>
          <cell r="D737" t="str">
            <v>紧固件</v>
          </cell>
        </row>
        <row r="738">
          <cell r="A738" t="str">
            <v>Y0301021008</v>
          </cell>
          <cell r="B738" t="str">
            <v>弹簧垫圈（10）不锈钢</v>
          </cell>
          <cell r="C738" t="str">
            <v>只</v>
          </cell>
          <cell r="D738" t="str">
            <v>紧固件</v>
          </cell>
        </row>
        <row r="739">
          <cell r="A739" t="str">
            <v>Y0301020013</v>
          </cell>
          <cell r="B739" t="str">
            <v>平垫片（10）不锈钢加大</v>
          </cell>
          <cell r="C739" t="str">
            <v>只</v>
          </cell>
          <cell r="D739" t="str">
            <v>紧固件</v>
          </cell>
        </row>
        <row r="740">
          <cell r="A740" t="str">
            <v>Y0301014025</v>
          </cell>
          <cell r="B740" t="str">
            <v>不锈钢六角罗丝（M8*45）</v>
          </cell>
          <cell r="C740" t="str">
            <v>件</v>
          </cell>
          <cell r="D740" t="str">
            <v>紧固件</v>
          </cell>
        </row>
        <row r="741">
          <cell r="A741" t="str">
            <v>Y0301014028</v>
          </cell>
          <cell r="B741" t="str">
            <v>不锈钢六角罗丝（M8*70）</v>
          </cell>
          <cell r="C741" t="str">
            <v>只</v>
          </cell>
          <cell r="D741" t="str">
            <v>紧固件</v>
          </cell>
        </row>
        <row r="742">
          <cell r="A742" t="str">
            <v>Y0301014003</v>
          </cell>
          <cell r="B742" t="str">
            <v>不锈钢六角罗丝（M8*20）</v>
          </cell>
          <cell r="C742" t="str">
            <v>只</v>
          </cell>
          <cell r="D742" t="str">
            <v>紧固件</v>
          </cell>
        </row>
        <row r="743">
          <cell r="A743" t="str">
            <v>Y0301020027</v>
          </cell>
          <cell r="B743" t="str">
            <v>平垫片（6）不锈钢</v>
          </cell>
          <cell r="C743" t="str">
            <v>只</v>
          </cell>
          <cell r="D743" t="str">
            <v>紧固件</v>
          </cell>
        </row>
        <row r="744">
          <cell r="A744" t="str">
            <v>Y0301014007</v>
          </cell>
          <cell r="B744" t="str">
            <v>不锈钢六角罗丝（M8*40）</v>
          </cell>
          <cell r="C744" t="str">
            <v>只</v>
          </cell>
          <cell r="D744" t="str">
            <v>紧固件</v>
          </cell>
        </row>
        <row r="745">
          <cell r="A745" t="str">
            <v>Y0301014021</v>
          </cell>
          <cell r="B745" t="str">
            <v>不锈钢六角罗丝（M6*50）</v>
          </cell>
          <cell r="C745" t="str">
            <v>只</v>
          </cell>
          <cell r="D745" t="str">
            <v>紧固件</v>
          </cell>
        </row>
        <row r="746">
          <cell r="A746" t="str">
            <v>F2101021026</v>
          </cell>
          <cell r="B746" t="str">
            <v>不锈钢盘头自攻钉</v>
          </cell>
          <cell r="C746" t="str">
            <v>只</v>
          </cell>
          <cell r="D746" t="str">
            <v>紧固件</v>
          </cell>
        </row>
        <row r="747">
          <cell r="A747" t="str">
            <v>Y0301014001</v>
          </cell>
          <cell r="B747" t="str">
            <v>不锈钢六角罗丝（M6*40）</v>
          </cell>
          <cell r="C747" t="str">
            <v>件</v>
          </cell>
          <cell r="D747" t="str">
            <v>紧固件</v>
          </cell>
        </row>
        <row r="748">
          <cell r="A748" t="str">
            <v>Y0301014026</v>
          </cell>
          <cell r="B748" t="str">
            <v>不锈钢六角螺栓（M10*30）</v>
          </cell>
          <cell r="C748" t="str">
            <v>只</v>
          </cell>
          <cell r="D748" t="str">
            <v>紧固件</v>
          </cell>
        </row>
        <row r="749">
          <cell r="A749" t="str">
            <v>Y0301020013</v>
          </cell>
          <cell r="B749" t="str">
            <v>平垫片（10）不锈钢加大</v>
          </cell>
          <cell r="C749" t="str">
            <v>件</v>
          </cell>
          <cell r="D749" t="str">
            <v>紧固件</v>
          </cell>
        </row>
        <row r="750">
          <cell r="A750" t="str">
            <v>F2101083006</v>
          </cell>
          <cell r="B750" t="str">
            <v>弹簧垫圈（10）</v>
          </cell>
          <cell r="C750" t="str">
            <v>只</v>
          </cell>
          <cell r="D750" t="str">
            <v>紧固件</v>
          </cell>
        </row>
        <row r="751">
          <cell r="A751" t="str">
            <v>Y0301014020</v>
          </cell>
          <cell r="B751" t="str">
            <v>不锈钢六角螺栓（M10*65）</v>
          </cell>
          <cell r="C751" t="str">
            <v>件</v>
          </cell>
          <cell r="D751" t="str">
            <v>紧固件</v>
          </cell>
        </row>
        <row r="752">
          <cell r="A752" t="str">
            <v>Y0301019036</v>
          </cell>
          <cell r="B752" t="str">
            <v>不锈钢六角螺母（10）</v>
          </cell>
          <cell r="C752" t="str">
            <v>只</v>
          </cell>
          <cell r="D752" t="str">
            <v>紧固件</v>
          </cell>
        </row>
        <row r="753">
          <cell r="A753" t="str">
            <v>F2101059003</v>
          </cell>
          <cell r="B753" t="str">
            <v>盖形轮胎螺母</v>
          </cell>
          <cell r="C753" t="str">
            <v>只</v>
          </cell>
          <cell r="D753" t="str">
            <v>紧固件</v>
          </cell>
        </row>
        <row r="754">
          <cell r="B754" t="str">
            <v>总装用标准件盒</v>
          </cell>
          <cell r="C754" t="str">
            <v>台</v>
          </cell>
          <cell r="D754" t="str">
            <v>紧固件</v>
          </cell>
        </row>
        <row r="755">
          <cell r="A755" t="str">
            <v>F2101041013</v>
          </cell>
          <cell r="B755" t="str">
            <v>不锈钢六角螺栓</v>
          </cell>
          <cell r="C755" t="str">
            <v>只</v>
          </cell>
          <cell r="D755" t="str">
            <v>紧固件</v>
          </cell>
        </row>
        <row r="756">
          <cell r="A756" t="str">
            <v>Y0301014001</v>
          </cell>
          <cell r="B756" t="str">
            <v>不锈钢六角罗丝(6*40)</v>
          </cell>
          <cell r="C756" t="str">
            <v>只</v>
          </cell>
          <cell r="D756" t="str">
            <v>紧固件</v>
          </cell>
        </row>
        <row r="757">
          <cell r="A757" t="str">
            <v>F2101041015</v>
          </cell>
          <cell r="B757" t="str">
            <v>不锈钢六角罗丝</v>
          </cell>
          <cell r="C757" t="str">
            <v>只</v>
          </cell>
          <cell r="D757" t="str">
            <v>紧固件</v>
          </cell>
        </row>
        <row r="758">
          <cell r="A758" t="str">
            <v>Y0301014003</v>
          </cell>
          <cell r="B758" t="str">
            <v>不锈钢六角罗丝(8*20)</v>
          </cell>
          <cell r="C758" t="str">
            <v>只</v>
          </cell>
          <cell r="D758" t="str">
            <v>紧固件</v>
          </cell>
        </row>
        <row r="759">
          <cell r="A759" t="str">
            <v>Y0301014006</v>
          </cell>
          <cell r="B759" t="str">
            <v>不锈钢六角罗丝(8*35)</v>
          </cell>
          <cell r="C759" t="str">
            <v>只</v>
          </cell>
          <cell r="D759" t="str">
            <v>紧固件</v>
          </cell>
        </row>
        <row r="760">
          <cell r="A760" t="str">
            <v>Y0301014025</v>
          </cell>
          <cell r="B760" t="str">
            <v>不锈钢六角罗丝(8*45)</v>
          </cell>
          <cell r="C760" t="str">
            <v>只</v>
          </cell>
          <cell r="D760" t="str">
            <v>紧固件</v>
          </cell>
        </row>
        <row r="761">
          <cell r="A761" t="str">
            <v>F2101041018</v>
          </cell>
          <cell r="B761" t="str">
            <v>不锈钢六角螺栓</v>
          </cell>
          <cell r="C761" t="str">
            <v>只</v>
          </cell>
          <cell r="D761" t="str">
            <v>紧固件</v>
          </cell>
        </row>
        <row r="762">
          <cell r="A762" t="str">
            <v>F2101041053</v>
          </cell>
          <cell r="B762" t="str">
            <v>不锈钢六角螺栓</v>
          </cell>
          <cell r="C762" t="str">
            <v>只</v>
          </cell>
          <cell r="D762" t="str">
            <v>紧固件</v>
          </cell>
        </row>
        <row r="763">
          <cell r="A763" t="str">
            <v>F2101043042</v>
          </cell>
          <cell r="B763" t="str">
            <v>六角法兰面螺栓</v>
          </cell>
          <cell r="C763" t="str">
            <v>件</v>
          </cell>
          <cell r="D763" t="str">
            <v>紧固件</v>
          </cell>
        </row>
        <row r="764">
          <cell r="A764" t="str">
            <v>Y0301013015</v>
          </cell>
          <cell r="B764" t="str">
            <v>法兰面六角罗丝(8*30)</v>
          </cell>
          <cell r="C764" t="str">
            <v>只</v>
          </cell>
          <cell r="D764" t="str">
            <v>紧固件</v>
          </cell>
        </row>
        <row r="765">
          <cell r="A765" t="str">
            <v>Y0301013024</v>
          </cell>
          <cell r="B765" t="str">
            <v>法兰面六角罗丝(8*45)</v>
          </cell>
          <cell r="C765" t="str">
            <v>只</v>
          </cell>
          <cell r="D765" t="str">
            <v>紧固件</v>
          </cell>
        </row>
        <row r="766">
          <cell r="A766" t="str">
            <v>Y0301021016</v>
          </cell>
          <cell r="B766" t="str">
            <v>弹簧垫片（5）不锈钢</v>
          </cell>
          <cell r="C766" t="str">
            <v>只</v>
          </cell>
          <cell r="D766" t="str">
            <v>紧固件</v>
          </cell>
        </row>
        <row r="767">
          <cell r="A767" t="str">
            <v>Y0301020201</v>
          </cell>
          <cell r="B767" t="str">
            <v>不锈钢平垫</v>
          </cell>
          <cell r="C767" t="str">
            <v>只</v>
          </cell>
          <cell r="D767" t="str">
            <v>紧固件</v>
          </cell>
        </row>
        <row r="768">
          <cell r="A768" t="str">
            <v>Y0301020202</v>
          </cell>
          <cell r="B768" t="str">
            <v>不锈钢平垫</v>
          </cell>
          <cell r="C768" t="str">
            <v>只</v>
          </cell>
          <cell r="D768" t="str">
            <v>紧固件</v>
          </cell>
        </row>
        <row r="769">
          <cell r="A769" t="str">
            <v>Y0301020027</v>
          </cell>
          <cell r="B769" t="str">
            <v>平垫片(6)不锈钢</v>
          </cell>
          <cell r="C769" t="str">
            <v>只</v>
          </cell>
          <cell r="D769" t="str">
            <v>紧固件</v>
          </cell>
        </row>
        <row r="770">
          <cell r="A770" t="str">
            <v>Y0301020012</v>
          </cell>
          <cell r="B770" t="str">
            <v>平垫片(10)不锈钢</v>
          </cell>
          <cell r="C770" t="str">
            <v>只</v>
          </cell>
          <cell r="D770" t="str">
            <v>紧固件</v>
          </cell>
        </row>
        <row r="771">
          <cell r="A771" t="str">
            <v>Y0301020028</v>
          </cell>
          <cell r="B771" t="str">
            <v>平垫片(12)不锈钢</v>
          </cell>
          <cell r="C771" t="str">
            <v>只</v>
          </cell>
          <cell r="D771" t="str">
            <v>紧固件</v>
          </cell>
        </row>
        <row r="772">
          <cell r="A772" t="str">
            <v>Y0301020032</v>
          </cell>
          <cell r="B772" t="str">
            <v>平垫片(5)不锈钢加大</v>
          </cell>
          <cell r="C772" t="str">
            <v>只</v>
          </cell>
          <cell r="D772" t="str">
            <v>紧固件</v>
          </cell>
        </row>
        <row r="773">
          <cell r="A773" t="str">
            <v>Y0301020200</v>
          </cell>
          <cell r="B773" t="str">
            <v>加大平垫片（12）</v>
          </cell>
          <cell r="C773" t="str">
            <v>只</v>
          </cell>
          <cell r="D773" t="str">
            <v>紧固件</v>
          </cell>
        </row>
        <row r="774">
          <cell r="A774" t="str">
            <v>F2101021028</v>
          </cell>
          <cell r="B774" t="str">
            <v>十字槽盘头自攻钉</v>
          </cell>
          <cell r="C774" t="str">
            <v>件</v>
          </cell>
          <cell r="D774" t="str">
            <v>紧固件</v>
          </cell>
        </row>
        <row r="775">
          <cell r="A775" t="str">
            <v>F2101032007</v>
          </cell>
          <cell r="B775" t="str">
            <v>十字平头自攻螺钉</v>
          </cell>
          <cell r="C775" t="str">
            <v>只</v>
          </cell>
          <cell r="D775" t="str">
            <v>紧固件</v>
          </cell>
        </row>
        <row r="776">
          <cell r="A776" t="str">
            <v>F2101021017</v>
          </cell>
          <cell r="B776" t="str">
            <v>十字槽盘头自攻钉</v>
          </cell>
          <cell r="C776" t="str">
            <v>件</v>
          </cell>
          <cell r="D776" t="str">
            <v>紧固件</v>
          </cell>
        </row>
        <row r="777">
          <cell r="A777" t="str">
            <v>F210103003</v>
          </cell>
          <cell r="B777" t="str">
            <v>不锈钢内六角法兰面自攻钉</v>
          </cell>
          <cell r="C777" t="str">
            <v>只</v>
          </cell>
          <cell r="D777" t="str">
            <v>紧固件</v>
          </cell>
        </row>
        <row r="778">
          <cell r="A778" t="str">
            <v>F210103004</v>
          </cell>
          <cell r="B778" t="str">
            <v>不锈钢内六角法兰面自攻钉</v>
          </cell>
          <cell r="C778" t="str">
            <v>只</v>
          </cell>
          <cell r="D778" t="str">
            <v>紧固件</v>
          </cell>
        </row>
        <row r="779">
          <cell r="A779" t="str">
            <v>F2101021013</v>
          </cell>
          <cell r="B779" t="str">
            <v>内六角法兰面平底自攻钉</v>
          </cell>
          <cell r="C779" t="str">
            <v>只</v>
          </cell>
          <cell r="D779" t="str">
            <v>紧固件</v>
          </cell>
        </row>
        <row r="780">
          <cell r="A780" t="str">
            <v>F2101012011</v>
          </cell>
          <cell r="B780" t="str">
            <v>不锈钢半圆头内六角螺丝</v>
          </cell>
          <cell r="C780" t="str">
            <v>只</v>
          </cell>
          <cell r="D780" t="str">
            <v>紧固件</v>
          </cell>
        </row>
        <row r="781">
          <cell r="A781" t="str">
            <v>Y0301012018</v>
          </cell>
          <cell r="B781" t="str">
            <v>半圆头内六角螺丝6*20 (不锈钢)</v>
          </cell>
          <cell r="C781" t="str">
            <v>只</v>
          </cell>
          <cell r="D781" t="str">
            <v>紧固件</v>
          </cell>
        </row>
        <row r="782">
          <cell r="A782" t="str">
            <v>Y0301003007</v>
          </cell>
          <cell r="B782" t="str">
            <v>不锈钢十字槽盘头螺钉M5*16</v>
          </cell>
          <cell r="C782" t="str">
            <v>只</v>
          </cell>
          <cell r="D782" t="str">
            <v>紧固件</v>
          </cell>
        </row>
        <row r="783">
          <cell r="A783" t="str">
            <v>Y0301003018</v>
          </cell>
          <cell r="B783" t="str">
            <v>不锈钢盘头</v>
          </cell>
          <cell r="C783" t="str">
            <v>件</v>
          </cell>
          <cell r="D783" t="str">
            <v>紧固件</v>
          </cell>
        </row>
        <row r="784">
          <cell r="A784" t="str">
            <v>F2101014001</v>
          </cell>
          <cell r="B784" t="str">
            <v>内六角盘头螺钉</v>
          </cell>
          <cell r="C784" t="str">
            <v>件</v>
          </cell>
          <cell r="D784" t="str">
            <v>紧固件</v>
          </cell>
        </row>
        <row r="785">
          <cell r="A785" t="str">
            <v>F2101012005</v>
          </cell>
          <cell r="B785" t="str">
            <v>不锈钢半圆头内六角螺丝</v>
          </cell>
          <cell r="C785" t="str">
            <v>只</v>
          </cell>
          <cell r="D785" t="str">
            <v>紧固件</v>
          </cell>
        </row>
        <row r="786">
          <cell r="A786" t="str">
            <v>F2101013003</v>
          </cell>
          <cell r="B786" t="str">
            <v>内六角沉头螺钉</v>
          </cell>
          <cell r="C786" t="str">
            <v>件</v>
          </cell>
          <cell r="D786" t="str">
            <v>紧固件</v>
          </cell>
        </row>
        <row r="787">
          <cell r="A787" t="str">
            <v>Y0301011074</v>
          </cell>
          <cell r="B787" t="str">
            <v>不锈钢平头内六角螺丝（6*25）</v>
          </cell>
          <cell r="C787" t="str">
            <v>只</v>
          </cell>
          <cell r="D787" t="str">
            <v>紧固件</v>
          </cell>
        </row>
        <row r="788">
          <cell r="A788" t="str">
            <v>F2101012020</v>
          </cell>
          <cell r="B788" t="str">
            <v>不锈钢半圆头内六角螺丝</v>
          </cell>
          <cell r="C788" t="str">
            <v>件</v>
          </cell>
          <cell r="D788" t="str">
            <v>紧固件</v>
          </cell>
        </row>
        <row r="789">
          <cell r="A789" t="str">
            <v>Y0301007011</v>
          </cell>
          <cell r="B789" t="str">
            <v>不锈钢平头內六角自攻钉（4.2*10）</v>
          </cell>
          <cell r="C789" t="str">
            <v>只</v>
          </cell>
          <cell r="D789" t="str">
            <v>紧固件</v>
          </cell>
        </row>
        <row r="790">
          <cell r="A790" t="str">
            <v>F2101054004</v>
          </cell>
          <cell r="B790" t="str">
            <v>M5不锈钢尼龙锁紧螺母</v>
          </cell>
          <cell r="C790" t="str">
            <v>只</v>
          </cell>
          <cell r="D790" t="str">
            <v>紧固件</v>
          </cell>
        </row>
        <row r="791">
          <cell r="A791" t="str">
            <v>Y0301019057</v>
          </cell>
          <cell r="B791" t="str">
            <v>12*1.25罗母</v>
          </cell>
          <cell r="C791" t="str">
            <v>只</v>
          </cell>
          <cell r="D791" t="str">
            <v>紧固件</v>
          </cell>
        </row>
        <row r="792">
          <cell r="A792" t="str">
            <v>Y0301019076</v>
          </cell>
          <cell r="B792" t="str">
            <v>薄形螺母（16*1.5*8）</v>
          </cell>
          <cell r="C792" t="str">
            <v>只</v>
          </cell>
          <cell r="D792" t="str">
            <v>紧固件</v>
          </cell>
        </row>
        <row r="793">
          <cell r="A793" t="str">
            <v>Y0301019034</v>
          </cell>
          <cell r="B793" t="str">
            <v>不锈钢罗母(6)</v>
          </cell>
          <cell r="C793" t="str">
            <v>只</v>
          </cell>
          <cell r="D793" t="str">
            <v>紧固件</v>
          </cell>
        </row>
        <row r="794">
          <cell r="A794" t="str">
            <v>Y0301019007</v>
          </cell>
          <cell r="B794" t="str">
            <v>罗母(10)</v>
          </cell>
          <cell r="C794" t="str">
            <v>只</v>
          </cell>
          <cell r="D794" t="str">
            <v>紧固件</v>
          </cell>
        </row>
        <row r="795">
          <cell r="A795" t="str">
            <v>Y0301019059</v>
          </cell>
          <cell r="B795" t="str">
            <v>尼龙自锁罗母(12)</v>
          </cell>
          <cell r="C795" t="str">
            <v>只</v>
          </cell>
          <cell r="D795" t="str">
            <v>紧固件</v>
          </cell>
        </row>
        <row r="796">
          <cell r="A796" t="str">
            <v>Y0301028003</v>
          </cell>
          <cell r="B796" t="str">
            <v>抽芯铆钉（4*13）</v>
          </cell>
          <cell r="C796" t="str">
            <v>只</v>
          </cell>
          <cell r="D796" t="str">
            <v>紧固件</v>
          </cell>
        </row>
        <row r="797">
          <cell r="A797" t="str">
            <v>F0103066005</v>
          </cell>
          <cell r="B797" t="str">
            <v>金属凹凸对应钢卡</v>
          </cell>
          <cell r="C797" t="str">
            <v>件</v>
          </cell>
          <cell r="D797" t="str">
            <v>紧固件</v>
          </cell>
        </row>
        <row r="798">
          <cell r="A798" t="str">
            <v>F2101061030</v>
          </cell>
          <cell r="B798" t="str">
            <v>1型非金属嵌件六角锁紧螺母</v>
          </cell>
          <cell r="C798" t="str">
            <v>件</v>
          </cell>
          <cell r="D798" t="str">
            <v>紧固件</v>
          </cell>
        </row>
        <row r="799">
          <cell r="A799" t="str">
            <v>F2101011030</v>
          </cell>
          <cell r="B799" t="str">
            <v>圆柱头内六角螺钉</v>
          </cell>
          <cell r="C799" t="str">
            <v>件</v>
          </cell>
          <cell r="D799" t="str">
            <v>紧固件</v>
          </cell>
        </row>
        <row r="800">
          <cell r="A800" t="str">
            <v>Y0301010023</v>
          </cell>
          <cell r="B800" t="str">
            <v>六角罗丝(8*35)</v>
          </cell>
          <cell r="C800" t="str">
            <v>只</v>
          </cell>
          <cell r="D800" t="str">
            <v>紧固件</v>
          </cell>
        </row>
        <row r="801">
          <cell r="A801" t="str">
            <v>F2101051043</v>
          </cell>
          <cell r="B801" t="str">
            <v>六角法兰面螺母</v>
          </cell>
          <cell r="C801" t="str">
            <v>只</v>
          </cell>
          <cell r="D801" t="str">
            <v>紧固件</v>
          </cell>
        </row>
        <row r="802">
          <cell r="A802" t="str">
            <v>F2101012006</v>
          </cell>
          <cell r="B802" t="str">
            <v>不锈钢半圆头内六角螺丝</v>
          </cell>
          <cell r="C802" t="str">
            <v>只</v>
          </cell>
          <cell r="D802" t="str">
            <v>紧固件</v>
          </cell>
        </row>
        <row r="803">
          <cell r="A803" t="str">
            <v>Y0301001017</v>
          </cell>
          <cell r="B803" t="str">
            <v>平头罗丝(5*16)</v>
          </cell>
          <cell r="C803" t="str">
            <v>只</v>
          </cell>
          <cell r="D803" t="str">
            <v>紧固件</v>
          </cell>
        </row>
        <row r="804">
          <cell r="A804" t="str">
            <v>F2101041057</v>
          </cell>
          <cell r="B804" t="str">
            <v>不锈钢平头内六角螺栓</v>
          </cell>
          <cell r="C804" t="str">
            <v>只</v>
          </cell>
          <cell r="D804" t="str">
            <v>紧固件</v>
          </cell>
        </row>
        <row r="805">
          <cell r="A805" t="str">
            <v>F2101012002</v>
          </cell>
          <cell r="B805" t="str">
            <v>不锈钢半圆头内六角螺丝</v>
          </cell>
          <cell r="C805" t="str">
            <v>只</v>
          </cell>
          <cell r="D805" t="str">
            <v>紧固件</v>
          </cell>
        </row>
        <row r="806">
          <cell r="A806" t="str">
            <v>F2101105001</v>
          </cell>
          <cell r="B806" t="str">
            <v>不锈钢销轴（304）</v>
          </cell>
          <cell r="C806" t="str">
            <v>只</v>
          </cell>
          <cell r="D806" t="str">
            <v>紧固件</v>
          </cell>
        </row>
        <row r="807">
          <cell r="A807" t="str">
            <v>F2101043015</v>
          </cell>
          <cell r="B807" t="str">
            <v>六角法兰面螺栓</v>
          </cell>
          <cell r="C807" t="str">
            <v>只</v>
          </cell>
          <cell r="D807" t="str">
            <v>紧固件</v>
          </cell>
        </row>
        <row r="808">
          <cell r="A808" t="str">
            <v>Y0301008004</v>
          </cell>
          <cell r="B808" t="str">
            <v>不锈钢圆头自攻罗丝(4.2*25)</v>
          </cell>
          <cell r="C808" t="str">
            <v>只</v>
          </cell>
          <cell r="D808" t="str">
            <v>紧固件</v>
          </cell>
        </row>
        <row r="809">
          <cell r="A809" t="str">
            <v>F2101021030</v>
          </cell>
          <cell r="B809" t="str">
            <v>十字槽盘头自攻钉</v>
          </cell>
          <cell r="C809" t="str">
            <v>件</v>
          </cell>
          <cell r="D809" t="str">
            <v>紧固件</v>
          </cell>
        </row>
        <row r="810">
          <cell r="A810" t="str">
            <v>F2101022008</v>
          </cell>
          <cell r="B810" t="str">
            <v>304不锈钢十字法兰面自攻螺丝</v>
          </cell>
          <cell r="C810" t="str">
            <v>只</v>
          </cell>
          <cell r="D810" t="str">
            <v>紧固件</v>
          </cell>
        </row>
        <row r="811">
          <cell r="A811" t="str">
            <v>F2101051023</v>
          </cell>
          <cell r="B811" t="str">
            <v>六角螺母</v>
          </cell>
          <cell r="C811" t="str">
            <v>件</v>
          </cell>
          <cell r="D811" t="str">
            <v>紧固件</v>
          </cell>
        </row>
        <row r="812">
          <cell r="A812" t="str">
            <v>F0102045049</v>
          </cell>
          <cell r="B812" t="str">
            <v>球童拉手</v>
          </cell>
          <cell r="C812" t="str">
            <v>件</v>
          </cell>
          <cell r="D812" t="str">
            <v>车身部件（支架等）</v>
          </cell>
        </row>
        <row r="813">
          <cell r="A813" t="str">
            <v>F0102047033</v>
          </cell>
          <cell r="B813" t="str">
            <v>保温箱（5号）支架</v>
          </cell>
          <cell r="C813" t="str">
            <v>件</v>
          </cell>
          <cell r="D813" t="str">
            <v>车身部件（支架等）</v>
          </cell>
        </row>
        <row r="814">
          <cell r="A814" t="str">
            <v>F0102063064</v>
          </cell>
          <cell r="B814" t="str">
            <v>顶棚后支架/降低后移</v>
          </cell>
          <cell r="C814" t="str">
            <v>件</v>
          </cell>
          <cell r="D814" t="str">
            <v>车身部件（支架等）</v>
          </cell>
        </row>
        <row r="815">
          <cell r="A815" t="str">
            <v>F0102045084</v>
          </cell>
          <cell r="B815" t="str">
            <v>球童拉手</v>
          </cell>
          <cell r="C815" t="str">
            <v>件</v>
          </cell>
          <cell r="D815" t="str">
            <v>车身部件（支架等）</v>
          </cell>
        </row>
        <row r="816">
          <cell r="A816" t="str">
            <v>F0102074005</v>
          </cell>
          <cell r="B816" t="str">
            <v>顶棚加强梁</v>
          </cell>
          <cell r="C816" t="str">
            <v>件</v>
          </cell>
          <cell r="D816" t="str">
            <v>车身部件（支架等）</v>
          </cell>
        </row>
        <row r="817">
          <cell r="A817" t="str">
            <v>F0103035099</v>
          </cell>
          <cell r="B817" t="str">
            <v>烟斗橡胶套/黑色</v>
          </cell>
          <cell r="C817" t="str">
            <v>只</v>
          </cell>
          <cell r="D817" t="str">
            <v>三元乙丙橡胶</v>
          </cell>
        </row>
        <row r="818">
          <cell r="A818" t="str">
            <v>F0308035010</v>
          </cell>
          <cell r="B818" t="str">
            <v>2+2座球车整车氛围灯总成</v>
          </cell>
          <cell r="C818" t="str">
            <v>套</v>
          </cell>
          <cell r="D818" t="str">
            <v>组合大灯</v>
          </cell>
        </row>
        <row r="819">
          <cell r="A819" t="str">
            <v>F2111000216</v>
          </cell>
          <cell r="B819" t="str">
            <v>G款2+2座 KD件标准件盒</v>
          </cell>
          <cell r="C819" t="str">
            <v>盒</v>
          </cell>
          <cell r="D819" t="str">
            <v>紧固件</v>
          </cell>
        </row>
        <row r="820">
          <cell r="A820" t="str">
            <v>F2101081007</v>
          </cell>
          <cell r="B820" t="str">
            <v>黑平垫M6</v>
          </cell>
          <cell r="C820" t="str">
            <v>只</v>
          </cell>
          <cell r="D820" t="str">
            <v>紧固件</v>
          </cell>
        </row>
        <row r="821">
          <cell r="A821" t="str">
            <v>F0103064016</v>
          </cell>
          <cell r="B821" t="str">
            <v>卡扣</v>
          </cell>
          <cell r="C821" t="str">
            <v>只</v>
          </cell>
          <cell r="D821" t="str">
            <v>紧固件</v>
          </cell>
        </row>
        <row r="822">
          <cell r="A822" t="str">
            <v>F0102047005</v>
          </cell>
          <cell r="B822" t="str">
            <v>顶棚</v>
          </cell>
          <cell r="C822" t="str">
            <v>只</v>
          </cell>
          <cell r="D822" t="str">
            <v>塑料件</v>
          </cell>
        </row>
        <row r="823">
          <cell r="A823" t="str">
            <v>F0102080003</v>
          </cell>
          <cell r="B823" t="str">
            <v>加长侧护板 左</v>
          </cell>
          <cell r="C823" t="str">
            <v>件</v>
          </cell>
          <cell r="D823" t="str">
            <v>塑料件</v>
          </cell>
        </row>
        <row r="824">
          <cell r="A824" t="str">
            <v>F0102080004</v>
          </cell>
          <cell r="B824" t="str">
            <v>加长侧护板 右</v>
          </cell>
          <cell r="C824" t="str">
            <v>件</v>
          </cell>
          <cell r="D824" t="str">
            <v>塑料件</v>
          </cell>
        </row>
        <row r="825">
          <cell r="A825" t="str">
            <v>F3104000195</v>
          </cell>
          <cell r="B825" t="str">
            <v>中座桶上盖注塑模</v>
          </cell>
          <cell r="C825" t="str">
            <v>付</v>
          </cell>
          <cell r="D825" t="str">
            <v>注塑模具</v>
          </cell>
        </row>
        <row r="826">
          <cell r="A826" t="str">
            <v>F3104000196</v>
          </cell>
          <cell r="B826" t="str">
            <v>中座桶注塑模</v>
          </cell>
          <cell r="C826" t="str">
            <v>付</v>
          </cell>
          <cell r="D826" t="str">
            <v>注塑模具</v>
          </cell>
        </row>
        <row r="827">
          <cell r="A827" t="str">
            <v>F0102087040</v>
          </cell>
          <cell r="B827" t="str">
            <v>中座桶 上盖</v>
          </cell>
          <cell r="C827" t="str">
            <v>件</v>
          </cell>
          <cell r="D827" t="str">
            <v>车身部件</v>
          </cell>
        </row>
        <row r="828">
          <cell r="A828" t="str">
            <v>F0102087041</v>
          </cell>
          <cell r="B828" t="str">
            <v>中座桶 底座</v>
          </cell>
          <cell r="C828" t="str">
            <v>件</v>
          </cell>
          <cell r="D828" t="str">
            <v>车身部件</v>
          </cell>
        </row>
        <row r="829">
          <cell r="A829" t="str">
            <v>F0102077048</v>
          </cell>
          <cell r="B829" t="str">
            <v>顶棚左前支架/2座J款</v>
          </cell>
          <cell r="C829" t="str">
            <v>件</v>
          </cell>
          <cell r="D829" t="str">
            <v>车身部件（支架等）</v>
          </cell>
        </row>
        <row r="830">
          <cell r="A830" t="str">
            <v>F0102077049</v>
          </cell>
          <cell r="B830" t="str">
            <v>顶棚右前支架/2座J款</v>
          </cell>
          <cell r="C830" t="str">
            <v>件</v>
          </cell>
          <cell r="D830" t="str">
            <v>车身部件（支架等）</v>
          </cell>
        </row>
        <row r="831">
          <cell r="A831" t="str">
            <v>F0102045048</v>
          </cell>
          <cell r="B831" t="str">
            <v>顶棚后支架-2029傲威</v>
          </cell>
          <cell r="C831" t="str">
            <v>件</v>
          </cell>
          <cell r="D831" t="str">
            <v>车身部件（支架等）</v>
          </cell>
        </row>
        <row r="832">
          <cell r="A832" t="str">
            <v>F2111000184</v>
          </cell>
          <cell r="B832" t="str">
            <v>2座标准件缤特力J款</v>
          </cell>
          <cell r="C832" t="str">
            <v>盒</v>
          </cell>
          <cell r="D832" t="str">
            <v>紧固件</v>
          </cell>
        </row>
        <row r="833">
          <cell r="A833" t="str">
            <v>F3104000407</v>
          </cell>
          <cell r="B833" t="str">
            <v>前储物仓安装座注塑模</v>
          </cell>
          <cell r="C833" t="str">
            <v>件</v>
          </cell>
          <cell r="D833" t="str">
            <v>注塑模具</v>
          </cell>
        </row>
        <row r="834">
          <cell r="A834" t="str">
            <v>F3104000408</v>
          </cell>
          <cell r="B834" t="str">
            <v>前储物仓注塑模</v>
          </cell>
          <cell r="C834" t="str">
            <v>件</v>
          </cell>
          <cell r="D834" t="str">
            <v>注塑模具</v>
          </cell>
        </row>
        <row r="835">
          <cell r="A835" t="str">
            <v>F3104000409</v>
          </cell>
          <cell r="B835" t="str">
            <v>前储物仓盖注塑模</v>
          </cell>
          <cell r="C835" t="str">
            <v>件</v>
          </cell>
          <cell r="D835" t="str">
            <v>注塑模具</v>
          </cell>
        </row>
        <row r="836">
          <cell r="A836" t="str">
            <v>F3104000410</v>
          </cell>
          <cell r="B836" t="str">
            <v>前储物仓盖铰链总成注塑模</v>
          </cell>
          <cell r="C836" t="str">
            <v>件</v>
          </cell>
          <cell r="D836" t="str">
            <v>注塑模具</v>
          </cell>
        </row>
        <row r="837">
          <cell r="A837" t="str">
            <v>F3104000411</v>
          </cell>
          <cell r="B837" t="str">
            <v>中网注塑模</v>
          </cell>
          <cell r="C837" t="str">
            <v>件</v>
          </cell>
          <cell r="D837" t="str">
            <v>注塑模具</v>
          </cell>
        </row>
        <row r="838">
          <cell r="A838" t="str">
            <v>F3104000413</v>
          </cell>
          <cell r="B838" t="str">
            <v>前保装饰件1注塑模</v>
          </cell>
          <cell r="C838" t="str">
            <v>件</v>
          </cell>
          <cell r="D838" t="str">
            <v>注塑模具</v>
          </cell>
        </row>
        <row r="839">
          <cell r="A839" t="str">
            <v>F3104000414</v>
          </cell>
          <cell r="B839" t="str">
            <v>前保装饰件2 左右注塑模</v>
          </cell>
          <cell r="C839" t="str">
            <v>件</v>
          </cell>
          <cell r="D839" t="str">
            <v>注塑模具</v>
          </cell>
        </row>
        <row r="840">
          <cell r="A840" t="str">
            <v>F3104000415</v>
          </cell>
          <cell r="B840" t="str">
            <v>左右前轮眉注塑模（ 球车）</v>
          </cell>
          <cell r="C840" t="str">
            <v>件</v>
          </cell>
          <cell r="D840" t="str">
            <v>注塑模具</v>
          </cell>
        </row>
        <row r="841">
          <cell r="A841" t="str">
            <v>F3104000416</v>
          </cell>
          <cell r="B841" t="str">
            <v>球车轮眉扣帽左右注塑模</v>
          </cell>
          <cell r="C841" t="str">
            <v>件</v>
          </cell>
          <cell r="D841" t="str">
            <v>注塑模具</v>
          </cell>
        </row>
        <row r="842">
          <cell r="A842" t="str">
            <v>F3104000417</v>
          </cell>
          <cell r="B842" t="str">
            <v>左右前轮眉注塑模（ 打猎车）</v>
          </cell>
          <cell r="C842" t="str">
            <v>件</v>
          </cell>
          <cell r="D842" t="str">
            <v>注塑模具</v>
          </cell>
        </row>
        <row r="843">
          <cell r="A843" t="str">
            <v>F3104000418</v>
          </cell>
          <cell r="B843" t="str">
            <v>打猎车轮眉扣帽左右注塑模</v>
          </cell>
          <cell r="C843" t="str">
            <v>件</v>
          </cell>
          <cell r="D843" t="str">
            <v>注塑模具</v>
          </cell>
        </row>
        <row r="844">
          <cell r="A844" t="str">
            <v>F3104000419</v>
          </cell>
          <cell r="B844" t="str">
            <v>仪表台注塑模</v>
          </cell>
          <cell r="C844" t="str">
            <v>件</v>
          </cell>
          <cell r="D844" t="str">
            <v>注塑模具</v>
          </cell>
        </row>
        <row r="845">
          <cell r="A845" t="str">
            <v>F3104000420</v>
          </cell>
          <cell r="B845" t="str">
            <v>左右储物盒盖注塑模</v>
          </cell>
          <cell r="C845" t="str">
            <v>件</v>
          </cell>
          <cell r="D845" t="str">
            <v>注塑模具</v>
          </cell>
        </row>
        <row r="846">
          <cell r="A846" t="str">
            <v>F3104000421</v>
          </cell>
          <cell r="B846" t="str">
            <v>左右储物盒注塑模</v>
          </cell>
          <cell r="C846" t="str">
            <v>件</v>
          </cell>
          <cell r="D846" t="str">
            <v>注塑模具</v>
          </cell>
        </row>
        <row r="847">
          <cell r="A847" t="str">
            <v>F3104000422</v>
          </cell>
          <cell r="B847" t="str">
            <v>中储物盒注塑模</v>
          </cell>
          <cell r="C847" t="str">
            <v>件</v>
          </cell>
          <cell r="D847" t="str">
            <v>注塑模具</v>
          </cell>
        </row>
        <row r="848">
          <cell r="A848" t="str">
            <v>F3104000423</v>
          </cell>
          <cell r="B848" t="str">
            <v>中控开关面板注塑模</v>
          </cell>
          <cell r="C848" t="str">
            <v>件</v>
          </cell>
          <cell r="D848" t="str">
            <v>注塑模具</v>
          </cell>
        </row>
        <row r="849">
          <cell r="A849" t="str">
            <v>F3104000424</v>
          </cell>
          <cell r="B849" t="str">
            <v>左右杯托注塑模</v>
          </cell>
          <cell r="C849" t="str">
            <v>件</v>
          </cell>
          <cell r="D849" t="str">
            <v>注塑模具</v>
          </cell>
        </row>
        <row r="850">
          <cell r="A850" t="str">
            <v>F3104000425</v>
          </cell>
          <cell r="B850" t="str">
            <v>转向管柱护套注塑模</v>
          </cell>
          <cell r="C850" t="str">
            <v>件</v>
          </cell>
          <cell r="D850" t="str">
            <v>注塑模具</v>
          </cell>
        </row>
        <row r="851">
          <cell r="A851" t="str">
            <v>F3104000426</v>
          </cell>
          <cell r="B851" t="str">
            <v>液晶屏座注塑模</v>
          </cell>
          <cell r="C851" t="str">
            <v>件</v>
          </cell>
          <cell r="D851" t="str">
            <v>注塑模具</v>
          </cell>
        </row>
        <row r="852">
          <cell r="A852" t="str">
            <v>F3104000427</v>
          </cell>
          <cell r="B852" t="str">
            <v>仪表台装饰条左右注塑模</v>
          </cell>
          <cell r="C852" t="str">
            <v>件</v>
          </cell>
          <cell r="D852" t="str">
            <v>注塑模具</v>
          </cell>
        </row>
        <row r="853">
          <cell r="A853" t="str">
            <v>F3104000428</v>
          </cell>
          <cell r="B853" t="str">
            <v>风口装饰条组件注塑模</v>
          </cell>
          <cell r="C853" t="str">
            <v>件</v>
          </cell>
          <cell r="D853" t="str">
            <v>注塑模具</v>
          </cell>
        </row>
        <row r="854">
          <cell r="A854" t="str">
            <v>F3104000429</v>
          </cell>
          <cell r="B854" t="str">
            <v>风道注塑模</v>
          </cell>
          <cell r="C854" t="str">
            <v>件</v>
          </cell>
          <cell r="D854" t="str">
            <v>注塑模具</v>
          </cell>
        </row>
        <row r="855">
          <cell r="A855" t="str">
            <v>F3104000430</v>
          </cell>
          <cell r="B855" t="str">
            <v>出风口本体注塑模</v>
          </cell>
          <cell r="C855" t="str">
            <v>件</v>
          </cell>
          <cell r="D855" t="str">
            <v>注塑模具</v>
          </cell>
        </row>
        <row r="856">
          <cell r="A856" t="str">
            <v>F3104000431</v>
          </cell>
          <cell r="B856" t="str">
            <v>出风口面板注塑模</v>
          </cell>
          <cell r="C856" t="str">
            <v>件</v>
          </cell>
          <cell r="D856" t="str">
            <v>注塑模具</v>
          </cell>
        </row>
        <row r="857">
          <cell r="A857" t="str">
            <v>F3104000432</v>
          </cell>
          <cell r="B857" t="str">
            <v>风口组件模具注塑模</v>
          </cell>
          <cell r="C857" t="str">
            <v>件</v>
          </cell>
          <cell r="D857" t="str">
            <v>注塑模具</v>
          </cell>
        </row>
        <row r="858">
          <cell r="A858" t="str">
            <v>F3104000433</v>
          </cell>
          <cell r="B858" t="str">
            <v>左右导风片1注塑模</v>
          </cell>
          <cell r="C858" t="str">
            <v>件</v>
          </cell>
          <cell r="D858" t="str">
            <v>注塑模具</v>
          </cell>
        </row>
        <row r="859">
          <cell r="A859" t="str">
            <v>F3104000393</v>
          </cell>
          <cell r="B859" t="str">
            <v>左右前轮眉注塑模</v>
          </cell>
          <cell r="C859" t="str">
            <v>件</v>
          </cell>
          <cell r="D859" t="str">
            <v>注塑模具</v>
          </cell>
        </row>
        <row r="860">
          <cell r="A860" t="str">
            <v>F0102089004</v>
          </cell>
          <cell r="B860" t="str">
            <v>前储物仓安装座</v>
          </cell>
          <cell r="C860" t="str">
            <v>件</v>
          </cell>
          <cell r="D860" t="str">
            <v>车身部件</v>
          </cell>
        </row>
        <row r="861">
          <cell r="A861" t="str">
            <v>F0102089005</v>
          </cell>
          <cell r="B861" t="str">
            <v>前储物仓</v>
          </cell>
          <cell r="C861" t="str">
            <v>件</v>
          </cell>
          <cell r="D861" t="str">
            <v>车身部件</v>
          </cell>
        </row>
        <row r="862">
          <cell r="A862" t="str">
            <v>F0102089006</v>
          </cell>
          <cell r="B862" t="str">
            <v>前储物仓盖</v>
          </cell>
          <cell r="C862" t="str">
            <v>件</v>
          </cell>
          <cell r="D862" t="str">
            <v>塑料件</v>
          </cell>
        </row>
        <row r="863">
          <cell r="A863" t="str">
            <v>F0102089007</v>
          </cell>
          <cell r="B863" t="str">
            <v>前储物仓盖铰链1</v>
          </cell>
          <cell r="C863" t="str">
            <v>件</v>
          </cell>
          <cell r="D863" t="str">
            <v>车身部件</v>
          </cell>
        </row>
        <row r="864">
          <cell r="A864" t="str">
            <v>F0102089008</v>
          </cell>
          <cell r="B864" t="str">
            <v>前储物仓盖铰链2</v>
          </cell>
          <cell r="C864" t="str">
            <v>件</v>
          </cell>
          <cell r="D864" t="str">
            <v>车身部件</v>
          </cell>
        </row>
        <row r="865">
          <cell r="A865" t="str">
            <v>F0102089009</v>
          </cell>
          <cell r="B865" t="str">
            <v>前储物仓盖铰链内衬 左</v>
          </cell>
          <cell r="C865" t="str">
            <v>件</v>
          </cell>
          <cell r="D865" t="str">
            <v>车身部件</v>
          </cell>
        </row>
        <row r="866">
          <cell r="A866" t="str">
            <v>F0102089010</v>
          </cell>
          <cell r="B866" t="str">
            <v>前储物仓盖铰链内衬 右</v>
          </cell>
          <cell r="C866" t="str">
            <v>件</v>
          </cell>
          <cell r="D866" t="str">
            <v>车身部件</v>
          </cell>
        </row>
        <row r="867">
          <cell r="A867" t="str">
            <v>F0102089011</v>
          </cell>
          <cell r="B867" t="str">
            <v>中网</v>
          </cell>
          <cell r="C867" t="str">
            <v>件</v>
          </cell>
          <cell r="D867" t="str">
            <v>车身部件</v>
          </cell>
        </row>
        <row r="868">
          <cell r="A868" t="str">
            <v>F0102089013</v>
          </cell>
          <cell r="B868" t="str">
            <v>前保装饰件1</v>
          </cell>
          <cell r="C868" t="str">
            <v>件</v>
          </cell>
          <cell r="D868" t="str">
            <v>车身部件</v>
          </cell>
        </row>
        <row r="869">
          <cell r="A869" t="str">
            <v>F0102089014</v>
          </cell>
          <cell r="B869" t="str">
            <v>前保装饰件2 左</v>
          </cell>
          <cell r="C869" t="str">
            <v>件</v>
          </cell>
          <cell r="D869" t="str">
            <v>车身部件</v>
          </cell>
        </row>
        <row r="870">
          <cell r="A870" t="str">
            <v>F0102089015</v>
          </cell>
          <cell r="B870" t="str">
            <v>前保装饰件2 右</v>
          </cell>
          <cell r="C870" t="str">
            <v>件</v>
          </cell>
          <cell r="D870" t="str">
            <v>车身部件</v>
          </cell>
        </row>
        <row r="871">
          <cell r="A871" t="str">
            <v>F0102089016</v>
          </cell>
          <cell r="B871" t="str">
            <v>右前轮眉 球车</v>
          </cell>
          <cell r="C871" t="str">
            <v>件</v>
          </cell>
          <cell r="D871" t="str">
            <v>车身部件</v>
          </cell>
        </row>
        <row r="872">
          <cell r="A872" t="str">
            <v>F0102089017</v>
          </cell>
          <cell r="B872" t="str">
            <v>左前轮眉 球车</v>
          </cell>
          <cell r="C872" t="str">
            <v>件</v>
          </cell>
          <cell r="D872" t="str">
            <v>车身部件</v>
          </cell>
        </row>
        <row r="873">
          <cell r="A873" t="str">
            <v>F0102089018</v>
          </cell>
          <cell r="B873" t="str">
            <v>球车轮眉扣帽 左</v>
          </cell>
          <cell r="C873" t="str">
            <v>件</v>
          </cell>
          <cell r="D873" t="str">
            <v>车身部件</v>
          </cell>
        </row>
        <row r="874">
          <cell r="A874" t="str">
            <v>F0102089019</v>
          </cell>
          <cell r="B874" t="str">
            <v>球车轮眉扣帽 右</v>
          </cell>
          <cell r="C874" t="str">
            <v>件</v>
          </cell>
          <cell r="D874" t="str">
            <v>车身部件</v>
          </cell>
        </row>
        <row r="875">
          <cell r="A875" t="str">
            <v>F0102089020</v>
          </cell>
          <cell r="B875" t="str">
            <v>右前轮眉 打猎车</v>
          </cell>
          <cell r="C875" t="str">
            <v>件</v>
          </cell>
          <cell r="D875" t="str">
            <v>车身部件</v>
          </cell>
        </row>
        <row r="876">
          <cell r="A876" t="str">
            <v>F0102089021</v>
          </cell>
          <cell r="B876" t="str">
            <v>左前轮眉 打猎车</v>
          </cell>
          <cell r="C876" t="str">
            <v>件</v>
          </cell>
          <cell r="D876" t="str">
            <v>车身部件</v>
          </cell>
        </row>
        <row r="877">
          <cell r="A877" t="str">
            <v>F0102089022</v>
          </cell>
          <cell r="B877" t="str">
            <v>打猎车轮眉扣帽 左</v>
          </cell>
          <cell r="C877" t="str">
            <v>件</v>
          </cell>
          <cell r="D877" t="str">
            <v>车身部件</v>
          </cell>
        </row>
        <row r="878">
          <cell r="A878" t="str">
            <v>F0102089023</v>
          </cell>
          <cell r="B878" t="str">
            <v>打猎车轮眉扣帽 右</v>
          </cell>
          <cell r="C878" t="str">
            <v>件</v>
          </cell>
          <cell r="D878" t="str">
            <v>车身部件</v>
          </cell>
        </row>
        <row r="879">
          <cell r="A879" t="str">
            <v>F0102089026</v>
          </cell>
          <cell r="B879" t="str">
            <v>仪表台</v>
          </cell>
          <cell r="C879" t="str">
            <v>件</v>
          </cell>
          <cell r="D879" t="str">
            <v>车身部件</v>
          </cell>
        </row>
        <row r="880">
          <cell r="A880" t="str">
            <v>F0102089027</v>
          </cell>
          <cell r="B880" t="str">
            <v>左储物盒盖</v>
          </cell>
          <cell r="C880" t="str">
            <v>件</v>
          </cell>
          <cell r="D880" t="str">
            <v>车身部件</v>
          </cell>
        </row>
        <row r="881">
          <cell r="A881" t="str">
            <v>F0102089028</v>
          </cell>
          <cell r="B881" t="str">
            <v>右储物盒盖</v>
          </cell>
          <cell r="C881" t="str">
            <v>件</v>
          </cell>
          <cell r="D881" t="str">
            <v>车身部件</v>
          </cell>
        </row>
        <row r="882">
          <cell r="A882" t="str">
            <v>F0102089029</v>
          </cell>
          <cell r="B882" t="str">
            <v>左储物盒</v>
          </cell>
          <cell r="C882" t="str">
            <v>件</v>
          </cell>
          <cell r="D882" t="str">
            <v>车身部件</v>
          </cell>
        </row>
        <row r="883">
          <cell r="A883" t="str">
            <v>F0102089030</v>
          </cell>
          <cell r="B883" t="str">
            <v>右储物盒</v>
          </cell>
          <cell r="C883" t="str">
            <v>件</v>
          </cell>
          <cell r="D883" t="str">
            <v>车身部件</v>
          </cell>
        </row>
        <row r="884">
          <cell r="A884" t="str">
            <v>F0102089031</v>
          </cell>
          <cell r="B884" t="str">
            <v>中储物盒</v>
          </cell>
          <cell r="C884" t="str">
            <v>件</v>
          </cell>
          <cell r="D884" t="str">
            <v>车身部件</v>
          </cell>
        </row>
        <row r="885">
          <cell r="A885" t="str">
            <v>F0102089032</v>
          </cell>
          <cell r="B885" t="str">
            <v>中控开关面板</v>
          </cell>
          <cell r="C885" t="str">
            <v>件</v>
          </cell>
          <cell r="D885" t="str">
            <v>车身部件</v>
          </cell>
        </row>
        <row r="886">
          <cell r="A886" t="str">
            <v>F0102089033</v>
          </cell>
          <cell r="B886" t="str">
            <v>左杯托</v>
          </cell>
          <cell r="C886" t="str">
            <v>件</v>
          </cell>
          <cell r="D886" t="str">
            <v>车身部件</v>
          </cell>
        </row>
        <row r="887">
          <cell r="A887" t="str">
            <v>F0102089034</v>
          </cell>
          <cell r="B887" t="str">
            <v>右杯托</v>
          </cell>
          <cell r="C887" t="str">
            <v>件</v>
          </cell>
          <cell r="D887" t="str">
            <v>车身部件</v>
          </cell>
        </row>
        <row r="888">
          <cell r="A888" t="str">
            <v>F0102089035</v>
          </cell>
          <cell r="B888" t="str">
            <v>转向管柱护套</v>
          </cell>
          <cell r="C888" t="str">
            <v>件</v>
          </cell>
          <cell r="D888" t="str">
            <v>车身部件</v>
          </cell>
        </row>
        <row r="889">
          <cell r="A889" t="str">
            <v>F0102089036</v>
          </cell>
          <cell r="B889" t="str">
            <v>液晶屏座</v>
          </cell>
          <cell r="C889" t="str">
            <v>件</v>
          </cell>
          <cell r="D889" t="str">
            <v>车身部件</v>
          </cell>
        </row>
        <row r="890">
          <cell r="A890" t="str">
            <v>F0102089037</v>
          </cell>
          <cell r="B890" t="str">
            <v>仪表台装饰条 左</v>
          </cell>
          <cell r="C890" t="str">
            <v>件</v>
          </cell>
          <cell r="D890" t="str">
            <v>车身部件</v>
          </cell>
        </row>
        <row r="891">
          <cell r="A891" t="str">
            <v>F0102089038</v>
          </cell>
          <cell r="B891" t="str">
            <v>仪表台装饰条 右</v>
          </cell>
          <cell r="C891" t="str">
            <v>件</v>
          </cell>
          <cell r="D891" t="str">
            <v>车身部件</v>
          </cell>
        </row>
        <row r="892">
          <cell r="A892" t="str">
            <v>F0102089039</v>
          </cell>
          <cell r="B892" t="str">
            <v>风口装饰条左 1</v>
          </cell>
          <cell r="C892" t="str">
            <v>件</v>
          </cell>
          <cell r="D892" t="str">
            <v>车身部件</v>
          </cell>
        </row>
        <row r="893">
          <cell r="A893" t="str">
            <v>F0102089040</v>
          </cell>
          <cell r="B893" t="str">
            <v>风口装饰条左 2</v>
          </cell>
          <cell r="C893" t="str">
            <v>件</v>
          </cell>
          <cell r="D893" t="str">
            <v>车身部件</v>
          </cell>
        </row>
        <row r="894">
          <cell r="A894" t="str">
            <v>F0102089041</v>
          </cell>
          <cell r="B894" t="str">
            <v>风口装饰条中</v>
          </cell>
          <cell r="C894" t="str">
            <v>件</v>
          </cell>
          <cell r="D894" t="str">
            <v>车身部件</v>
          </cell>
        </row>
        <row r="895">
          <cell r="A895" t="str">
            <v>F0102089042</v>
          </cell>
          <cell r="B895" t="str">
            <v>风口装饰条右</v>
          </cell>
          <cell r="C895" t="str">
            <v>件</v>
          </cell>
          <cell r="D895" t="str">
            <v>车身部件</v>
          </cell>
        </row>
        <row r="896">
          <cell r="A896" t="str">
            <v>F0102089043</v>
          </cell>
          <cell r="B896" t="str">
            <v>风道</v>
          </cell>
          <cell r="C896" t="str">
            <v>件</v>
          </cell>
          <cell r="D896" t="str">
            <v>车身部件</v>
          </cell>
        </row>
        <row r="897">
          <cell r="A897" t="str">
            <v>F0102089044.1</v>
          </cell>
          <cell r="B897" t="str">
            <v>出风口本体</v>
          </cell>
          <cell r="C897" t="str">
            <v>件</v>
          </cell>
          <cell r="D897" t="str">
            <v>车身部件</v>
          </cell>
        </row>
        <row r="898">
          <cell r="A898" t="str">
            <v>F0102089044.2</v>
          </cell>
          <cell r="B898" t="str">
            <v>出风口面板</v>
          </cell>
          <cell r="C898" t="str">
            <v>件</v>
          </cell>
          <cell r="D898" t="str">
            <v>车身部件</v>
          </cell>
        </row>
        <row r="899">
          <cell r="A899" t="str">
            <v>F0102089044.3</v>
          </cell>
          <cell r="B899" t="str">
            <v>导风片 上固定架 </v>
          </cell>
          <cell r="C899" t="str">
            <v>件</v>
          </cell>
          <cell r="D899" t="str">
            <v>车身部件</v>
          </cell>
        </row>
        <row r="900">
          <cell r="A900" t="str">
            <v>F0102089044.4</v>
          </cell>
          <cell r="B900" t="str">
            <v>导风片 下固定架 </v>
          </cell>
          <cell r="C900" t="str">
            <v>件</v>
          </cell>
          <cell r="D900" t="str">
            <v>车身部件</v>
          </cell>
        </row>
        <row r="901">
          <cell r="A901" t="str">
            <v>F0102089044.5</v>
          </cell>
          <cell r="B901" t="str">
            <v>左右导风片连杆</v>
          </cell>
          <cell r="C901" t="str">
            <v>件</v>
          </cell>
          <cell r="D901" t="str">
            <v>车身部件</v>
          </cell>
        </row>
        <row r="902">
          <cell r="A902" t="str">
            <v>F0102089044.6</v>
          </cell>
          <cell r="B902" t="str">
            <v>上下导风片</v>
          </cell>
          <cell r="C902" t="str">
            <v>件</v>
          </cell>
          <cell r="D902" t="str">
            <v>车身部件</v>
          </cell>
        </row>
        <row r="903">
          <cell r="A903" t="str">
            <v>F0102089044.7</v>
          </cell>
          <cell r="B903" t="str">
            <v>风口调节手柄 </v>
          </cell>
          <cell r="C903" t="str">
            <v>件</v>
          </cell>
          <cell r="D903" t="str">
            <v>车身部件</v>
          </cell>
        </row>
        <row r="904">
          <cell r="A904" t="str">
            <v>F0102089044.8</v>
          </cell>
          <cell r="B904" t="str">
            <v>风口调节手柄拨片</v>
          </cell>
          <cell r="C904" t="str">
            <v>件</v>
          </cell>
          <cell r="D904" t="str">
            <v>车身部件</v>
          </cell>
        </row>
        <row r="905">
          <cell r="A905" t="str">
            <v>F0102089044.10</v>
          </cell>
          <cell r="B905" t="str">
            <v>左右导风片2</v>
          </cell>
          <cell r="C905" t="str">
            <v>件</v>
          </cell>
          <cell r="D905" t="str">
            <v>车身部件</v>
          </cell>
        </row>
        <row r="906">
          <cell r="A906" t="str">
            <v>F0102089044.9</v>
          </cell>
          <cell r="B906" t="str">
            <v>左右导风片1</v>
          </cell>
          <cell r="C906" t="str">
            <v>件</v>
          </cell>
          <cell r="D906" t="str">
            <v>车身部件</v>
          </cell>
        </row>
        <row r="907">
          <cell r="A907" t="str">
            <v>F0102090003</v>
          </cell>
          <cell r="B907" t="str">
            <v>左前轮眉 </v>
          </cell>
          <cell r="C907" t="str">
            <v>件</v>
          </cell>
          <cell r="D907" t="str">
            <v>塑料件</v>
          </cell>
        </row>
        <row r="908">
          <cell r="A908" t="str">
            <v>F0102090004</v>
          </cell>
          <cell r="B908" t="str">
            <v>右前轮眉 </v>
          </cell>
          <cell r="C908" t="str">
            <v>件</v>
          </cell>
          <cell r="D908" t="str">
            <v>塑料件</v>
          </cell>
        </row>
        <row r="909">
          <cell r="A909" t="str">
            <v>F0203013012</v>
          </cell>
          <cell r="B909" t="str">
            <v>304不锈钢德式喉箍（白色不锈钢）</v>
          </cell>
          <cell r="C909" t="str">
            <v>件</v>
          </cell>
          <cell r="D909" t="str">
            <v>紧固件</v>
          </cell>
        </row>
        <row r="910">
          <cell r="A910" t="str">
            <v>Y0301019006</v>
          </cell>
          <cell r="B910" t="str">
            <v>六角螺母（彩锌）</v>
          </cell>
          <cell r="C910" t="str">
            <v>件</v>
          </cell>
          <cell r="D910" t="str">
            <v>紧固件</v>
          </cell>
        </row>
        <row r="911">
          <cell r="A911" t="str">
            <v>Y0301020010</v>
          </cell>
          <cell r="B911" t="str">
            <v>平垫片（10）（彩锌）</v>
          </cell>
          <cell r="C911" t="str">
            <v>件</v>
          </cell>
          <cell r="D911" t="str">
            <v>紧固件</v>
          </cell>
        </row>
        <row r="912">
          <cell r="A912" t="str">
            <v>F2101043080</v>
          </cell>
          <cell r="B912" t="str">
            <v>六角法兰面罗丝（彩锌）</v>
          </cell>
          <cell r="C912" t="str">
            <v>件</v>
          </cell>
          <cell r="D912" t="str">
            <v>紧固件</v>
          </cell>
        </row>
        <row r="913">
          <cell r="A913" t="str">
            <v>Y0301019071</v>
          </cell>
          <cell r="B913" t="str">
            <v>不锈钢自锁螺母</v>
          </cell>
          <cell r="C913" t="str">
            <v>件</v>
          </cell>
          <cell r="D913" t="str">
            <v>紧固件</v>
          </cell>
        </row>
        <row r="914">
          <cell r="A914" t="str">
            <v>F2101041055</v>
          </cell>
          <cell r="B914" t="str">
            <v>英制螺栓-50</v>
          </cell>
          <cell r="C914" t="str">
            <v>件</v>
          </cell>
          <cell r="D914" t="str">
            <v>紧固件</v>
          </cell>
        </row>
        <row r="915">
          <cell r="A915" t="str">
            <v>F2101041056</v>
          </cell>
          <cell r="B915" t="str">
            <v>英制螺栓-39</v>
          </cell>
          <cell r="C915" t="str">
            <v>件</v>
          </cell>
          <cell r="D915" t="str">
            <v>紧固件</v>
          </cell>
        </row>
        <row r="916">
          <cell r="A916" t="str">
            <v>F0103035097</v>
          </cell>
          <cell r="B916" t="str">
            <v>电池框橡胶板</v>
          </cell>
          <cell r="C916" t="str">
            <v>件</v>
          </cell>
          <cell r="D916" t="str">
            <v>三元乙丙橡胶</v>
          </cell>
        </row>
        <row r="917">
          <cell r="A917" t="str">
            <v>Y0301019070</v>
          </cell>
          <cell r="B917" t="str">
            <v>不锈钢尼龙自锁螺母</v>
          </cell>
          <cell r="C917" t="str">
            <v>件</v>
          </cell>
          <cell r="D917" t="str">
            <v>紧固件</v>
          </cell>
        </row>
        <row r="918">
          <cell r="A918" t="str">
            <v>WL-GEF-101</v>
          </cell>
          <cell r="B918" t="str">
            <v>V2J脚踏焊接工装左</v>
          </cell>
          <cell r="C918" t="str">
            <v>件</v>
          </cell>
          <cell r="D918" t="str">
            <v>焊接夹具</v>
          </cell>
        </row>
        <row r="919">
          <cell r="A919" t="str">
            <v>Y0410024027431</v>
          </cell>
          <cell r="B919" t="str">
            <v>踏板连接管</v>
          </cell>
          <cell r="C919" t="str">
            <v>件</v>
          </cell>
          <cell r="D919" t="str">
            <v>车身部件</v>
          </cell>
        </row>
        <row r="920">
          <cell r="A920" t="str">
            <v>Y0410024027432</v>
          </cell>
          <cell r="B920" t="str">
            <v>踏板前弯管</v>
          </cell>
          <cell r="C920" t="str">
            <v>件</v>
          </cell>
          <cell r="D920" t="str">
            <v>车身部件</v>
          </cell>
        </row>
        <row r="921">
          <cell r="A921" t="str">
            <v>Y0410024027049</v>
          </cell>
          <cell r="B921" t="str">
            <v>踏板网</v>
          </cell>
          <cell r="C921" t="str">
            <v>件</v>
          </cell>
          <cell r="D921" t="str">
            <v>车身部件</v>
          </cell>
        </row>
        <row r="922">
          <cell r="A922" t="str">
            <v>Y0410024027433</v>
          </cell>
          <cell r="B922" t="str">
            <v>踏板横梁1</v>
          </cell>
          <cell r="C922" t="str">
            <v>件</v>
          </cell>
          <cell r="D922" t="str">
            <v>车身部件</v>
          </cell>
        </row>
        <row r="923">
          <cell r="A923" t="str">
            <v>Y0410024027434</v>
          </cell>
          <cell r="B923" t="str">
            <v>踏板固定支架</v>
          </cell>
          <cell r="C923" t="str">
            <v>件</v>
          </cell>
          <cell r="D923" t="str">
            <v>车身部件</v>
          </cell>
        </row>
        <row r="924">
          <cell r="A924" t="str">
            <v>Y0410024027435</v>
          </cell>
          <cell r="B924" t="str">
            <v>踏板纵梁</v>
          </cell>
          <cell r="C924" t="str">
            <v>件</v>
          </cell>
          <cell r="D924" t="str">
            <v>车身部件</v>
          </cell>
        </row>
        <row r="925">
          <cell r="A925" t="str">
            <v>Y0410024027436</v>
          </cell>
          <cell r="B925" t="str">
            <v>踏板横梁2</v>
          </cell>
          <cell r="C925" t="str">
            <v>件</v>
          </cell>
          <cell r="D925" t="str">
            <v>车身部件</v>
          </cell>
        </row>
        <row r="926">
          <cell r="A926" t="str">
            <v>Y0410024027046</v>
          </cell>
          <cell r="B926" t="str">
            <v>焊接垫片</v>
          </cell>
          <cell r="C926" t="str">
            <v>件</v>
          </cell>
          <cell r="D926" t="str">
            <v>车身部件</v>
          </cell>
        </row>
        <row r="927">
          <cell r="A927" t="str">
            <v>WL-GEF-102</v>
          </cell>
          <cell r="B927" t="str">
            <v>V2J脚踏焊接工装右</v>
          </cell>
          <cell r="C927" t="str">
            <v>件</v>
          </cell>
          <cell r="D927" t="str">
            <v>焊接夹具</v>
          </cell>
        </row>
        <row r="928">
          <cell r="A928" t="str">
            <v>WL-GEF-100</v>
          </cell>
          <cell r="B928" t="str">
            <v>后排靠背骨架及安全带支架焊接工装</v>
          </cell>
          <cell r="C928" t="str">
            <v>件</v>
          </cell>
          <cell r="D928" t="str">
            <v>焊接夹具</v>
          </cell>
        </row>
        <row r="929">
          <cell r="A929" t="str">
            <v>Y0410024027408</v>
          </cell>
          <cell r="B929" t="str">
            <v>后排安全带上支架</v>
          </cell>
          <cell r="C929" t="str">
            <v>件</v>
          </cell>
          <cell r="D929" t="str">
            <v>车身部件（支架等）</v>
          </cell>
        </row>
        <row r="930">
          <cell r="A930" t="str">
            <v>Y0410024027409</v>
          </cell>
          <cell r="B930" t="str">
            <v>后排座椅骨架横梁</v>
          </cell>
          <cell r="C930" t="str">
            <v>件</v>
          </cell>
          <cell r="D930" t="str">
            <v>车身部件</v>
          </cell>
        </row>
        <row r="931">
          <cell r="A931" t="str">
            <v>Y0410024027410</v>
          </cell>
          <cell r="B931" t="str">
            <v>后排座椅骨架左侧支架</v>
          </cell>
          <cell r="C931" t="str">
            <v>件</v>
          </cell>
          <cell r="D931" t="str">
            <v>车身部件</v>
          </cell>
        </row>
        <row r="932">
          <cell r="A932" t="str">
            <v>Y0410024027411</v>
          </cell>
          <cell r="B932" t="str">
            <v>后排座椅骨架安装板</v>
          </cell>
          <cell r="C932" t="str">
            <v>件</v>
          </cell>
          <cell r="D932" t="str">
            <v>车身部件</v>
          </cell>
        </row>
        <row r="933">
          <cell r="A933" t="str">
            <v>Y0410024027412</v>
          </cell>
          <cell r="B933" t="str">
            <v>后排靠背骨架下安装支架</v>
          </cell>
          <cell r="C933" t="str">
            <v>件</v>
          </cell>
          <cell r="D933" t="str">
            <v>车身部件</v>
          </cell>
        </row>
        <row r="934">
          <cell r="A934" t="str">
            <v>Y0410024027413</v>
          </cell>
          <cell r="B934" t="str">
            <v>后排座椅骨架右侧支架</v>
          </cell>
          <cell r="C934" t="str">
            <v>件</v>
          </cell>
          <cell r="D934" t="str">
            <v>车身部件</v>
          </cell>
        </row>
        <row r="935">
          <cell r="A935" t="str">
            <v>Y0410024027414</v>
          </cell>
          <cell r="B935" t="str">
            <v>后排靠背骨架侧垫板</v>
          </cell>
          <cell r="C935" t="str">
            <v>件</v>
          </cell>
          <cell r="D935" t="str">
            <v>车身部件</v>
          </cell>
        </row>
        <row r="936">
          <cell r="A936" t="str">
            <v>Y0410024027415</v>
          </cell>
          <cell r="B936" t="str">
            <v>后排靠背骨架加强板</v>
          </cell>
          <cell r="C936" t="str">
            <v>件</v>
          </cell>
          <cell r="D936" t="str">
            <v>车身部件</v>
          </cell>
        </row>
        <row r="937">
          <cell r="A937" t="str">
            <v>Y0410024027421</v>
          </cell>
          <cell r="B937" t="str">
            <v>横梁</v>
          </cell>
          <cell r="C937" t="str">
            <v>件</v>
          </cell>
          <cell r="D937" t="str">
            <v>车身部件</v>
          </cell>
        </row>
        <row r="938">
          <cell r="A938" t="str">
            <v>Y0410024027074</v>
          </cell>
          <cell r="B938" t="str">
            <v>安全带安装支架1</v>
          </cell>
          <cell r="C938" t="str">
            <v>件</v>
          </cell>
          <cell r="D938" t="str">
            <v>车身部件</v>
          </cell>
        </row>
        <row r="939">
          <cell r="A939" t="str">
            <v>Y0410024027075</v>
          </cell>
          <cell r="B939" t="str">
            <v>安全带安装支架2</v>
          </cell>
          <cell r="C939" t="str">
            <v>件</v>
          </cell>
          <cell r="D939" t="str">
            <v>车身部件</v>
          </cell>
        </row>
        <row r="940">
          <cell r="A940" t="str">
            <v>WL-GEF-096</v>
          </cell>
          <cell r="B940" t="str">
            <v>中座桶骨架焊接工装</v>
          </cell>
          <cell r="C940" t="str">
            <v>件</v>
          </cell>
          <cell r="D940" t="str">
            <v>焊接夹具</v>
          </cell>
        </row>
        <row r="941">
          <cell r="A941" t="str">
            <v>Y0410024027391</v>
          </cell>
          <cell r="B941" t="str">
            <v>中座桶骨架前横梁</v>
          </cell>
          <cell r="C941" t="str">
            <v>件</v>
          </cell>
          <cell r="D941" t="str">
            <v>车身部件</v>
          </cell>
        </row>
        <row r="942">
          <cell r="A942" t="str">
            <v>Y0410024027392</v>
          </cell>
          <cell r="B942" t="str">
            <v>中座桶骨架右上支架</v>
          </cell>
          <cell r="C942" t="str">
            <v>件</v>
          </cell>
          <cell r="D942" t="str">
            <v>车身部件</v>
          </cell>
        </row>
        <row r="943">
          <cell r="A943" t="str">
            <v>Y0410024027393</v>
          </cell>
          <cell r="B943" t="str">
            <v>中座桶骨架后横梁</v>
          </cell>
          <cell r="C943" t="str">
            <v>件</v>
          </cell>
          <cell r="D943" t="str">
            <v>车身部件</v>
          </cell>
        </row>
        <row r="944">
          <cell r="A944" t="str">
            <v>Y0410024027394</v>
          </cell>
          <cell r="B944" t="str">
            <v>中座桶骨架右后立柱</v>
          </cell>
          <cell r="C944" t="str">
            <v>件</v>
          </cell>
          <cell r="D944" t="str">
            <v>车身部件</v>
          </cell>
        </row>
        <row r="945">
          <cell r="A945" t="str">
            <v>Y0410024027395</v>
          </cell>
          <cell r="B945" t="str">
            <v>中座桶骨架右下固定支架</v>
          </cell>
          <cell r="C945" t="str">
            <v>件</v>
          </cell>
          <cell r="D945" t="str">
            <v>车身部件</v>
          </cell>
        </row>
        <row r="946">
          <cell r="A946" t="str">
            <v>Y0410024027396</v>
          </cell>
          <cell r="B946" t="str">
            <v>中座桶骨架左上支架</v>
          </cell>
          <cell r="C946" t="str">
            <v>件</v>
          </cell>
          <cell r="D946" t="str">
            <v>车身部件</v>
          </cell>
        </row>
        <row r="947">
          <cell r="A947" t="str">
            <v>Y0410024027397</v>
          </cell>
          <cell r="B947" t="str">
            <v>中座桶骨架左后立柱</v>
          </cell>
          <cell r="C947" t="str">
            <v>件</v>
          </cell>
          <cell r="D947" t="str">
            <v>车身部件</v>
          </cell>
        </row>
        <row r="948">
          <cell r="A948" t="str">
            <v>Y0410024027398</v>
          </cell>
          <cell r="B948" t="str">
            <v>中座桶骨架左下固定支架</v>
          </cell>
          <cell r="C948" t="str">
            <v>件</v>
          </cell>
          <cell r="D948" t="str">
            <v>车身部件</v>
          </cell>
        </row>
        <row r="949">
          <cell r="A949" t="str">
            <v>Y0410024027399</v>
          </cell>
          <cell r="B949" t="str">
            <v>中座桶骨架左前立柱</v>
          </cell>
          <cell r="C949" t="str">
            <v>件</v>
          </cell>
          <cell r="D949" t="str">
            <v>车身部件</v>
          </cell>
        </row>
        <row r="950">
          <cell r="A950" t="str">
            <v>Y0410024027400</v>
          </cell>
          <cell r="B950" t="str">
            <v>中座桶骨架右前立柱</v>
          </cell>
          <cell r="C950" t="str">
            <v>件</v>
          </cell>
          <cell r="D950" t="str">
            <v>车身部件</v>
          </cell>
        </row>
        <row r="951">
          <cell r="A951" t="str">
            <v>Y0410024027401</v>
          </cell>
          <cell r="B951" t="str">
            <v>中座桶骨架油壶支架</v>
          </cell>
          <cell r="C951" t="str">
            <v>件</v>
          </cell>
          <cell r="D951" t="str">
            <v>车身部件</v>
          </cell>
        </row>
        <row r="952">
          <cell r="A952" t="str">
            <v>WL-GEF-097</v>
          </cell>
          <cell r="B952" t="str">
            <v>牌照灯支架焊接工装</v>
          </cell>
          <cell r="C952" t="str">
            <v>件</v>
          </cell>
          <cell r="D952" t="str">
            <v>焊接夹具</v>
          </cell>
        </row>
        <row r="953">
          <cell r="A953" t="str">
            <v>Y0410024027422</v>
          </cell>
          <cell r="B953" t="str">
            <v>牌照灯支架弯管</v>
          </cell>
          <cell r="C953" t="str">
            <v>件</v>
          </cell>
          <cell r="D953" t="str">
            <v>车身部件</v>
          </cell>
        </row>
        <row r="954">
          <cell r="A954" t="str">
            <v>Y0410024027423</v>
          </cell>
          <cell r="B954" t="str">
            <v>牌照灯支架下安装支架</v>
          </cell>
          <cell r="C954" t="str">
            <v>件</v>
          </cell>
          <cell r="D954" t="str">
            <v>车身部件</v>
          </cell>
        </row>
        <row r="955">
          <cell r="A955" t="str">
            <v>Y0410024027424</v>
          </cell>
          <cell r="B955" t="str">
            <v>下安装支架加强板</v>
          </cell>
          <cell r="C955" t="str">
            <v>件</v>
          </cell>
          <cell r="D955" t="str">
            <v>车身部件</v>
          </cell>
        </row>
        <row r="956">
          <cell r="A956" t="str">
            <v>WL-GEF-099</v>
          </cell>
          <cell r="B956" t="str">
            <v>前排靠背骨架焊接工装</v>
          </cell>
          <cell r="C956" t="str">
            <v>件</v>
          </cell>
          <cell r="D956" t="str">
            <v>焊接夹具</v>
          </cell>
        </row>
        <row r="957">
          <cell r="A957" t="str">
            <v>Y0410024027402</v>
          </cell>
          <cell r="B957" t="str">
            <v>安全带上支架</v>
          </cell>
          <cell r="C957" t="str">
            <v>件</v>
          </cell>
          <cell r="D957" t="str">
            <v>车身部件（支架等）</v>
          </cell>
        </row>
        <row r="958">
          <cell r="A958" t="str">
            <v>Y0410024027403</v>
          </cell>
          <cell r="B958" t="str">
            <v>靠背骨架上横梁</v>
          </cell>
          <cell r="C958" t="str">
            <v>件</v>
          </cell>
          <cell r="D958" t="str">
            <v>车身部件（支架等）</v>
          </cell>
        </row>
        <row r="959">
          <cell r="A959" t="str">
            <v>Y0410024027404</v>
          </cell>
          <cell r="B959" t="str">
            <v>靠背骨架弯管</v>
          </cell>
          <cell r="C959" t="str">
            <v>件</v>
          </cell>
          <cell r="D959" t="str">
            <v>车身部件（支架等）</v>
          </cell>
        </row>
        <row r="960">
          <cell r="A960" t="str">
            <v>Y0410024027405</v>
          </cell>
          <cell r="B960" t="str">
            <v>靠背骨架下横梁</v>
          </cell>
          <cell r="C960" t="str">
            <v>件</v>
          </cell>
          <cell r="D960" t="str">
            <v>车身部件（支架等）</v>
          </cell>
        </row>
        <row r="961">
          <cell r="A961" t="str">
            <v>Y0410024027406</v>
          </cell>
          <cell r="B961" t="str">
            <v>靠背骨架前固定支架</v>
          </cell>
          <cell r="C961" t="str">
            <v>件</v>
          </cell>
          <cell r="D961" t="str">
            <v>车身部件（支架等）</v>
          </cell>
        </row>
        <row r="962">
          <cell r="A962" t="str">
            <v>Y0410024027407</v>
          </cell>
          <cell r="B962" t="str">
            <v>靠背骨架上封板</v>
          </cell>
          <cell r="C962" t="str">
            <v>件</v>
          </cell>
          <cell r="D962" t="str">
            <v>车身部件（支架等）</v>
          </cell>
        </row>
        <row r="963">
          <cell r="A963" t="str">
            <v>WL-GEF-098</v>
          </cell>
          <cell r="B963" t="str">
            <v>前排靠背组件焊接工装</v>
          </cell>
          <cell r="C963" t="str">
            <v>件</v>
          </cell>
          <cell r="D963" t="str">
            <v>焊接夹具</v>
          </cell>
        </row>
        <row r="964">
          <cell r="A964" t="str">
            <v>WL-GEF-095</v>
          </cell>
          <cell r="B964" t="str">
            <v>V2主工装（球车、打猎车）</v>
          </cell>
          <cell r="C964" t="str">
            <v>件</v>
          </cell>
          <cell r="D964" t="str">
            <v>焊接夹具</v>
          </cell>
        </row>
        <row r="965">
          <cell r="A965" t="str">
            <v>F0102063908</v>
          </cell>
          <cell r="B965" t="str">
            <v>上悬臂支架圆管梁（球车）</v>
          </cell>
          <cell r="C965" t="str">
            <v>件</v>
          </cell>
          <cell r="D965" t="str">
            <v>车身部件</v>
          </cell>
        </row>
        <row r="966">
          <cell r="A966" t="str">
            <v>Y0410024021462</v>
          </cell>
          <cell r="B966" t="str">
            <v>后拖曳臂上支架</v>
          </cell>
          <cell r="C966" t="str">
            <v>件</v>
          </cell>
          <cell r="D966" t="str">
            <v>车身部件</v>
          </cell>
        </row>
        <row r="967">
          <cell r="A967" t="str">
            <v>Y0410024021463</v>
          </cell>
          <cell r="B967" t="str">
            <v>后拖曳臂下支架</v>
          </cell>
          <cell r="C967" t="str">
            <v>件</v>
          </cell>
          <cell r="D967" t="str">
            <v>车身部件</v>
          </cell>
        </row>
        <row r="968">
          <cell r="A968" t="str">
            <v>Y0410024021464</v>
          </cell>
          <cell r="B968" t="str">
            <v>制动踏板前支架</v>
          </cell>
          <cell r="C968" t="str">
            <v>件</v>
          </cell>
          <cell r="D968" t="str">
            <v>车身部件</v>
          </cell>
        </row>
        <row r="969">
          <cell r="A969" t="str">
            <v>Y0410024021465</v>
          </cell>
          <cell r="B969" t="str">
            <v>制动踏板后支架</v>
          </cell>
          <cell r="C969" t="str">
            <v>件</v>
          </cell>
          <cell r="D969" t="str">
            <v>车身部件</v>
          </cell>
        </row>
        <row r="970">
          <cell r="A970" t="str">
            <v>Y0410024021466</v>
          </cell>
          <cell r="B970" t="str">
            <v>制动踏板后支架加强梁</v>
          </cell>
          <cell r="C970" t="str">
            <v>件</v>
          </cell>
          <cell r="D970" t="str">
            <v>车身部件</v>
          </cell>
        </row>
        <row r="971">
          <cell r="A971" t="str">
            <v>Y0410024021467</v>
          </cell>
          <cell r="B971" t="str">
            <v>制动踏板右纵梁</v>
          </cell>
          <cell r="C971" t="str">
            <v>件</v>
          </cell>
          <cell r="D971" t="str">
            <v>车身部件</v>
          </cell>
        </row>
        <row r="972">
          <cell r="A972" t="str">
            <v>Y0410024021468</v>
          </cell>
          <cell r="B972" t="str">
            <v>制动踏板右横梁</v>
          </cell>
          <cell r="C972" t="str">
            <v>件</v>
          </cell>
          <cell r="D972" t="str">
            <v>车身部件</v>
          </cell>
        </row>
        <row r="973">
          <cell r="A973" t="str">
            <v>Y0410024021469</v>
          </cell>
          <cell r="B973" t="str">
            <v>制动踏板右纵梁连接板</v>
          </cell>
          <cell r="C973" t="str">
            <v>件</v>
          </cell>
          <cell r="D973" t="str">
            <v>车身部件</v>
          </cell>
        </row>
        <row r="974">
          <cell r="A974" t="str">
            <v>Y0410024021470</v>
          </cell>
          <cell r="B974" t="str">
            <v>制动总泵支架横梁</v>
          </cell>
          <cell r="C974" t="str">
            <v>件</v>
          </cell>
          <cell r="D974" t="str">
            <v>车身部件</v>
          </cell>
        </row>
        <row r="975">
          <cell r="A975" t="str">
            <v>Y0410024021471</v>
          </cell>
          <cell r="B975" t="str">
            <v>侧边梁前连接板</v>
          </cell>
          <cell r="C975" t="str">
            <v>件</v>
          </cell>
          <cell r="D975" t="str">
            <v>车身部件</v>
          </cell>
        </row>
        <row r="976">
          <cell r="A976" t="str">
            <v>Y0410024021472</v>
          </cell>
          <cell r="B976" t="str">
            <v>侧边梁前横梁</v>
          </cell>
          <cell r="C976" t="str">
            <v>件</v>
          </cell>
          <cell r="D976" t="str">
            <v>车身部件</v>
          </cell>
        </row>
        <row r="977">
          <cell r="A977" t="str">
            <v>Y0410024021473</v>
          </cell>
          <cell r="B977" t="str">
            <v>侧边梁中横梁</v>
          </cell>
          <cell r="C977" t="str">
            <v>件</v>
          </cell>
          <cell r="D977" t="str">
            <v>车身部件</v>
          </cell>
        </row>
        <row r="978">
          <cell r="A978" t="str">
            <v>Y0410024021474</v>
          </cell>
          <cell r="B978" t="str">
            <v>侧边梁四横梁</v>
          </cell>
          <cell r="C978" t="str">
            <v>件</v>
          </cell>
          <cell r="D978" t="str">
            <v>车身部件</v>
          </cell>
        </row>
        <row r="979">
          <cell r="A979" t="str">
            <v>Y0410024021475</v>
          </cell>
          <cell r="B979" t="str">
            <v>侧边梁五横梁</v>
          </cell>
          <cell r="C979" t="str">
            <v>件</v>
          </cell>
          <cell r="D979" t="str">
            <v>车身部件</v>
          </cell>
        </row>
        <row r="980">
          <cell r="A980" t="str">
            <v>Y0410024021476</v>
          </cell>
          <cell r="B980" t="str">
            <v>侧边梁（4座车）</v>
          </cell>
          <cell r="C980" t="str">
            <v>件</v>
          </cell>
          <cell r="D980" t="str">
            <v>车身部件</v>
          </cell>
        </row>
        <row r="981">
          <cell r="A981" t="str">
            <v>Y0410024021477</v>
          </cell>
          <cell r="B981" t="str">
            <v>大梁（4座打猎车）</v>
          </cell>
          <cell r="C981" t="str">
            <v>件</v>
          </cell>
          <cell r="D981" t="str">
            <v>车身部件</v>
          </cell>
        </row>
        <row r="982">
          <cell r="A982" t="str">
            <v>Y0410024021478</v>
          </cell>
          <cell r="B982" t="str">
            <v>前端横梁（球车）</v>
          </cell>
          <cell r="C982" t="str">
            <v>件</v>
          </cell>
          <cell r="D982" t="str">
            <v>车身部件</v>
          </cell>
        </row>
        <row r="983">
          <cell r="A983" t="str">
            <v>Y0410024021479</v>
          </cell>
          <cell r="B983" t="str">
            <v>座椅桶下横梁一</v>
          </cell>
          <cell r="C983" t="str">
            <v>件</v>
          </cell>
          <cell r="D983" t="str">
            <v>车身部件</v>
          </cell>
        </row>
        <row r="984">
          <cell r="A984" t="str">
            <v>Y0410024021480</v>
          </cell>
          <cell r="B984" t="str">
            <v>座椅桶下横梁二</v>
          </cell>
          <cell r="C984" t="str">
            <v>件</v>
          </cell>
          <cell r="D984" t="str">
            <v>车身部件</v>
          </cell>
        </row>
        <row r="985">
          <cell r="A985" t="str">
            <v>Y0410024021481</v>
          </cell>
          <cell r="B985" t="str">
            <v>后座椅前部横梁</v>
          </cell>
          <cell r="C985" t="str">
            <v>件</v>
          </cell>
          <cell r="D985" t="str">
            <v>车身部件</v>
          </cell>
        </row>
        <row r="986">
          <cell r="A986" t="str">
            <v>Y0410024021482</v>
          </cell>
          <cell r="B986" t="str">
            <v>电控上支架</v>
          </cell>
          <cell r="C986" t="str">
            <v>件</v>
          </cell>
          <cell r="D986" t="str">
            <v>车身部件</v>
          </cell>
        </row>
        <row r="987">
          <cell r="A987" t="str">
            <v>Y0410024021483</v>
          </cell>
          <cell r="B987" t="str">
            <v>电控下支架</v>
          </cell>
          <cell r="C987" t="str">
            <v>件</v>
          </cell>
          <cell r="D987" t="str">
            <v>车身部件</v>
          </cell>
        </row>
        <row r="988">
          <cell r="A988" t="str">
            <v>Y0410024021484</v>
          </cell>
          <cell r="B988" t="str">
            <v>座椅前横梁</v>
          </cell>
          <cell r="C988" t="str">
            <v>件</v>
          </cell>
          <cell r="D988" t="str">
            <v>车身部件</v>
          </cell>
        </row>
        <row r="989">
          <cell r="A989" t="str">
            <v>Y0410024021485</v>
          </cell>
          <cell r="B989" t="str">
            <v>座椅后横梁</v>
          </cell>
          <cell r="C989" t="str">
            <v>件</v>
          </cell>
          <cell r="D989" t="str">
            <v>车身部件</v>
          </cell>
        </row>
        <row r="990">
          <cell r="A990" t="str">
            <v>Y0410024021486</v>
          </cell>
          <cell r="B990" t="str">
            <v>座椅支架</v>
          </cell>
          <cell r="C990" t="str">
            <v>件</v>
          </cell>
          <cell r="D990" t="str">
            <v>车身部件</v>
          </cell>
        </row>
        <row r="991">
          <cell r="A991" t="str">
            <v>Y0410024021487</v>
          </cell>
          <cell r="B991" t="str">
            <v>座椅边梁</v>
          </cell>
          <cell r="C991" t="str">
            <v>件</v>
          </cell>
          <cell r="D991" t="str">
            <v>车身部件</v>
          </cell>
        </row>
        <row r="992">
          <cell r="A992" t="str">
            <v>Y0410024021488</v>
          </cell>
          <cell r="B992" t="str">
            <v>轮罩前支架</v>
          </cell>
          <cell r="C992" t="str">
            <v>件</v>
          </cell>
          <cell r="D992" t="str">
            <v>车身部件</v>
          </cell>
        </row>
        <row r="993">
          <cell r="A993" t="str">
            <v>Y0410024021489</v>
          </cell>
          <cell r="B993" t="str">
            <v>轮罩后支架</v>
          </cell>
          <cell r="C993" t="str">
            <v>件</v>
          </cell>
          <cell r="D993" t="str">
            <v>车身部件</v>
          </cell>
        </row>
        <row r="994">
          <cell r="A994" t="str">
            <v>Y0410024021490</v>
          </cell>
          <cell r="B994" t="str">
            <v>后减振器上支架</v>
          </cell>
          <cell r="C994" t="str">
            <v>件</v>
          </cell>
          <cell r="D994" t="str">
            <v>车身部件</v>
          </cell>
        </row>
        <row r="995">
          <cell r="A995" t="str">
            <v>Y0410024021491</v>
          </cell>
          <cell r="B995" t="str">
            <v>后减振器套管</v>
          </cell>
          <cell r="C995" t="str">
            <v>件</v>
          </cell>
          <cell r="D995" t="str">
            <v>车身部件</v>
          </cell>
        </row>
        <row r="996">
          <cell r="A996" t="str">
            <v>Y0410024021492</v>
          </cell>
          <cell r="B996" t="str">
            <v>后立柱安装支架</v>
          </cell>
          <cell r="C996" t="str">
            <v>件</v>
          </cell>
          <cell r="D996" t="str">
            <v>车身部件</v>
          </cell>
        </row>
        <row r="997">
          <cell r="A997" t="str">
            <v>Y0410024021493</v>
          </cell>
          <cell r="B997" t="str">
            <v>后立柱安装底座</v>
          </cell>
          <cell r="C997" t="str">
            <v>件</v>
          </cell>
          <cell r="D997" t="str">
            <v>车身部件</v>
          </cell>
        </row>
        <row r="998">
          <cell r="A998" t="str">
            <v>Y0410024021494</v>
          </cell>
          <cell r="B998" t="str">
            <v>后立柱连接梁</v>
          </cell>
          <cell r="C998" t="str">
            <v>件</v>
          </cell>
          <cell r="D998" t="str">
            <v>车身部件</v>
          </cell>
        </row>
        <row r="999">
          <cell r="A999" t="str">
            <v>Y0410024021495</v>
          </cell>
          <cell r="B999" t="str">
            <v>后储物箱安装支架</v>
          </cell>
          <cell r="C999" t="str">
            <v>件</v>
          </cell>
          <cell r="D999" t="str">
            <v>车身部件</v>
          </cell>
        </row>
        <row r="1000">
          <cell r="A1000" t="str">
            <v>Y0410024021496</v>
          </cell>
          <cell r="B1000" t="str">
            <v>后座椅安装横梁</v>
          </cell>
          <cell r="C1000" t="str">
            <v>件</v>
          </cell>
          <cell r="D1000" t="str">
            <v>车身部件</v>
          </cell>
        </row>
        <row r="1001">
          <cell r="A1001" t="str">
            <v>Y0410024021497</v>
          </cell>
          <cell r="B1001" t="str">
            <v>后罩安装横梁</v>
          </cell>
          <cell r="C1001" t="str">
            <v>件</v>
          </cell>
          <cell r="D1001" t="str">
            <v>车身部件</v>
          </cell>
        </row>
        <row r="1002">
          <cell r="A1002" t="str">
            <v>Y0410024021498</v>
          </cell>
          <cell r="B1002" t="str">
            <v>安全带安装支架</v>
          </cell>
          <cell r="C1002" t="str">
            <v>件</v>
          </cell>
          <cell r="D1002" t="str">
            <v>车身部件</v>
          </cell>
        </row>
        <row r="1003">
          <cell r="A1003" t="str">
            <v>Y0410024021499</v>
          </cell>
          <cell r="B1003" t="str">
            <v>安全带安装套管</v>
          </cell>
          <cell r="C1003" t="str">
            <v>件</v>
          </cell>
          <cell r="D1003" t="str">
            <v>车身部件</v>
          </cell>
        </row>
        <row r="1004">
          <cell r="A1004" t="str">
            <v>Y0410024021500</v>
          </cell>
          <cell r="B1004" t="str">
            <v>安全带连接支架</v>
          </cell>
          <cell r="C1004" t="str">
            <v>件</v>
          </cell>
          <cell r="D1004" t="str">
            <v>车身部件</v>
          </cell>
        </row>
        <row r="1005">
          <cell r="A1005" t="str">
            <v>Y0410024021501</v>
          </cell>
          <cell r="B1005" t="str">
            <v>后稳定杆支架焊接总成（球车）</v>
          </cell>
          <cell r="C1005" t="str">
            <v>件</v>
          </cell>
          <cell r="D1005" t="str">
            <v>车身部件</v>
          </cell>
        </row>
        <row r="1006">
          <cell r="A1006" t="str">
            <v>Y0410024021503</v>
          </cell>
          <cell r="B1006" t="str">
            <v>后轮罩安装梁</v>
          </cell>
          <cell r="C1006" t="str">
            <v>件</v>
          </cell>
          <cell r="D1006" t="str">
            <v>车身部件</v>
          </cell>
        </row>
        <row r="1007">
          <cell r="A1007" t="str">
            <v>Y0410024021504</v>
          </cell>
          <cell r="B1007" t="str">
            <v>尾部加强竖梁</v>
          </cell>
          <cell r="C1007" t="str">
            <v>件</v>
          </cell>
          <cell r="D1007" t="str">
            <v>车身部件</v>
          </cell>
        </row>
        <row r="1008">
          <cell r="A1008" t="str">
            <v>Y0410024021505</v>
          </cell>
          <cell r="B1008" t="str">
            <v>后保险杠安装梁</v>
          </cell>
          <cell r="C1008" t="str">
            <v>件</v>
          </cell>
          <cell r="D1008" t="str">
            <v>车身部件</v>
          </cell>
        </row>
        <row r="1009">
          <cell r="A1009" t="str">
            <v>Y0410024021506</v>
          </cell>
          <cell r="B1009" t="str">
            <v>后保安装支架</v>
          </cell>
          <cell r="C1009" t="str">
            <v>件</v>
          </cell>
          <cell r="D1009" t="str">
            <v>车身部件</v>
          </cell>
        </row>
        <row r="1010">
          <cell r="A1010" t="str">
            <v>F0102087963</v>
          </cell>
          <cell r="B1010" t="str">
            <v>包装连接支架</v>
          </cell>
          <cell r="C1010" t="str">
            <v>件</v>
          </cell>
          <cell r="D1010" t="str">
            <v>车身部件</v>
          </cell>
        </row>
        <row r="1011">
          <cell r="A1011" t="str">
            <v>Y0410024021507</v>
          </cell>
          <cell r="B1011" t="str">
            <v>包装连接支架安装板</v>
          </cell>
          <cell r="C1011" t="str">
            <v>件</v>
          </cell>
          <cell r="D1011" t="str">
            <v>车身部件</v>
          </cell>
        </row>
        <row r="1012">
          <cell r="A1012" t="str">
            <v>Y0410024021508</v>
          </cell>
          <cell r="B1012" t="str">
            <v>保险盒支架</v>
          </cell>
          <cell r="C1012" t="str">
            <v>件</v>
          </cell>
          <cell r="D1012" t="str">
            <v>车身部件</v>
          </cell>
        </row>
        <row r="1013">
          <cell r="A1013" t="str">
            <v>Y0410024021509</v>
          </cell>
          <cell r="B1013" t="str">
            <v>摄像头支架</v>
          </cell>
          <cell r="C1013" t="str">
            <v>件</v>
          </cell>
          <cell r="D1013" t="str">
            <v>车身部件</v>
          </cell>
        </row>
        <row r="1014">
          <cell r="A1014" t="str">
            <v>Y0410024021502</v>
          </cell>
          <cell r="B1014" t="str">
            <v>后稳定杆支架焊接总成（打猎车）</v>
          </cell>
          <cell r="C1014" t="str">
            <v>件</v>
          </cell>
          <cell r="D1014" t="str">
            <v>车身部件</v>
          </cell>
        </row>
        <row r="1015">
          <cell r="A1015" t="str">
            <v>Y0410024021510</v>
          </cell>
          <cell r="B1015" t="str">
            <v>侧踏板安装支架总成</v>
          </cell>
          <cell r="C1015" t="str">
            <v>件</v>
          </cell>
          <cell r="D1015" t="str">
            <v>车身部件</v>
          </cell>
        </row>
        <row r="1016">
          <cell r="A1016" t="str">
            <v>Y0410024021516</v>
          </cell>
          <cell r="B1016" t="str">
            <v>暖风机支架</v>
          </cell>
          <cell r="C1016" t="str">
            <v>件</v>
          </cell>
          <cell r="D1016" t="str">
            <v>车身部件</v>
          </cell>
        </row>
        <row r="1017">
          <cell r="A1017" t="str">
            <v>Y0410024021517</v>
          </cell>
          <cell r="B1017" t="str">
            <v>前保支架</v>
          </cell>
          <cell r="C1017" t="str">
            <v>件</v>
          </cell>
          <cell r="D1017" t="str">
            <v>车身部件</v>
          </cell>
        </row>
        <row r="1018">
          <cell r="A1018" t="str">
            <v>Y0410024021518</v>
          </cell>
          <cell r="B1018" t="str">
            <v>暖风机支架梁</v>
          </cell>
          <cell r="C1018" t="str">
            <v>件</v>
          </cell>
          <cell r="D1018" t="str">
            <v>车身部件</v>
          </cell>
        </row>
        <row r="1019">
          <cell r="A1019" t="str">
            <v>Y0410024021519</v>
          </cell>
          <cell r="B1019" t="str">
            <v>前保支架梁</v>
          </cell>
          <cell r="C1019" t="str">
            <v>件</v>
          </cell>
          <cell r="D1019" t="str">
            <v>车身部件</v>
          </cell>
        </row>
        <row r="1020">
          <cell r="A1020" t="str">
            <v>Y0410024021520</v>
          </cell>
          <cell r="B1020" t="str">
            <v>前立柱</v>
          </cell>
          <cell r="C1020" t="str">
            <v>件</v>
          </cell>
          <cell r="D1020" t="str">
            <v>车身部件</v>
          </cell>
        </row>
        <row r="1021">
          <cell r="A1021" t="str">
            <v>Y0410024021511</v>
          </cell>
          <cell r="B1021" t="str">
            <v>仪表台上横梁板（S款）</v>
          </cell>
          <cell r="C1021" t="str">
            <v>件</v>
          </cell>
          <cell r="D1021" t="str">
            <v>车身部件</v>
          </cell>
        </row>
        <row r="1022">
          <cell r="A1022" t="str">
            <v>Y0410024021512</v>
          </cell>
          <cell r="B1022" t="str">
            <v>转向管柱支架左（S款）</v>
          </cell>
          <cell r="C1022" t="str">
            <v>件</v>
          </cell>
          <cell r="D1022" t="str">
            <v>车身部件</v>
          </cell>
        </row>
        <row r="1023">
          <cell r="A1023" t="str">
            <v>Y0410024021513</v>
          </cell>
          <cell r="B1023" t="str">
            <v>转向管柱支架右（S款）</v>
          </cell>
          <cell r="C1023" t="str">
            <v>件</v>
          </cell>
          <cell r="D1023" t="str">
            <v>车身部件</v>
          </cell>
        </row>
        <row r="1024">
          <cell r="A1024" t="str">
            <v>Y0410024021514</v>
          </cell>
          <cell r="B1024" t="str">
            <v>转向管柱支架连接板</v>
          </cell>
          <cell r="C1024" t="str">
            <v>件</v>
          </cell>
          <cell r="D1024" t="str">
            <v>车身部件</v>
          </cell>
        </row>
        <row r="1025">
          <cell r="A1025" t="str">
            <v>Y0410024021515</v>
          </cell>
          <cell r="B1025" t="str">
            <v>气弹簧支架梁焊接总成</v>
          </cell>
          <cell r="C1025" t="str">
            <v>件</v>
          </cell>
          <cell r="D1025" t="str">
            <v>车身部件</v>
          </cell>
        </row>
        <row r="1026">
          <cell r="A1026" t="str">
            <v>Y0410024021523</v>
          </cell>
          <cell r="B1026" t="str">
            <v>氛围灯安装板</v>
          </cell>
          <cell r="C1026" t="str">
            <v>件</v>
          </cell>
          <cell r="D1026" t="str">
            <v>车身部件</v>
          </cell>
        </row>
        <row r="1027">
          <cell r="A1027" t="str">
            <v>Y0410024021557</v>
          </cell>
          <cell r="B1027" t="str">
            <v>加强板</v>
          </cell>
          <cell r="C1027" t="str">
            <v>件</v>
          </cell>
          <cell r="D1027" t="str">
            <v>车身部件</v>
          </cell>
        </row>
        <row r="1028">
          <cell r="A1028" t="str">
            <v>Y0410024021560</v>
          </cell>
          <cell r="B1028" t="str">
            <v>氛围灯模块支架</v>
          </cell>
          <cell r="C1028" t="str">
            <v>件</v>
          </cell>
          <cell r="D1028" t="str">
            <v>车身部件</v>
          </cell>
        </row>
        <row r="1029">
          <cell r="A1029" t="str">
            <v>Y0410024021512</v>
          </cell>
          <cell r="B1029" t="str">
            <v>转向管柱支架（S款）</v>
          </cell>
          <cell r="C1029" t="str">
            <v>件</v>
          </cell>
          <cell r="D1029" t="str">
            <v>车身部件</v>
          </cell>
        </row>
        <row r="1030">
          <cell r="A1030" t="str">
            <v>Y0410024021410</v>
          </cell>
          <cell r="B1030" t="str">
            <v>制动总泵支架</v>
          </cell>
          <cell r="C1030" t="str">
            <v>件</v>
          </cell>
          <cell r="D1030" t="str">
            <v>车身部件</v>
          </cell>
        </row>
        <row r="1031">
          <cell r="A1031" t="str">
            <v>Y0410024021521</v>
          </cell>
          <cell r="B1031" t="str">
            <v>暖风机支架一</v>
          </cell>
          <cell r="C1031" t="str">
            <v>件</v>
          </cell>
          <cell r="D1031" t="str">
            <v>车身部件</v>
          </cell>
        </row>
        <row r="1032">
          <cell r="A1032" t="str">
            <v>Y0410024021522</v>
          </cell>
          <cell r="B1032" t="str">
            <v>暖风机支架二</v>
          </cell>
          <cell r="C1032" t="str">
            <v>件</v>
          </cell>
          <cell r="D1032" t="str">
            <v>车身部件</v>
          </cell>
        </row>
        <row r="1033">
          <cell r="A1033" t="str">
            <v>WL-GEF-089</v>
          </cell>
          <cell r="B1033" t="str">
            <v>后立柱焊接工装</v>
          </cell>
          <cell r="C1033" t="str">
            <v>件</v>
          </cell>
          <cell r="D1033" t="str">
            <v>焊接夹具</v>
          </cell>
        </row>
        <row r="1034">
          <cell r="A1034" t="str">
            <v>WL-GEF-093</v>
          </cell>
          <cell r="B1034" t="str">
            <v>尾部焊接总成工装</v>
          </cell>
          <cell r="C1034" t="str">
            <v>件</v>
          </cell>
          <cell r="D1034" t="str">
            <v>焊接夹具</v>
          </cell>
        </row>
        <row r="1035">
          <cell r="A1035" t="str">
            <v>WL-GEF-094</v>
          </cell>
          <cell r="B1035" t="str">
            <v>座椅支架焊接总成</v>
          </cell>
          <cell r="C1035" t="str">
            <v>件</v>
          </cell>
          <cell r="D1035" t="str">
            <v>焊接夹具</v>
          </cell>
        </row>
        <row r="1036">
          <cell r="A1036" t="str">
            <v>WL-GEF-091</v>
          </cell>
          <cell r="B1036" t="str">
            <v>后稳定杆支架焊接工装（球车）</v>
          </cell>
          <cell r="C1036" t="str">
            <v>件</v>
          </cell>
          <cell r="D1036" t="str">
            <v>焊接夹具</v>
          </cell>
        </row>
        <row r="1037">
          <cell r="A1037" t="str">
            <v>WL-GEF-092</v>
          </cell>
          <cell r="B1037" t="str">
            <v>后稳定杆支架焊接工装（球车）</v>
          </cell>
          <cell r="C1037" t="str">
            <v>件</v>
          </cell>
          <cell r="D1037" t="str">
            <v>焊接夹具</v>
          </cell>
        </row>
        <row r="1038">
          <cell r="A1038" t="str">
            <v>WL-GEF-082</v>
          </cell>
          <cell r="B1038" t="str">
            <v>电控支架焊接工装</v>
          </cell>
          <cell r="C1038" t="str">
            <v>件</v>
          </cell>
          <cell r="D1038" t="str">
            <v>焊接夹具</v>
          </cell>
        </row>
        <row r="1039">
          <cell r="A1039" t="str">
            <v>F00610020009</v>
          </cell>
          <cell r="B1039" t="str">
            <v>HOOF-80精英版</v>
          </cell>
          <cell r="C1039" t="str">
            <v>件</v>
          </cell>
          <cell r="D1039" t="str">
            <v>UTV</v>
          </cell>
        </row>
        <row r="1040">
          <cell r="A1040" t="str">
            <v>F00610020010</v>
          </cell>
          <cell r="B1040" t="str">
            <v>HOOF-80精英版</v>
          </cell>
          <cell r="C1040" t="str">
            <v>件</v>
          </cell>
          <cell r="D1040" t="str">
            <v>UTV</v>
          </cell>
        </row>
        <row r="1041">
          <cell r="A1041" t="str">
            <v>F0102081002</v>
          </cell>
          <cell r="B1041" t="str">
            <v>车架总成/双横臂打猎车/4座S款</v>
          </cell>
          <cell r="C1041" t="str">
            <v>件</v>
          </cell>
          <cell r="D1041" t="str">
            <v>车架</v>
          </cell>
        </row>
        <row r="1042">
          <cell r="A1042" t="str">
            <v>F0102089002</v>
          </cell>
          <cell r="B1042" t="str">
            <v>车架总成/双横臂打猎车/V2-4S款</v>
          </cell>
          <cell r="C1042" t="str">
            <v>件</v>
          </cell>
          <cell r="D1042" t="str">
            <v>车架</v>
          </cell>
        </row>
        <row r="1043">
          <cell r="A1043" t="str">
            <v>F0102090001</v>
          </cell>
          <cell r="B1043" t="str">
            <v>车架总成/双横臂球车/V2-4J款</v>
          </cell>
          <cell r="C1043" t="str">
            <v>件</v>
          </cell>
          <cell r="D1043" t="str">
            <v>车架</v>
          </cell>
        </row>
        <row r="1044">
          <cell r="A1044" t="str">
            <v>F0102089001</v>
          </cell>
          <cell r="B1044" t="str">
            <v>车架总成/双横臂球车/V2-4S款</v>
          </cell>
          <cell r="C1044" t="str">
            <v>件</v>
          </cell>
          <cell r="D1044" t="str">
            <v>车架</v>
          </cell>
        </row>
        <row r="1045">
          <cell r="A1045" t="str">
            <v>F0102090002</v>
          </cell>
          <cell r="B1045" t="str">
            <v>车架总成/双横臂打猎车/V2-4J款</v>
          </cell>
          <cell r="C1045" t="str">
            <v>件</v>
          </cell>
          <cell r="D1045" t="str">
            <v>车架</v>
          </cell>
        </row>
        <row r="1046">
          <cell r="A1046" t="str">
            <v>F0103014350</v>
          </cell>
          <cell r="B1046" t="str">
            <v>豪华靠背</v>
          </cell>
          <cell r="C1046" t="str">
            <v>件</v>
          </cell>
          <cell r="D1046" t="str">
            <v>座椅套装</v>
          </cell>
        </row>
        <row r="1047">
          <cell r="A1047" t="str">
            <v>F0103014351</v>
          </cell>
          <cell r="B1047" t="str">
            <v>豪华靠背</v>
          </cell>
          <cell r="C1047" t="str">
            <v>件</v>
          </cell>
          <cell r="D1047" t="str">
            <v>座椅套装</v>
          </cell>
        </row>
        <row r="1048">
          <cell r="A1048" t="str">
            <v>F0103014352</v>
          </cell>
          <cell r="B1048" t="str">
            <v>豪华座椅垫</v>
          </cell>
          <cell r="C1048" t="str">
            <v>件</v>
          </cell>
          <cell r="D1048" t="str">
            <v>座椅套装</v>
          </cell>
        </row>
        <row r="1049">
          <cell r="A1049" t="str">
            <v>F0103014353</v>
          </cell>
          <cell r="B1049" t="str">
            <v>豪华中桶座椅垫</v>
          </cell>
          <cell r="C1049" t="str">
            <v>件</v>
          </cell>
          <cell r="D1049" t="str">
            <v>座椅套装</v>
          </cell>
        </row>
        <row r="1050">
          <cell r="A1050" t="str">
            <v>F0103014354</v>
          </cell>
          <cell r="B1050" t="str">
            <v>豪华翻转座椅垫</v>
          </cell>
          <cell r="C1050" t="str">
            <v>件</v>
          </cell>
          <cell r="D1050" t="str">
            <v>座椅套装</v>
          </cell>
        </row>
        <row r="1051">
          <cell r="A1051" t="str">
            <v>F0103014347</v>
          </cell>
          <cell r="B1051" t="str">
            <v>椅背</v>
          </cell>
          <cell r="C1051" t="str">
            <v>件</v>
          </cell>
          <cell r="D1051" t="str">
            <v>座椅套装</v>
          </cell>
        </row>
        <row r="1052">
          <cell r="A1052" t="str">
            <v>F0103014348</v>
          </cell>
          <cell r="B1052" t="str">
            <v>中桶座椅垫</v>
          </cell>
          <cell r="C1052" t="str">
            <v>件</v>
          </cell>
          <cell r="D1052" t="str">
            <v>座椅套装</v>
          </cell>
        </row>
        <row r="1053">
          <cell r="A1053" t="str">
            <v>F0103014349</v>
          </cell>
          <cell r="B1053" t="str">
            <v>后座椅垫</v>
          </cell>
          <cell r="C1053" t="str">
            <v>件</v>
          </cell>
          <cell r="D1053" t="str">
            <v>座椅套装</v>
          </cell>
        </row>
        <row r="1054">
          <cell r="A1054" t="str">
            <v>F0304001563</v>
          </cell>
          <cell r="B1054" t="str">
            <v>四座高尔夫车锂线束，型号 V2-4S</v>
          </cell>
          <cell r="C1054" t="str">
            <v>件</v>
          </cell>
          <cell r="D1054" t="str">
            <v>线束</v>
          </cell>
        </row>
        <row r="1055">
          <cell r="A1055" t="str">
            <v>F0304001566</v>
          </cell>
          <cell r="B1055" t="str">
            <v>四座高尔夫车锂线束，型号 WH204EASZ</v>
          </cell>
          <cell r="C1055" t="str">
            <v>件</v>
          </cell>
          <cell r="D1055" t="str">
            <v>线束</v>
          </cell>
        </row>
        <row r="1056">
          <cell r="A1056" t="str">
            <v>F0304001567</v>
          </cell>
          <cell r="B1056" t="str">
            <v>四座高尔夫车锂线束，型号 V2-4J</v>
          </cell>
          <cell r="C1056" t="str">
            <v>件</v>
          </cell>
          <cell r="D1056" t="str">
            <v>线束</v>
          </cell>
        </row>
        <row r="1057">
          <cell r="A1057" t="str">
            <v>F0304016016</v>
          </cell>
          <cell r="B1057" t="str">
            <v>保险丝盒 / 10通道 / 带闪光器和继电器</v>
          </cell>
          <cell r="C1057" t="str">
            <v>件</v>
          </cell>
          <cell r="D1057" t="str">
            <v>继电器（电子闪光器）</v>
          </cell>
        </row>
        <row r="1058">
          <cell r="A1058" t="str">
            <v>Y021604835</v>
          </cell>
          <cell r="B1058" t="str">
            <v>防护镜片</v>
          </cell>
          <cell r="C1058" t="str">
            <v>件</v>
          </cell>
          <cell r="D1058" t="str">
            <v>激光机辅材</v>
          </cell>
        </row>
        <row r="1059">
          <cell r="A1059" t="str">
            <v>Y021604836</v>
          </cell>
          <cell r="B1059" t="str">
            <v>J16 三维单层M8(OSPRI)</v>
          </cell>
          <cell r="C1059" t="str">
            <v>件</v>
          </cell>
          <cell r="D1059" t="str">
            <v>激光机辅材</v>
          </cell>
        </row>
        <row r="1060">
          <cell r="A1060" t="str">
            <v>Y021604837</v>
          </cell>
          <cell r="B1060" t="str">
            <v>陶瓷环</v>
          </cell>
          <cell r="C1060" t="str">
            <v>件</v>
          </cell>
          <cell r="D1060" t="str">
            <v>激光机辅材</v>
          </cell>
        </row>
        <row r="1061">
          <cell r="A1061" t="str">
            <v>Y0301011076</v>
          </cell>
          <cell r="B1061" t="str">
            <v>法兰螺母</v>
          </cell>
          <cell r="C1061" t="str">
            <v>件</v>
          </cell>
          <cell r="D1061" t="str">
            <v>紧固件</v>
          </cell>
        </row>
        <row r="1062">
          <cell r="A1062" t="str">
            <v>Y0301035007</v>
          </cell>
          <cell r="B1062" t="str">
            <v>六角法兰螺母（5个）</v>
          </cell>
          <cell r="C1062" t="str">
            <v>件</v>
          </cell>
          <cell r="D1062" t="str">
            <v>紧固件</v>
          </cell>
        </row>
        <row r="1063">
          <cell r="A1063" t="str">
            <v>F2101061027</v>
          </cell>
          <cell r="B1063" t="str">
            <v>六角法兰螺母</v>
          </cell>
          <cell r="C1063" t="str">
            <v>件</v>
          </cell>
          <cell r="D1063" t="str">
            <v>紧固件</v>
          </cell>
        </row>
        <row r="1064">
          <cell r="A1064" t="str">
            <v>F0103035097</v>
          </cell>
          <cell r="B1064" t="str">
            <v>电池框檄胶板</v>
          </cell>
          <cell r="C1064" t="str">
            <v>件</v>
          </cell>
          <cell r="D1064" t="str">
            <v>塑料件</v>
          </cell>
        </row>
        <row r="1065">
          <cell r="A1065" t="str">
            <v>F0102089088</v>
          </cell>
          <cell r="B1065" t="str">
            <v>铁制前保险杠</v>
          </cell>
          <cell r="C1065" t="str">
            <v>件</v>
          </cell>
          <cell r="D1065" t="str">
            <v>车身部件（支架等）</v>
          </cell>
        </row>
        <row r="1066">
          <cell r="A1066" t="str">
            <v>F0102089094</v>
          </cell>
          <cell r="B1066" t="str">
            <v>顶棚前支架</v>
          </cell>
          <cell r="C1066" t="str">
            <v>件</v>
          </cell>
          <cell r="D1066" t="str">
            <v>车身部件（支架等）</v>
          </cell>
        </row>
        <row r="1067">
          <cell r="A1067" t="str">
            <v>F0102080006</v>
          </cell>
          <cell r="B1067" t="str">
            <v>顶棚后支架 左</v>
          </cell>
          <cell r="C1067" t="str">
            <v>件</v>
          </cell>
          <cell r="D1067" t="str">
            <v>车身部件（支架等）</v>
          </cell>
        </row>
        <row r="1068">
          <cell r="A1068" t="str">
            <v>F0102080007</v>
          </cell>
          <cell r="B1068" t="str">
            <v>顶棚后支架 右</v>
          </cell>
          <cell r="C1068" t="str">
            <v>件</v>
          </cell>
          <cell r="D1068" t="str">
            <v>车身部件（支架等）</v>
          </cell>
        </row>
        <row r="1069">
          <cell r="A1069" t="str">
            <v>F0102089078</v>
          </cell>
          <cell r="B1069" t="str">
            <v>左后立柱</v>
          </cell>
          <cell r="C1069" t="str">
            <v>件</v>
          </cell>
          <cell r="D1069" t="str">
            <v>车身部件（支架等）</v>
          </cell>
        </row>
        <row r="1070">
          <cell r="A1070" t="str">
            <v>F0102089079</v>
          </cell>
          <cell r="B1070" t="str">
            <v>右后立柱</v>
          </cell>
          <cell r="C1070" t="str">
            <v>件</v>
          </cell>
          <cell r="D1070" t="str">
            <v>车身部件（支架等）</v>
          </cell>
        </row>
        <row r="1071">
          <cell r="A1071" t="str">
            <v>F0103020034</v>
          </cell>
          <cell r="B1071" t="str">
            <v>左前挡泥板/S款打猎车</v>
          </cell>
          <cell r="C1071" t="str">
            <v>件</v>
          </cell>
          <cell r="D1071" t="str">
            <v>塑料件</v>
          </cell>
        </row>
        <row r="1072">
          <cell r="A1072" t="str">
            <v>F0103020035</v>
          </cell>
          <cell r="B1072" t="str">
            <v>右前挡泥板/S款打猎车</v>
          </cell>
          <cell r="C1072" t="str">
            <v>件</v>
          </cell>
          <cell r="D1072" t="str">
            <v>塑料件</v>
          </cell>
        </row>
        <row r="1073">
          <cell r="A1073" t="str">
            <v>F0102079018</v>
          </cell>
          <cell r="B1073" t="str">
            <v>后保反光板 左</v>
          </cell>
          <cell r="C1073" t="str">
            <v>件</v>
          </cell>
          <cell r="D1073" t="str">
            <v>塑料件</v>
          </cell>
        </row>
        <row r="1074">
          <cell r="A1074" t="str">
            <v>F0102079019</v>
          </cell>
          <cell r="B1074" t="str">
            <v>后保反光板 右</v>
          </cell>
          <cell r="C1074" t="str">
            <v>件</v>
          </cell>
          <cell r="D1074" t="str">
            <v>塑料件</v>
          </cell>
        </row>
        <row r="1075">
          <cell r="A1075" t="str">
            <v>F0102079020</v>
          </cell>
          <cell r="B1075" t="str">
            <v>后保 中装饰件</v>
          </cell>
          <cell r="C1075" t="str">
            <v>件</v>
          </cell>
          <cell r="D1075" t="str">
            <v>车身部件</v>
          </cell>
        </row>
        <row r="1076">
          <cell r="A1076" t="str">
            <v>F0102089049</v>
          </cell>
          <cell r="B1076" t="str">
            <v>坐垫底板</v>
          </cell>
          <cell r="C1076" t="str">
            <v>件</v>
          </cell>
          <cell r="D1076" t="str">
            <v>车身部件</v>
          </cell>
        </row>
        <row r="1077">
          <cell r="A1077" t="str">
            <v>F0102079016</v>
          </cell>
          <cell r="B1077" t="str">
            <v>尾灯安装座 左</v>
          </cell>
          <cell r="C1077" t="str">
            <v>件</v>
          </cell>
          <cell r="D1077" t="str">
            <v>车身部件</v>
          </cell>
        </row>
        <row r="1078">
          <cell r="A1078" t="str">
            <v>F0102079017</v>
          </cell>
          <cell r="B1078" t="str">
            <v>尾灯安装座 右</v>
          </cell>
          <cell r="C1078" t="str">
            <v>件</v>
          </cell>
          <cell r="D1078" t="str">
            <v>车身部件</v>
          </cell>
        </row>
        <row r="1079">
          <cell r="A1079" t="str">
            <v>F0102079003</v>
          </cell>
          <cell r="B1079" t="str">
            <v>后罩</v>
          </cell>
          <cell r="C1079" t="str">
            <v>件</v>
          </cell>
          <cell r="D1079" t="str">
            <v>塑料件</v>
          </cell>
        </row>
        <row r="1080">
          <cell r="A1080" t="str">
            <v>F0102079004</v>
          </cell>
          <cell r="B1080" t="str">
            <v>左后轮眉</v>
          </cell>
          <cell r="C1080" t="str">
            <v>件</v>
          </cell>
          <cell r="D1080" t="str">
            <v>塑料件</v>
          </cell>
        </row>
        <row r="1081">
          <cell r="A1081" t="str">
            <v>F0102079005</v>
          </cell>
          <cell r="B1081" t="str">
            <v>右后轮眉</v>
          </cell>
          <cell r="C1081" t="str">
            <v>件</v>
          </cell>
          <cell r="D1081" t="str">
            <v>塑料件</v>
          </cell>
        </row>
        <row r="1082">
          <cell r="A1082" t="str">
            <v>F0102079006</v>
          </cell>
          <cell r="B1082" t="str">
            <v>电控检修盖</v>
          </cell>
          <cell r="C1082" t="str">
            <v>件</v>
          </cell>
          <cell r="D1082" t="str">
            <v>塑料件</v>
          </cell>
        </row>
        <row r="1083">
          <cell r="A1083" t="str">
            <v>F0102079007</v>
          </cell>
          <cell r="B1083" t="str">
            <v>后保险杠</v>
          </cell>
          <cell r="C1083" t="str">
            <v>件</v>
          </cell>
          <cell r="D1083" t="str">
            <v>车身部件</v>
          </cell>
        </row>
        <row r="1084">
          <cell r="A1084" t="str">
            <v>F0102089048</v>
          </cell>
          <cell r="B1084" t="str">
            <v>中座桶装饰盖</v>
          </cell>
          <cell r="C1084" t="str">
            <v>件</v>
          </cell>
          <cell r="D1084" t="str">
            <v>塑料件</v>
          </cell>
        </row>
        <row r="1085">
          <cell r="A1085" t="str">
            <v>F0102089063</v>
          </cell>
          <cell r="B1085" t="str">
            <v>靠背内衬版</v>
          </cell>
          <cell r="C1085" t="str">
            <v>件</v>
          </cell>
          <cell r="D1085" t="str">
            <v>车身部件</v>
          </cell>
        </row>
        <row r="1086">
          <cell r="A1086" t="str">
            <v>F0102089064</v>
          </cell>
          <cell r="B1086" t="str">
            <v>前靠背外饰板</v>
          </cell>
          <cell r="C1086" t="str">
            <v>件</v>
          </cell>
          <cell r="D1086" t="str">
            <v>塑料件</v>
          </cell>
        </row>
        <row r="1087">
          <cell r="A1087" t="str">
            <v>F0102089065</v>
          </cell>
          <cell r="B1087" t="str">
            <v>靠背杯托支架</v>
          </cell>
          <cell r="C1087" t="str">
            <v>件</v>
          </cell>
          <cell r="D1087" t="str">
            <v>车身部件</v>
          </cell>
        </row>
        <row r="1088">
          <cell r="A1088" t="str">
            <v>F0102089066</v>
          </cell>
          <cell r="B1088" t="str">
            <v>靠背杯托</v>
          </cell>
          <cell r="C1088" t="str">
            <v>件</v>
          </cell>
          <cell r="D1088" t="str">
            <v>车身部件</v>
          </cell>
        </row>
        <row r="1089">
          <cell r="A1089" t="str">
            <v>F0102089067</v>
          </cell>
          <cell r="B1089" t="str">
            <v>网兜总成</v>
          </cell>
          <cell r="C1089" t="str">
            <v>件</v>
          </cell>
          <cell r="D1089" t="str">
            <v>车身部件</v>
          </cell>
        </row>
        <row r="1090">
          <cell r="A1090" t="str">
            <v>F0103025020</v>
          </cell>
          <cell r="B1090" t="str">
            <v>前靠背拉手</v>
          </cell>
          <cell r="C1090" t="str">
            <v>件</v>
          </cell>
          <cell r="D1090" t="str">
            <v>车身部件</v>
          </cell>
        </row>
        <row r="1091">
          <cell r="A1091" t="str">
            <v>F0102089068</v>
          </cell>
          <cell r="B1091" t="str">
            <v>后排靠背外饰板</v>
          </cell>
          <cell r="C1091" t="str">
            <v>件</v>
          </cell>
          <cell r="D1091" t="str">
            <v>车身部件</v>
          </cell>
        </row>
        <row r="1092">
          <cell r="A1092" t="str">
            <v>F0102089069</v>
          </cell>
          <cell r="B1092" t="str">
            <v>后排靠背检修盖</v>
          </cell>
          <cell r="C1092" t="str">
            <v>件</v>
          </cell>
          <cell r="D1092" t="str">
            <v>车身部件</v>
          </cell>
        </row>
        <row r="1093">
          <cell r="A1093" t="str">
            <v>F0102089061</v>
          </cell>
          <cell r="B1093" t="str">
            <v>后立柱护套 左</v>
          </cell>
          <cell r="C1093" t="str">
            <v>件</v>
          </cell>
          <cell r="D1093" t="str">
            <v>车身部件</v>
          </cell>
        </row>
        <row r="1094">
          <cell r="A1094" t="str">
            <v>F0102089062</v>
          </cell>
          <cell r="B1094" t="str">
            <v>后立柱护套 右</v>
          </cell>
          <cell r="C1094" t="str">
            <v>件</v>
          </cell>
          <cell r="D1094" t="str">
            <v>车身部件</v>
          </cell>
        </row>
        <row r="1095">
          <cell r="A1095" t="str">
            <v>F0102089051</v>
          </cell>
          <cell r="B1095" t="str">
            <v>左后挡泥板</v>
          </cell>
          <cell r="C1095" t="str">
            <v>件</v>
          </cell>
          <cell r="D1095" t="str">
            <v>塑料件</v>
          </cell>
        </row>
        <row r="1096">
          <cell r="A1096" t="str">
            <v>F0102089052</v>
          </cell>
          <cell r="B1096" t="str">
            <v>右后挡泥板</v>
          </cell>
          <cell r="C1096" t="str">
            <v>件</v>
          </cell>
          <cell r="D1096" t="str">
            <v>塑料件</v>
          </cell>
        </row>
        <row r="1097">
          <cell r="A1097" t="str">
            <v>F0103064019</v>
          </cell>
          <cell r="B1097" t="str">
            <v>卡扣</v>
          </cell>
          <cell r="C1097" t="str">
            <v>只</v>
          </cell>
          <cell r="D1097" t="str">
            <v>塑料件</v>
          </cell>
        </row>
        <row r="1098">
          <cell r="A1098" t="str">
            <v>F0102089045</v>
          </cell>
          <cell r="B1098" t="str">
            <v>左后侧护板</v>
          </cell>
          <cell r="C1098" t="str">
            <v>件</v>
          </cell>
          <cell r="D1098" t="str">
            <v>塑料件</v>
          </cell>
        </row>
        <row r="1099">
          <cell r="A1099" t="str">
            <v>F0102089046</v>
          </cell>
          <cell r="B1099" t="str">
            <v>右后侧护板</v>
          </cell>
          <cell r="C1099" t="str">
            <v>件</v>
          </cell>
          <cell r="D1099" t="str">
            <v>塑料件</v>
          </cell>
        </row>
        <row r="1100">
          <cell r="A1100" t="str">
            <v>F0102089056</v>
          </cell>
          <cell r="B1100" t="str">
            <v>后保反光板 左</v>
          </cell>
          <cell r="C1100" t="str">
            <v>件</v>
          </cell>
          <cell r="D1100" t="str">
            <v>塑料件</v>
          </cell>
        </row>
        <row r="1101">
          <cell r="A1101" t="str">
            <v>F0102089057</v>
          </cell>
          <cell r="B1101" t="str">
            <v>后保反光板 右</v>
          </cell>
          <cell r="C1101" t="str">
            <v>件</v>
          </cell>
          <cell r="D1101" t="str">
            <v>塑料件</v>
          </cell>
        </row>
        <row r="1102">
          <cell r="A1102" t="str">
            <v>F0102089058</v>
          </cell>
          <cell r="B1102" t="str">
            <v>尾灯安装座 左</v>
          </cell>
          <cell r="C1102" t="str">
            <v>件</v>
          </cell>
          <cell r="D1102" t="str">
            <v>车身部件</v>
          </cell>
        </row>
        <row r="1103">
          <cell r="A1103" t="str">
            <v>F0102089059</v>
          </cell>
          <cell r="B1103" t="str">
            <v>尾灯安装座 右</v>
          </cell>
          <cell r="C1103" t="str">
            <v>件</v>
          </cell>
          <cell r="D1103" t="str">
            <v>车身部件</v>
          </cell>
        </row>
        <row r="1104">
          <cell r="A1104" t="str">
            <v>F2101177003</v>
          </cell>
          <cell r="B1104" t="str">
            <v>梅花手旋螺丝</v>
          </cell>
          <cell r="C1104" t="str">
            <v>件</v>
          </cell>
          <cell r="D1104" t="str">
            <v>紧固件</v>
          </cell>
        </row>
        <row r="1105">
          <cell r="A1105" t="str">
            <v>F0102089050</v>
          </cell>
          <cell r="B1105" t="str">
            <v>后罩</v>
          </cell>
          <cell r="C1105" t="str">
            <v>件</v>
          </cell>
          <cell r="D1105" t="str">
            <v>塑料件</v>
          </cell>
        </row>
        <row r="1106">
          <cell r="A1106" t="str">
            <v>F0102089047</v>
          </cell>
          <cell r="B1106" t="str">
            <v>中座桶</v>
          </cell>
          <cell r="C1106" t="str">
            <v>件</v>
          </cell>
          <cell r="D1106" t="str">
            <v>塑料件</v>
          </cell>
        </row>
        <row r="1107">
          <cell r="A1107" t="str">
            <v>F0102089053</v>
          </cell>
          <cell r="B1107" t="str">
            <v>左后轮眉</v>
          </cell>
          <cell r="C1107" t="str">
            <v>件</v>
          </cell>
          <cell r="D1107" t="str">
            <v>塑料件</v>
          </cell>
        </row>
        <row r="1108">
          <cell r="A1108" t="str">
            <v>F0102089054</v>
          </cell>
          <cell r="B1108" t="str">
            <v>右后轮眉</v>
          </cell>
          <cell r="C1108" t="str">
            <v>件</v>
          </cell>
          <cell r="D1108" t="str">
            <v>塑料件</v>
          </cell>
        </row>
        <row r="1109">
          <cell r="A1109" t="str">
            <v>F0102089060</v>
          </cell>
          <cell r="B1109" t="str">
            <v>后备箱总成</v>
          </cell>
          <cell r="C1109" t="str">
            <v>件</v>
          </cell>
          <cell r="D1109" t="str">
            <v>车身部件</v>
          </cell>
        </row>
        <row r="1110">
          <cell r="A1110" t="str">
            <v>F0102089055</v>
          </cell>
          <cell r="B1110" t="str">
            <v>后保险杠</v>
          </cell>
          <cell r="C1110" t="str">
            <v>件</v>
          </cell>
          <cell r="D1110" t="str">
            <v>车身部件</v>
          </cell>
        </row>
        <row r="1111">
          <cell r="A1111" t="str">
            <v>F0103035097</v>
          </cell>
          <cell r="B1111" t="str">
            <v>电池框橡胶板</v>
          </cell>
          <cell r="C1111" t="str">
            <v>块</v>
          </cell>
          <cell r="D1111" t="str">
            <v>三元乙丙橡胶</v>
          </cell>
        </row>
        <row r="1112">
          <cell r="A1112" t="str">
            <v>F0204002044</v>
          </cell>
          <cell r="B1112" t="str">
            <v>可调转向轴管</v>
          </cell>
          <cell r="C1112" t="str">
            <v>件</v>
          </cell>
          <cell r="D1112" t="str">
            <v>车身部件</v>
          </cell>
        </row>
        <row r="1113">
          <cell r="A1113" t="str">
            <v>F0103003094</v>
          </cell>
          <cell r="B1113" t="str">
            <v>机盖锁体</v>
          </cell>
          <cell r="C1113" t="str">
            <v>件</v>
          </cell>
          <cell r="D1113" t="str">
            <v>车身部件</v>
          </cell>
        </row>
        <row r="1114">
          <cell r="A1114" t="str">
            <v>F0103003095</v>
          </cell>
          <cell r="B1114" t="str">
            <v>机盖锁扣</v>
          </cell>
          <cell r="C1114" t="str">
            <v>件</v>
          </cell>
          <cell r="D1114" t="str">
            <v>车身部件</v>
          </cell>
        </row>
        <row r="1115">
          <cell r="A1115" t="str">
            <v>F0103021027</v>
          </cell>
          <cell r="B1115" t="str">
            <v>气弹簧</v>
          </cell>
          <cell r="C1115" t="str">
            <v>根</v>
          </cell>
          <cell r="D1115" t="str">
            <v>车身部件</v>
          </cell>
        </row>
        <row r="1116">
          <cell r="A1116" t="str">
            <v>F0102089024</v>
          </cell>
          <cell r="B1116" t="str">
            <v>前立柱护套左</v>
          </cell>
          <cell r="C1116" t="str">
            <v>件</v>
          </cell>
          <cell r="D1116" t="str">
            <v>三元乙丙橡胶</v>
          </cell>
        </row>
        <row r="1117">
          <cell r="A1117" t="str">
            <v>F0102089025</v>
          </cell>
          <cell r="B1117" t="str">
            <v>前立柱护套右</v>
          </cell>
          <cell r="C1117" t="str">
            <v>件</v>
          </cell>
          <cell r="D1117" t="str">
            <v>三元乙丙橡胶</v>
          </cell>
        </row>
        <row r="1118">
          <cell r="A1118" t="str">
            <v>F0103035102</v>
          </cell>
          <cell r="B1118" t="str">
            <v>导风片阻尼胶套</v>
          </cell>
          <cell r="C1118" t="str">
            <v>件</v>
          </cell>
          <cell r="D1118" t="str">
            <v>三元乙丙橡胶</v>
          </cell>
        </row>
        <row r="1119">
          <cell r="A1119" t="str">
            <v>F0199002147</v>
          </cell>
          <cell r="B1119" t="str">
            <v>方向盘Logo</v>
          </cell>
          <cell r="C1119" t="str">
            <v>件</v>
          </cell>
          <cell r="D1119" t="str">
            <v>车身部件</v>
          </cell>
        </row>
        <row r="1120">
          <cell r="A1120" t="str">
            <v>F0199002148</v>
          </cell>
          <cell r="B1120" t="str">
            <v>SIVO字母标</v>
          </cell>
          <cell r="C1120" t="str">
            <v>件</v>
          </cell>
          <cell r="D1120" t="str">
            <v>塑料件</v>
          </cell>
        </row>
        <row r="1121">
          <cell r="A1121" t="str">
            <v>F0199002149</v>
          </cell>
          <cell r="B1121" t="str">
            <v>SIVO字母标</v>
          </cell>
          <cell r="C1121" t="str">
            <v>件</v>
          </cell>
          <cell r="D1121" t="str">
            <v>塑料件</v>
          </cell>
        </row>
        <row r="1122">
          <cell r="A1122" t="str">
            <v>F0199002150</v>
          </cell>
          <cell r="B1122" t="str">
            <v>EDGE字母标</v>
          </cell>
          <cell r="C1122" t="str">
            <v>件</v>
          </cell>
          <cell r="D1122" t="str">
            <v>塑料件</v>
          </cell>
        </row>
        <row r="1123">
          <cell r="A1123" t="str">
            <v>F0199002151</v>
          </cell>
          <cell r="B1123" t="str">
            <v>EDGE字母标</v>
          </cell>
          <cell r="C1123" t="str">
            <v>件</v>
          </cell>
          <cell r="D1123" t="str">
            <v>塑料件</v>
          </cell>
        </row>
        <row r="1124">
          <cell r="A1124" t="str">
            <v>F0199003266</v>
          </cell>
          <cell r="B1124" t="str">
            <v>充电指示灯贴纸</v>
          </cell>
          <cell r="C1124" t="str">
            <v>张</v>
          </cell>
          <cell r="D1124" t="str">
            <v>塑料件</v>
          </cell>
        </row>
        <row r="1125">
          <cell r="A1125" t="str">
            <v>F0103012150</v>
          </cell>
          <cell r="B1125" t="str">
            <v>后备箱胶条</v>
          </cell>
          <cell r="C1125" t="str">
            <v>根</v>
          </cell>
          <cell r="D1125" t="str">
            <v>三元乙丙橡胶</v>
          </cell>
        </row>
        <row r="1126">
          <cell r="A1126" t="str">
            <v>Y0214003011</v>
          </cell>
          <cell r="B1126" t="str">
            <v>尼龙扎带（5*350）</v>
          </cell>
          <cell r="C1126" t="str">
            <v>袋</v>
          </cell>
          <cell r="D1126" t="str">
            <v>塑料件</v>
          </cell>
        </row>
        <row r="1127">
          <cell r="A1127" t="str">
            <v>F0199002036</v>
          </cell>
          <cell r="B1127" t="str">
            <v>铝牌</v>
          </cell>
          <cell r="C1127" t="str">
            <v>件</v>
          </cell>
          <cell r="D1127" t="str">
            <v>塑料件</v>
          </cell>
        </row>
        <row r="1128">
          <cell r="A1128" t="str">
            <v>F0308001065</v>
          </cell>
          <cell r="B1128" t="str">
            <v>左前大灯总成</v>
          </cell>
          <cell r="C1128" t="str">
            <v>件</v>
          </cell>
          <cell r="D1128" t="str">
            <v>组合大灯</v>
          </cell>
        </row>
        <row r="1129">
          <cell r="A1129" t="str">
            <v>F0308001066</v>
          </cell>
          <cell r="B1129" t="str">
            <v>右前大灯总成</v>
          </cell>
          <cell r="C1129" t="str">
            <v>件</v>
          </cell>
          <cell r="D1129" t="str">
            <v>组合大灯</v>
          </cell>
        </row>
        <row r="1130">
          <cell r="A1130" t="str">
            <v>F0308007033</v>
          </cell>
          <cell r="B1130" t="str">
            <v>左后尾灯</v>
          </cell>
          <cell r="C1130" t="str">
            <v>件</v>
          </cell>
          <cell r="D1130" t="str">
            <v>组合大灯</v>
          </cell>
        </row>
        <row r="1131">
          <cell r="A1131" t="str">
            <v>F0308007034</v>
          </cell>
          <cell r="B1131" t="str">
            <v>右后尾灯</v>
          </cell>
          <cell r="C1131" t="str">
            <v>件</v>
          </cell>
          <cell r="D1131" t="str">
            <v>组合大灯</v>
          </cell>
        </row>
        <row r="1132">
          <cell r="A1132" t="str">
            <v>F0308009030</v>
          </cell>
          <cell r="B1132" t="str">
            <v>行李仓灯</v>
          </cell>
          <cell r="C1132" t="str">
            <v>件</v>
          </cell>
          <cell r="D1132" t="str">
            <v>组合大灯</v>
          </cell>
        </row>
        <row r="1133">
          <cell r="A1133" t="str">
            <v>F0308009031</v>
          </cell>
          <cell r="B1133" t="str">
            <v>中网LOGO灯</v>
          </cell>
          <cell r="C1133" t="str">
            <v>件</v>
          </cell>
          <cell r="D1133" t="str">
            <v>组合大灯</v>
          </cell>
        </row>
        <row r="1134">
          <cell r="A1134" t="str">
            <v>F0308009032</v>
          </cell>
          <cell r="B1134" t="str">
            <v>仪表台Logo灯</v>
          </cell>
          <cell r="C1134" t="str">
            <v>件</v>
          </cell>
          <cell r="D1134" t="str">
            <v>组合大灯</v>
          </cell>
        </row>
        <row r="1135">
          <cell r="A1135" t="str">
            <v>F0308002013</v>
          </cell>
          <cell r="B1135" t="str">
            <v>前轮眉转向灯 左</v>
          </cell>
          <cell r="C1135" t="str">
            <v>件</v>
          </cell>
          <cell r="D1135" t="str">
            <v>组合大灯</v>
          </cell>
        </row>
        <row r="1136">
          <cell r="A1136" t="str">
            <v>F0308002014</v>
          </cell>
          <cell r="B1136" t="str">
            <v>前轮眉转向灯 右</v>
          </cell>
          <cell r="C1136" t="str">
            <v>件</v>
          </cell>
          <cell r="D1136" t="str">
            <v>组合大灯</v>
          </cell>
        </row>
        <row r="1137">
          <cell r="A1137" t="str">
            <v>F0309004011</v>
          </cell>
          <cell r="B1137" t="str">
            <v>按钮开关（储物盒灯）/含插件/黑色</v>
          </cell>
          <cell r="C1137" t="str">
            <v>件</v>
          </cell>
          <cell r="D1137" t="str">
            <v>车身部件</v>
          </cell>
        </row>
        <row r="1138">
          <cell r="A1138" t="str">
            <v>F0307001046</v>
          </cell>
          <cell r="B1138" t="str">
            <v>10.1寸多功能仪表中控屏/带电池</v>
          </cell>
          <cell r="C1138" t="str">
            <v>件</v>
          </cell>
          <cell r="D1138" t="str">
            <v>车载液晶显示器</v>
          </cell>
        </row>
        <row r="1139">
          <cell r="A1139" t="str">
            <v>F0308035035</v>
          </cell>
          <cell r="B1139" t="str">
            <v>氛围灯控制盒/CAN控</v>
          </cell>
          <cell r="C1139" t="str">
            <v>件</v>
          </cell>
          <cell r="D1139" t="str">
            <v>电控附件，数量价格计入电控</v>
          </cell>
        </row>
        <row r="1140">
          <cell r="A1140" t="str">
            <v>F0308035038</v>
          </cell>
          <cell r="B1140" t="str">
            <v>Y线/350*350mm</v>
          </cell>
          <cell r="C1140" t="str">
            <v>根</v>
          </cell>
          <cell r="D1140" t="str">
            <v>线束</v>
          </cell>
        </row>
        <row r="1141">
          <cell r="A1141" t="str">
            <v>F0308035039</v>
          </cell>
          <cell r="B1141" t="str">
            <v>直连线/600mm</v>
          </cell>
          <cell r="C1141" t="str">
            <v>根</v>
          </cell>
          <cell r="D1141" t="str">
            <v>线束</v>
          </cell>
        </row>
        <row r="1142">
          <cell r="A1142" t="str">
            <v>F0308035040</v>
          </cell>
          <cell r="B1142" t="str">
            <v>直连线/1700mm</v>
          </cell>
          <cell r="C1142" t="str">
            <v>根</v>
          </cell>
          <cell r="D1142" t="str">
            <v>线束</v>
          </cell>
        </row>
        <row r="1143">
          <cell r="A1143" t="str">
            <v>F0309002224</v>
          </cell>
          <cell r="B1143" t="str">
            <v>一键启动系统总成（只配2把遥控钥匙)</v>
          </cell>
          <cell r="C1143" t="str">
            <v>件</v>
          </cell>
          <cell r="D1143" t="str">
            <v>车身部件</v>
          </cell>
        </row>
        <row r="1144">
          <cell r="A1144" t="str">
            <v>F0305007008</v>
          </cell>
          <cell r="B1144" t="str">
            <v>风机调速控制盒/含连接线</v>
          </cell>
          <cell r="C1144" t="str">
            <v>件</v>
          </cell>
          <cell r="D1144" t="str">
            <v>车身部件</v>
          </cell>
        </row>
        <row r="1145">
          <cell r="A1145" t="str">
            <v>F0309004009</v>
          </cell>
          <cell r="B1145" t="str">
            <v>按钮开关（风扇）/含插件/黑色</v>
          </cell>
          <cell r="C1145" t="str">
            <v>件</v>
          </cell>
          <cell r="D1145" t="str">
            <v>车身部件</v>
          </cell>
        </row>
        <row r="1146">
          <cell r="A1146" t="str">
            <v>F0203013005</v>
          </cell>
          <cell r="B1146" t="str">
            <v>不锈钢卡箍/33-57</v>
          </cell>
          <cell r="C1146" t="str">
            <v>件</v>
          </cell>
          <cell r="D1146" t="str">
            <v>车身部件</v>
          </cell>
        </row>
        <row r="1147">
          <cell r="A1147" t="str">
            <v>F0103019026</v>
          </cell>
          <cell r="B1147" t="str">
            <v>PVC三通</v>
          </cell>
          <cell r="C1147" t="str">
            <v>件</v>
          </cell>
          <cell r="D1147" t="str">
            <v>车身部件</v>
          </cell>
        </row>
        <row r="1148">
          <cell r="A1148" t="str">
            <v>F0308035036</v>
          </cell>
          <cell r="B1148" t="str">
            <v>4寸带灯扬声器</v>
          </cell>
          <cell r="C1148" t="str">
            <v>件</v>
          </cell>
          <cell r="D1148" t="str">
            <v>车身部件</v>
          </cell>
        </row>
        <row r="1149">
          <cell r="A1149" t="str">
            <v>F0308035037</v>
          </cell>
          <cell r="B1149" t="str">
            <v>5寸带灯扬声器</v>
          </cell>
          <cell r="C1149" t="str">
            <v>件</v>
          </cell>
          <cell r="D1149" t="str">
            <v>车身部件</v>
          </cell>
        </row>
        <row r="1150">
          <cell r="A1150" t="str">
            <v>F0308035047</v>
          </cell>
          <cell r="B1150" t="str">
            <v>顶棚左侧灯条/2500mm</v>
          </cell>
          <cell r="C1150" t="str">
            <v>根</v>
          </cell>
          <cell r="D1150" t="str">
            <v>组合大灯</v>
          </cell>
        </row>
        <row r="1151">
          <cell r="A1151" t="str">
            <v>F0308035048</v>
          </cell>
          <cell r="B1151" t="str">
            <v>顶棚右侧灯条/2500mm</v>
          </cell>
          <cell r="C1151" t="str">
            <v>根</v>
          </cell>
          <cell r="D1151" t="str">
            <v>组合大灯</v>
          </cell>
        </row>
        <row r="1152">
          <cell r="A1152" t="str">
            <v>F0308035049</v>
          </cell>
          <cell r="B1152" t="str">
            <v>车底左侧前灯条/1150mm</v>
          </cell>
          <cell r="C1152" t="str">
            <v>根</v>
          </cell>
          <cell r="D1152" t="str">
            <v>组合大灯</v>
          </cell>
        </row>
        <row r="1153">
          <cell r="A1153" t="str">
            <v>F0308035050</v>
          </cell>
          <cell r="B1153" t="str">
            <v>车底左侧后灯条/350mm</v>
          </cell>
          <cell r="C1153" t="str">
            <v>根</v>
          </cell>
          <cell r="D1153" t="str">
            <v>组合大灯</v>
          </cell>
        </row>
        <row r="1154">
          <cell r="A1154" t="str">
            <v>F0308035051</v>
          </cell>
          <cell r="B1154" t="str">
            <v>车底右侧前灯条/1150mm</v>
          </cell>
          <cell r="C1154" t="str">
            <v>根</v>
          </cell>
          <cell r="D1154" t="str">
            <v>组合大灯</v>
          </cell>
        </row>
        <row r="1155">
          <cell r="A1155" t="str">
            <v>F0308035052</v>
          </cell>
          <cell r="B1155" t="str">
            <v>车底右侧后灯条/350mm</v>
          </cell>
          <cell r="C1155" t="str">
            <v>根</v>
          </cell>
          <cell r="D1155" t="str">
            <v>组合大灯</v>
          </cell>
        </row>
        <row r="1156">
          <cell r="A1156" t="str">
            <v>F0305021012</v>
          </cell>
          <cell r="B1156" t="str">
            <v>鼓风机</v>
          </cell>
          <cell r="C1156" t="str">
            <v>件</v>
          </cell>
          <cell r="D1156" t="str">
            <v>车身部件</v>
          </cell>
        </row>
        <row r="1157">
          <cell r="A1157" t="str">
            <v>F0103019030</v>
          </cell>
          <cell r="B1157" t="str">
            <v>阻燃PVC暖风波纹管(45*200)</v>
          </cell>
          <cell r="C1157" t="str">
            <v>根</v>
          </cell>
          <cell r="D1157" t="str">
            <v>塑料件</v>
          </cell>
        </row>
        <row r="1158">
          <cell r="A1158" t="str">
            <v>F0103019031</v>
          </cell>
          <cell r="B1158" t="str">
            <v>阻燃PVC暖风波纹管(45*350)</v>
          </cell>
          <cell r="C1158" t="str">
            <v>根</v>
          </cell>
          <cell r="D1158" t="str">
            <v>塑料件</v>
          </cell>
        </row>
        <row r="1159">
          <cell r="A1159" t="str">
            <v>Y0302001061</v>
          </cell>
          <cell r="B1159" t="str">
            <v>阻燃PVC暖风波纹管（45*500）</v>
          </cell>
          <cell r="C1159" t="str">
            <v>根</v>
          </cell>
          <cell r="D1159" t="str">
            <v>塑料件</v>
          </cell>
        </row>
        <row r="1160">
          <cell r="A1160" t="str">
            <v>F2111000221</v>
          </cell>
          <cell r="B1160" t="str">
            <v>4+2座标准件</v>
          </cell>
          <cell r="C1160" t="str">
            <v>件</v>
          </cell>
          <cell r="D1160" t="str">
            <v>紧固件</v>
          </cell>
        </row>
        <row r="1161">
          <cell r="A1161" t="str">
            <v>F0103027136</v>
          </cell>
          <cell r="B1161" t="str">
            <v>4座S款成型地板革/SIVO</v>
          </cell>
          <cell r="C1161" t="str">
            <v>件</v>
          </cell>
          <cell r="D1161" t="str">
            <v>塑料件</v>
          </cell>
        </row>
        <row r="1162">
          <cell r="A1162" t="str">
            <v>F0103009054</v>
          </cell>
          <cell r="B1162" t="str">
            <v>S款前挡玻璃/4座/DOT</v>
          </cell>
          <cell r="C1162" t="str">
            <v>套</v>
          </cell>
          <cell r="D1162" t="str">
            <v>塑料件</v>
          </cell>
        </row>
        <row r="1163">
          <cell r="A1163" t="str">
            <v>F0203006058</v>
          </cell>
          <cell r="B1163" t="str">
            <v>V2制动硬油管中后</v>
          </cell>
          <cell r="C1163" t="str">
            <v>件</v>
          </cell>
          <cell r="D1163" t="str">
            <v>制动部件</v>
          </cell>
        </row>
        <row r="1164">
          <cell r="A1164" t="str">
            <v>F0203006059</v>
          </cell>
          <cell r="B1164" t="str">
            <v>V2制动硬油管左后</v>
          </cell>
          <cell r="C1164" t="str">
            <v>件</v>
          </cell>
          <cell r="D1164" t="str">
            <v>制动部件</v>
          </cell>
        </row>
        <row r="1165">
          <cell r="A1165" t="str">
            <v>F0203006060</v>
          </cell>
          <cell r="B1165" t="str">
            <v>V2制动硬油管右后</v>
          </cell>
          <cell r="C1165" t="str">
            <v>件</v>
          </cell>
          <cell r="D1165" t="str">
            <v>制动部件</v>
          </cell>
        </row>
        <row r="1166">
          <cell r="A1166" t="str">
            <v>F0308007031</v>
          </cell>
          <cell r="B1166" t="str">
            <v>左后尾灯</v>
          </cell>
          <cell r="C1166" t="str">
            <v>件</v>
          </cell>
          <cell r="D1166" t="str">
            <v>组合大灯</v>
          </cell>
        </row>
        <row r="1167">
          <cell r="A1167" t="str">
            <v>F0308007032</v>
          </cell>
          <cell r="B1167" t="str">
            <v>右后尾灯</v>
          </cell>
          <cell r="C1167" t="str">
            <v>件</v>
          </cell>
          <cell r="D1167" t="str">
            <v>组合大灯</v>
          </cell>
        </row>
        <row r="1168">
          <cell r="A1168" t="str">
            <v>F0308002015</v>
          </cell>
          <cell r="B1168" t="str">
            <v>后轮眉转向灯 左</v>
          </cell>
          <cell r="C1168" t="str">
            <v>件</v>
          </cell>
          <cell r="D1168" t="str">
            <v>组合大灯</v>
          </cell>
        </row>
        <row r="1169">
          <cell r="A1169" t="str">
            <v>F0308002016</v>
          </cell>
          <cell r="B1169" t="str">
            <v>后轮眉转向灯 右</v>
          </cell>
          <cell r="C1169" t="str">
            <v>件</v>
          </cell>
          <cell r="D1169" t="str">
            <v>组合大灯</v>
          </cell>
        </row>
        <row r="1170">
          <cell r="A1170" t="str">
            <v>F0308035041</v>
          </cell>
          <cell r="B1170" t="str">
            <v>顶棚左侧灯条/1850mm</v>
          </cell>
          <cell r="C1170" t="str">
            <v>根</v>
          </cell>
          <cell r="D1170" t="str">
            <v>组合大灯</v>
          </cell>
        </row>
        <row r="1171">
          <cell r="A1171" t="str">
            <v>F0308035042</v>
          </cell>
          <cell r="B1171" t="str">
            <v>顶棚右侧灯条/1850mm</v>
          </cell>
          <cell r="C1171" t="str">
            <v>根</v>
          </cell>
          <cell r="D1171" t="str">
            <v>组合大灯</v>
          </cell>
        </row>
        <row r="1172">
          <cell r="A1172" t="str">
            <v>F0308035043</v>
          </cell>
          <cell r="B1172" t="str">
            <v>车底左侧前灯条/400mm</v>
          </cell>
          <cell r="C1172" t="str">
            <v>根</v>
          </cell>
          <cell r="D1172" t="str">
            <v>组合大灯</v>
          </cell>
        </row>
        <row r="1173">
          <cell r="A1173" t="str">
            <v>F0308035044</v>
          </cell>
          <cell r="B1173" t="str">
            <v>车底左侧后灯条/800mm</v>
          </cell>
          <cell r="C1173" t="str">
            <v>根</v>
          </cell>
          <cell r="D1173" t="str">
            <v>组合大灯</v>
          </cell>
        </row>
        <row r="1174">
          <cell r="A1174" t="str">
            <v>F0308035045</v>
          </cell>
          <cell r="B1174" t="str">
            <v>车底右侧前灯条/400mm</v>
          </cell>
          <cell r="C1174" t="str">
            <v>根</v>
          </cell>
          <cell r="D1174" t="str">
            <v>组合大灯</v>
          </cell>
        </row>
        <row r="1175">
          <cell r="A1175" t="str">
            <v>F0308035046</v>
          </cell>
          <cell r="B1175" t="str">
            <v>车底右侧后灯条/800mm</v>
          </cell>
          <cell r="C1175" t="str">
            <v>根</v>
          </cell>
          <cell r="D1175" t="str">
            <v>组合大灯</v>
          </cell>
        </row>
        <row r="1176">
          <cell r="A1176" t="str">
            <v>F2111000224</v>
          </cell>
          <cell r="B1176" t="str">
            <v>V2-4SA款标准件盒</v>
          </cell>
          <cell r="C1176" t="str">
            <v>件</v>
          </cell>
          <cell r="D1176" t="str">
            <v>紧固件</v>
          </cell>
        </row>
        <row r="1177">
          <cell r="A1177" t="str">
            <v>F0103027131</v>
          </cell>
          <cell r="B1177" t="str">
            <v>前地板垫</v>
          </cell>
          <cell r="C1177" t="str">
            <v>片</v>
          </cell>
          <cell r="D1177" t="str">
            <v>塑料件</v>
          </cell>
        </row>
        <row r="1178">
          <cell r="A1178" t="str">
            <v>F0103027132</v>
          </cell>
          <cell r="B1178" t="str">
            <v>后地板垫</v>
          </cell>
          <cell r="C1178" t="str">
            <v>片</v>
          </cell>
          <cell r="D1178" t="str">
            <v>塑料件</v>
          </cell>
        </row>
        <row r="1179">
          <cell r="A1179" t="str">
            <v>F0103027134</v>
          </cell>
          <cell r="B1179" t="str">
            <v>前地板垫</v>
          </cell>
          <cell r="C1179" t="str">
            <v>件</v>
          </cell>
          <cell r="D1179" t="str">
            <v>塑料件</v>
          </cell>
        </row>
        <row r="1180">
          <cell r="A1180" t="str">
            <v>F0307001047</v>
          </cell>
          <cell r="B1180" t="str">
            <v>10.1寸多功能仪表中控屏/带电池</v>
          </cell>
          <cell r="C1180" t="str">
            <v>件</v>
          </cell>
          <cell r="D1180" t="str">
            <v>车载液晶显示器</v>
          </cell>
        </row>
        <row r="1181">
          <cell r="A1181" t="str">
            <v>F2111000222</v>
          </cell>
          <cell r="B1181" t="str">
            <v>V2-4.JA款标推件盒</v>
          </cell>
          <cell r="C1181" t="str">
            <v>件</v>
          </cell>
          <cell r="D1181" t="str">
            <v>紧固件</v>
          </cell>
        </row>
        <row r="1182">
          <cell r="A1182" t="str">
            <v>F2111000223</v>
          </cell>
          <cell r="B1182" t="str">
            <v>V2-4JK款标准件盒</v>
          </cell>
          <cell r="C1182" t="str">
            <v>件</v>
          </cell>
          <cell r="D1182" t="str">
            <v>紧固件</v>
          </cell>
        </row>
        <row r="1183">
          <cell r="A1183" t="str">
            <v>F3104000406</v>
          </cell>
          <cell r="B1183" t="str">
            <v>前罩注塑模</v>
          </cell>
          <cell r="C1183" t="str">
            <v>件</v>
          </cell>
          <cell r="D1183" t="str">
            <v>注塑模具</v>
          </cell>
        </row>
        <row r="1184">
          <cell r="A1184" t="str">
            <v>F3104000412</v>
          </cell>
          <cell r="B1184" t="str">
            <v>前保险杠总成注塑模</v>
          </cell>
          <cell r="C1184" t="str">
            <v>件</v>
          </cell>
          <cell r="D1184" t="str">
            <v>注塑模具</v>
          </cell>
        </row>
        <row r="1185">
          <cell r="A1185" t="str">
            <v>F0103035103</v>
          </cell>
          <cell r="B1185" t="str">
            <v>电池框橡胶板（毒液G款/570*544*3/配安装孔）</v>
          </cell>
          <cell r="C1185" t="str">
            <v>块</v>
          </cell>
          <cell r="D1185" t="str">
            <v>三元乙丙橡胶</v>
          </cell>
        </row>
        <row r="1186">
          <cell r="A1186" t="str">
            <v>F210103010</v>
          </cell>
          <cell r="B1186" t="str">
            <v>内六角法兰面自攻钉(4.8*16）</v>
          </cell>
          <cell r="C1186" t="str">
            <v>件</v>
          </cell>
          <cell r="D1186" t="str">
            <v>紧固件</v>
          </cell>
        </row>
        <row r="1187">
          <cell r="A1187" t="str">
            <v>Y0301007014</v>
          </cell>
          <cell r="B1187" t="str">
            <v>不锈钢平头内六角自攻钉</v>
          </cell>
          <cell r="C1187" t="str">
            <v>只</v>
          </cell>
          <cell r="D1187" t="str">
            <v>紧固件</v>
          </cell>
        </row>
        <row r="1188">
          <cell r="A1188" t="str">
            <v>F0103066006</v>
          </cell>
          <cell r="B1188" t="str">
            <v>金属螺纹凹凸钢卡（五彩）</v>
          </cell>
          <cell r="C1188" t="str">
            <v>只</v>
          </cell>
          <cell r="D1188" t="str">
            <v>紧固件</v>
          </cell>
        </row>
        <row r="1189">
          <cell r="A1189" t="str">
            <v>F0102089097</v>
          </cell>
          <cell r="B1189" t="str">
            <v>靠背杯托堵盖</v>
          </cell>
          <cell r="C1189" t="str">
            <v>件</v>
          </cell>
          <cell r="D1189" t="str">
            <v>塑料件</v>
          </cell>
        </row>
        <row r="1190">
          <cell r="A1190" t="str">
            <v>F0103015069</v>
          </cell>
          <cell r="B1190" t="str">
            <v>靠背发泡棉/J款BTL用</v>
          </cell>
          <cell r="C1190" t="str">
            <v>件</v>
          </cell>
          <cell r="D1190" t="str">
            <v>座椅套装</v>
          </cell>
        </row>
        <row r="1191">
          <cell r="A1191" t="str">
            <v>F0103015070</v>
          </cell>
          <cell r="B1191" t="str">
            <v>中桶坐垫发泡棉J款BTL用</v>
          </cell>
          <cell r="C1191" t="str">
            <v>件</v>
          </cell>
          <cell r="D1191" t="str">
            <v>座椅套装</v>
          </cell>
        </row>
        <row r="1192">
          <cell r="A1192" t="str">
            <v>F0103015071</v>
          </cell>
          <cell r="B1192" t="str">
            <v>坐垫发泡棉/J款BTL用</v>
          </cell>
          <cell r="C1192" t="str">
            <v>件</v>
          </cell>
          <cell r="D1192" t="str">
            <v>座椅套装</v>
          </cell>
        </row>
        <row r="1193">
          <cell r="A1193" t="str">
            <v>F0103015072</v>
          </cell>
          <cell r="B1193" t="str">
            <v>翻转坐垫发泡棉/J款BTL用</v>
          </cell>
          <cell r="C1193" t="str">
            <v>件</v>
          </cell>
          <cell r="D1193" t="str">
            <v>座椅套装</v>
          </cell>
        </row>
        <row r="1194">
          <cell r="A1194" t="str">
            <v>F0103015073</v>
          </cell>
          <cell r="B1194" t="str">
            <v>翻转坐垫木板//J款BTL用</v>
          </cell>
          <cell r="C1194" t="str">
            <v>件</v>
          </cell>
          <cell r="D1194" t="str">
            <v>座椅套装</v>
          </cell>
        </row>
        <row r="1195">
          <cell r="A1195" t="str">
            <v>F99001043065</v>
          </cell>
          <cell r="B1195" t="str">
            <v>5款塑件开孔定位卡板</v>
          </cell>
          <cell r="C1195" t="str">
            <v>套</v>
          </cell>
          <cell r="D1195" t="str">
            <v>车身部件</v>
          </cell>
        </row>
        <row r="1196">
          <cell r="A1196" t="str">
            <v>F2101013001</v>
          </cell>
          <cell r="B1196" t="str">
            <v>内六角沉头螺钉</v>
          </cell>
          <cell r="C1196" t="str">
            <v>只</v>
          </cell>
          <cell r="D1196" t="str">
            <v>紧固件</v>
          </cell>
        </row>
        <row r="1197">
          <cell r="A1197" t="str">
            <v>F2101013002</v>
          </cell>
          <cell r="B1197" t="str">
            <v>内六角沉头螺钉</v>
          </cell>
          <cell r="C1197" t="str">
            <v>只</v>
          </cell>
          <cell r="D1197" t="str">
            <v>紧固件</v>
          </cell>
        </row>
        <row r="1198">
          <cell r="A1198" t="str">
            <v>F2101043017</v>
          </cell>
          <cell r="B1198" t="str">
            <v>六角法兰面螺栓</v>
          </cell>
          <cell r="C1198" t="str">
            <v>只</v>
          </cell>
          <cell r="D1198" t="str">
            <v>紧固件</v>
          </cell>
        </row>
        <row r="1199">
          <cell r="A1199" t="str">
            <v>F2101013010</v>
          </cell>
          <cell r="B1199" t="str">
            <v>内六角沉头螺钉</v>
          </cell>
          <cell r="C1199" t="str">
            <v>只</v>
          </cell>
          <cell r="D1199" t="str">
            <v>紧固件</v>
          </cell>
        </row>
        <row r="1200">
          <cell r="A1200" t="str">
            <v>F2101027001</v>
          </cell>
          <cell r="B1200" t="str">
            <v>平头内六角自攻钉</v>
          </cell>
          <cell r="C1200" t="str">
            <v>只</v>
          </cell>
          <cell r="D1200" t="str">
            <v>紧固件</v>
          </cell>
        </row>
        <row r="1201">
          <cell r="A1201" t="str">
            <v>F2101021141</v>
          </cell>
          <cell r="B1201" t="str">
            <v>十字平底自攻钉</v>
          </cell>
          <cell r="C1201" t="str">
            <v>只</v>
          </cell>
          <cell r="D1201" t="str">
            <v>紧固件</v>
          </cell>
        </row>
        <row r="1202">
          <cell r="A1202" t="str">
            <v>F2101081026</v>
          </cell>
          <cell r="B1202" t="str">
            <v>平垫片(10)</v>
          </cell>
          <cell r="C1202" t="str">
            <v>只</v>
          </cell>
          <cell r="D1202" t="str">
            <v>紧固件</v>
          </cell>
        </row>
        <row r="1203">
          <cell r="A1203" t="str">
            <v>F2101041028</v>
          </cell>
          <cell r="B1203" t="str">
            <v>不锈钢六角头螺栓</v>
          </cell>
          <cell r="C1203" t="str">
            <v>只</v>
          </cell>
          <cell r="D1203" t="str">
            <v>紧固件</v>
          </cell>
        </row>
        <row r="1204">
          <cell r="A1204" t="str">
            <v>F0103015106</v>
          </cell>
          <cell r="B1204" t="str">
            <v>靠背蒙皮</v>
          </cell>
          <cell r="C1204" t="str">
            <v>V1G</v>
          </cell>
          <cell r="D1204" t="str">
            <v>超纤皮革</v>
          </cell>
        </row>
        <row r="1205">
          <cell r="A1205" t="str">
            <v>F0103015107</v>
          </cell>
          <cell r="B1205" t="str">
            <v>坐垫蒙皮</v>
          </cell>
          <cell r="C1205" t="str">
            <v>V1G</v>
          </cell>
          <cell r="D1205" t="str">
            <v>超纤皮革</v>
          </cell>
        </row>
        <row r="1206">
          <cell r="A1206" t="str">
            <v>F0304001570</v>
          </cell>
          <cell r="B1206" t="str">
            <v>WH2047K  4座球车锂电线束</v>
          </cell>
        </row>
        <row r="1206">
          <cell r="D1206" t="str">
            <v>线束</v>
          </cell>
        </row>
        <row r="1207">
          <cell r="A1207" t="str">
            <v>F0199001034</v>
          </cell>
          <cell r="B1207" t="str">
            <v>色板</v>
          </cell>
          <cell r="C1207" t="str">
            <v>S-M-G-501</v>
          </cell>
          <cell r="D1207" t="str">
            <v>塑料件</v>
          </cell>
        </row>
        <row r="1208">
          <cell r="A1208" t="str">
            <v>F0199001029</v>
          </cell>
          <cell r="B1208" t="str">
            <v>色板</v>
          </cell>
          <cell r="C1208" t="str">
            <v>S-PP-G-9003</v>
          </cell>
          <cell r="D1208" t="str">
            <v>塑料件</v>
          </cell>
        </row>
        <row r="1209">
          <cell r="A1209" t="str">
            <v>F0199001056</v>
          </cell>
          <cell r="B1209" t="str">
            <v>色板</v>
          </cell>
          <cell r="C1209" t="str">
            <v>S-M-G-750-1</v>
          </cell>
          <cell r="D1209" t="str">
            <v>塑料件</v>
          </cell>
        </row>
        <row r="1210">
          <cell r="A1210" t="str">
            <v>F0199001021</v>
          </cell>
          <cell r="B1210" t="str">
            <v>色板</v>
          </cell>
          <cell r="C1210" t="str">
            <v>S-PP-G-2017</v>
          </cell>
          <cell r="D1210" t="str">
            <v>塑料件</v>
          </cell>
        </row>
        <row r="1211">
          <cell r="A1211" t="str">
            <v>F0199001027</v>
          </cell>
          <cell r="B1211" t="str">
            <v>色板</v>
          </cell>
          <cell r="C1211" t="str">
            <v>S-M-G-620-4</v>
          </cell>
          <cell r="D1211" t="str">
            <v>塑料件</v>
          </cell>
        </row>
        <row r="1212">
          <cell r="A1212" t="str">
            <v>F0199001057</v>
          </cell>
          <cell r="B1212" t="str">
            <v>色板</v>
          </cell>
          <cell r="C1212" t="str">
            <v>S-P-G-6027</v>
          </cell>
          <cell r="D1212" t="str">
            <v>塑料件</v>
          </cell>
        </row>
        <row r="1213">
          <cell r="A1213" t="str">
            <v>F0199001058</v>
          </cell>
          <cell r="B1213" t="str">
            <v>色板</v>
          </cell>
          <cell r="C1213" t="str">
            <v>S-M-G-5005</v>
          </cell>
          <cell r="D1213" t="str">
            <v>塑料件</v>
          </cell>
        </row>
        <row r="1214">
          <cell r="A1214" t="str">
            <v>F0199001053</v>
          </cell>
          <cell r="B1214" t="str">
            <v>色板</v>
          </cell>
          <cell r="C1214" t="str">
            <v>S-M-G-440-M</v>
          </cell>
          <cell r="D1214" t="str">
            <v>塑料件</v>
          </cell>
        </row>
        <row r="1215">
          <cell r="A1215" t="str">
            <v>F0199001032</v>
          </cell>
          <cell r="B1215" t="str">
            <v>色板</v>
          </cell>
          <cell r="C1215" t="str">
            <v>S-P-G-9017</v>
          </cell>
          <cell r="D1215" t="str">
            <v>塑料件</v>
          </cell>
        </row>
        <row r="1216">
          <cell r="A1216" t="str">
            <v>F0199001026</v>
          </cell>
          <cell r="B1216" t="str">
            <v>色板</v>
          </cell>
          <cell r="C1216" t="str">
            <v>S-P-G-9016</v>
          </cell>
          <cell r="D1216" t="str">
            <v>塑料件</v>
          </cell>
        </row>
        <row r="1217">
          <cell r="A1217" t="str">
            <v>F0199001013</v>
          </cell>
          <cell r="B1217" t="str">
            <v>色板</v>
          </cell>
          <cell r="C1217" t="str">
            <v>S-P-G-5012</v>
          </cell>
          <cell r="D1217" t="str">
            <v>塑料件</v>
          </cell>
        </row>
        <row r="1218">
          <cell r="A1218" t="str">
            <v>F0199001014</v>
          </cell>
          <cell r="B1218" t="str">
            <v>色板</v>
          </cell>
          <cell r="C1218" t="str">
            <v>S-P-G-5018</v>
          </cell>
          <cell r="D1218" t="str">
            <v>塑料件</v>
          </cell>
        </row>
        <row r="1219">
          <cell r="A1219" t="str">
            <v>F0199001022</v>
          </cell>
          <cell r="B1219" t="str">
            <v>色板</v>
          </cell>
          <cell r="C1219" t="str">
            <v>S-P-F-7011</v>
          </cell>
          <cell r="D1219" t="str">
            <v>塑料件</v>
          </cell>
        </row>
        <row r="1220">
          <cell r="A1220" t="str">
            <v>F0199001017</v>
          </cell>
          <cell r="B1220" t="str">
            <v>色板</v>
          </cell>
          <cell r="C1220" t="str">
            <v>S-P-G-7004</v>
          </cell>
          <cell r="D1220" t="str">
            <v>塑料件</v>
          </cell>
        </row>
        <row r="1221">
          <cell r="A1221" t="str">
            <v>F0199001009</v>
          </cell>
          <cell r="B1221" t="str">
            <v>色板</v>
          </cell>
          <cell r="C1221" t="str">
            <v>S-P-G-3000</v>
          </cell>
          <cell r="D1221" t="str">
            <v>塑料件</v>
          </cell>
        </row>
        <row r="1222">
          <cell r="A1222" t="str">
            <v>F0199001012</v>
          </cell>
          <cell r="B1222" t="str">
            <v>色板</v>
          </cell>
          <cell r="C1222" t="str">
            <v>S-P-G-4010</v>
          </cell>
          <cell r="D1222" t="str">
            <v>塑料件</v>
          </cell>
        </row>
        <row r="1223">
          <cell r="A1223" t="str">
            <v>F0199001018</v>
          </cell>
          <cell r="B1223" t="str">
            <v>色板</v>
          </cell>
          <cell r="C1223" t="str">
            <v>S-P-G-4007</v>
          </cell>
          <cell r="D1223" t="str">
            <v>塑料件</v>
          </cell>
        </row>
        <row r="1224">
          <cell r="A1224" t="str">
            <v>F0199001059</v>
          </cell>
          <cell r="B1224" t="str">
            <v>色板</v>
          </cell>
          <cell r="C1224" t="str">
            <v>S-P-G-3004</v>
          </cell>
          <cell r="D1224" t="str">
            <v>塑料件</v>
          </cell>
        </row>
        <row r="1225">
          <cell r="A1225" t="str">
            <v>F0199001035</v>
          </cell>
          <cell r="B1225" t="str">
            <v>色板</v>
          </cell>
          <cell r="C1225" t="str">
            <v>S-M-G-5026</v>
          </cell>
          <cell r="D1225" t="str">
            <v>塑料件</v>
          </cell>
        </row>
        <row r="1226">
          <cell r="A1226" t="str">
            <v>F0199001015</v>
          </cell>
          <cell r="B1226" t="str">
            <v>色板</v>
          </cell>
          <cell r="C1226" t="str">
            <v>S-P-G-5026</v>
          </cell>
          <cell r="D1226" t="str">
            <v>塑料件</v>
          </cell>
        </row>
        <row r="1227">
          <cell r="A1227" t="str">
            <v>F0199001023</v>
          </cell>
          <cell r="B1227" t="str">
            <v>色板</v>
          </cell>
          <cell r="C1227" t="str">
            <v>S-M-G-9022</v>
          </cell>
          <cell r="D1227" t="str">
            <v>塑料件</v>
          </cell>
        </row>
        <row r="1228">
          <cell r="A1228" t="str">
            <v>F0199001036</v>
          </cell>
          <cell r="B1228" t="str">
            <v>色板</v>
          </cell>
          <cell r="C1228" t="str">
            <v>S-C-G-06</v>
          </cell>
          <cell r="D1228" t="str">
            <v>塑料件</v>
          </cell>
        </row>
        <row r="1229">
          <cell r="A1229" t="str">
            <v>F0199001061</v>
          </cell>
          <cell r="B1229" t="str">
            <v>色板</v>
          </cell>
          <cell r="C1229" t="str">
            <v>S-P-F-9017</v>
          </cell>
          <cell r="D1229" t="str">
            <v>塑料件</v>
          </cell>
        </row>
        <row r="1230">
          <cell r="A1230" t="str">
            <v>F0199001054</v>
          </cell>
          <cell r="B1230" t="str">
            <v>色板</v>
          </cell>
          <cell r="C1230" t="str">
            <v>S-P-F-11-0601</v>
          </cell>
          <cell r="D1230" t="str">
            <v>塑料件</v>
          </cell>
        </row>
        <row r="1231">
          <cell r="A1231" t="str">
            <v>F0199001055</v>
          </cell>
          <cell r="B1231" t="str">
            <v>色板</v>
          </cell>
          <cell r="C1231" t="str">
            <v>S-P-F-187C</v>
          </cell>
          <cell r="D1231" t="str">
            <v>塑料件</v>
          </cell>
        </row>
        <row r="1232">
          <cell r="A1232" t="str">
            <v>F0199001050</v>
          </cell>
          <cell r="B1232" t="str">
            <v>色板</v>
          </cell>
          <cell r="C1232" t="str">
            <v>S-P-F-CG4C</v>
          </cell>
          <cell r="D1232" t="str">
            <v>塑料件</v>
          </cell>
        </row>
        <row r="1233">
          <cell r="A1233" t="str">
            <v>F0199001060</v>
          </cell>
          <cell r="B1233" t="str">
            <v>色板</v>
          </cell>
          <cell r="C1233" t="str">
            <v>S-P-F-9016</v>
          </cell>
          <cell r="D1233" t="str">
            <v>塑料件</v>
          </cell>
        </row>
        <row r="1234">
          <cell r="A1234" t="str">
            <v>F0199001062</v>
          </cell>
          <cell r="B1234" t="str">
            <v>色板</v>
          </cell>
          <cell r="C1234" t="str">
            <v>S-P-F-9007</v>
          </cell>
          <cell r="D1234" t="str">
            <v>塑料件</v>
          </cell>
        </row>
        <row r="1235">
          <cell r="A1235" t="str">
            <v>F0199001051</v>
          </cell>
          <cell r="B1235" t="str">
            <v>色板</v>
          </cell>
          <cell r="C1235" t="str">
            <v>S-M-P-1035</v>
          </cell>
          <cell r="D1235" t="str">
            <v>塑料件</v>
          </cell>
        </row>
        <row r="1236">
          <cell r="A1236" t="str">
            <v>F0102074023</v>
          </cell>
          <cell r="B1236" t="str">
            <v>转向轴管护罩左</v>
          </cell>
        </row>
        <row r="1236">
          <cell r="D1236" t="str">
            <v>塑料件</v>
          </cell>
        </row>
        <row r="1237">
          <cell r="A1237" t="str">
            <v>F0102074024</v>
          </cell>
          <cell r="B1237" t="str">
            <v>转向轴管护罩右</v>
          </cell>
        </row>
        <row r="1237">
          <cell r="D1237" t="str">
            <v>塑料件</v>
          </cell>
        </row>
        <row r="1238">
          <cell r="A1238" t="str">
            <v>F0102074026</v>
          </cell>
          <cell r="B1238" t="str">
            <v>转向轴管护套</v>
          </cell>
        </row>
        <row r="1238">
          <cell r="D1238" t="str">
            <v>塑料件</v>
          </cell>
        </row>
        <row r="1239">
          <cell r="A1239" t="str">
            <v>F0203013013</v>
          </cell>
          <cell r="B1239" t="str">
            <v>强力全钢卡箍/16-18</v>
          </cell>
          <cell r="C1239" t="str">
            <v>只</v>
          </cell>
          <cell r="D1239" t="str">
            <v>紧固件</v>
          </cell>
        </row>
        <row r="1240">
          <cell r="A1240" t="str">
            <v>F2101043020</v>
          </cell>
          <cell r="B1240" t="str">
            <v>六角法兰面螺栓</v>
          </cell>
          <cell r="C1240" t="str">
            <v>只</v>
          </cell>
          <cell r="D1240" t="str">
            <v>紧固件</v>
          </cell>
        </row>
        <row r="1241">
          <cell r="A1241" t="str">
            <v>Y0301012016</v>
          </cell>
          <cell r="B1241" t="str">
            <v>半圆头内六角螺丝</v>
          </cell>
          <cell r="C1241" t="str">
            <v>只</v>
          </cell>
          <cell r="D1241" t="str">
            <v>紧固件</v>
          </cell>
        </row>
        <row r="1242">
          <cell r="A1242" t="str">
            <v>F2101022009</v>
          </cell>
          <cell r="B1242" t="str">
            <v>十字槽沉头自攻钉</v>
          </cell>
          <cell r="C1242" t="str">
            <v>只</v>
          </cell>
          <cell r="D1242" t="str">
            <v>紧固件</v>
          </cell>
        </row>
        <row r="1243">
          <cell r="A1243" t="str">
            <v>F2101043006</v>
          </cell>
          <cell r="B1243" t="str">
            <v>六角法兰面螺栓</v>
          </cell>
          <cell r="C1243" t="str">
            <v>只</v>
          </cell>
          <cell r="D1243" t="str">
            <v>紧固件</v>
          </cell>
        </row>
        <row r="1244">
          <cell r="A1244" t="str">
            <v>Y030101104613</v>
          </cell>
          <cell r="B1244" t="str">
            <v>内六角平头螺丝（黑锌）</v>
          </cell>
          <cell r="C1244" t="str">
            <v>只</v>
          </cell>
          <cell r="D1244" t="str">
            <v>紧固件</v>
          </cell>
        </row>
        <row r="1245">
          <cell r="A1245" t="str">
            <v>F0103066003</v>
          </cell>
          <cell r="B1245" t="str">
            <v>仪表罩金属卡扣</v>
          </cell>
          <cell r="C1245" t="str">
            <v>只</v>
          </cell>
          <cell r="D1245" t="str">
            <v>紧固件</v>
          </cell>
        </row>
        <row r="1246">
          <cell r="A1246" t="str">
            <v>F0103066004</v>
          </cell>
          <cell r="B1246" t="str">
            <v>螺纹金属卡扣</v>
          </cell>
          <cell r="C1246" t="str">
            <v>只</v>
          </cell>
          <cell r="D1246" t="str">
            <v>紧固件</v>
          </cell>
        </row>
        <row r="1247">
          <cell r="A1247" t="str">
            <v>F0103020036</v>
          </cell>
          <cell r="B1247" t="str">
            <v>左前挡泥板/S款球车</v>
          </cell>
          <cell r="C1247" t="str">
            <v>件</v>
          </cell>
          <cell r="D1247" t="str">
            <v>塑料件</v>
          </cell>
        </row>
        <row r="1248">
          <cell r="A1248" t="str">
            <v>F0103020037</v>
          </cell>
          <cell r="B1248" t="str">
            <v>右前挡泥板/S款球车</v>
          </cell>
          <cell r="C1248" t="str">
            <v>件</v>
          </cell>
          <cell r="D1248" t="str">
            <v>塑料件</v>
          </cell>
        </row>
        <row r="1249">
          <cell r="A1249" t="str">
            <v>F2111000225</v>
          </cell>
          <cell r="B1249" t="str">
            <v>V2-4SK款标准件盒</v>
          </cell>
          <cell r="C1249" t="str">
            <v>盒</v>
          </cell>
          <cell r="D1249" t="str">
            <v>紧固件</v>
          </cell>
        </row>
        <row r="1250">
          <cell r="A1250" t="str">
            <v>F0103014331</v>
          </cell>
          <cell r="B1250" t="str">
            <v>座椅靠背</v>
          </cell>
          <cell r="C1250" t="str">
            <v>件</v>
          </cell>
          <cell r="D1250" t="str">
            <v>座椅套装</v>
          </cell>
        </row>
        <row r="1251">
          <cell r="A1251" t="str">
            <v>F2101002017</v>
          </cell>
          <cell r="B1251" t="str">
            <v>十字槽沉头螺钉</v>
          </cell>
          <cell r="C1251" t="str">
            <v>件</v>
          </cell>
          <cell r="D1251" t="str">
            <v>紧固件</v>
          </cell>
        </row>
        <row r="1252">
          <cell r="A1252" t="str">
            <v>F2101081014</v>
          </cell>
          <cell r="B1252" t="str">
            <v>平垫片</v>
          </cell>
          <cell r="C1252" t="str">
            <v>件</v>
          </cell>
          <cell r="D1252" t="str">
            <v>紧固件</v>
          </cell>
        </row>
        <row r="1253">
          <cell r="A1253" t="str">
            <v>F0102089073</v>
          </cell>
          <cell r="B1253" t="str">
            <v>中座桶骨架</v>
          </cell>
          <cell r="C1253" t="str">
            <v>件</v>
          </cell>
          <cell r="D1253" t="str">
            <v>车身部件</v>
          </cell>
        </row>
        <row r="1254">
          <cell r="A1254" t="str">
            <v>F0102089083</v>
          </cell>
          <cell r="B1254" t="str">
            <v>前排靠背骨架</v>
          </cell>
          <cell r="C1254" t="str">
            <v>件</v>
          </cell>
          <cell r="D1254" t="str">
            <v>车身部件</v>
          </cell>
        </row>
        <row r="1255">
          <cell r="A1255" t="str">
            <v>F0102089084</v>
          </cell>
          <cell r="B1255" t="str">
            <v>后排靠背骨架</v>
          </cell>
          <cell r="C1255" t="str">
            <v>件</v>
          </cell>
          <cell r="D1255" t="str">
            <v>车身部件</v>
          </cell>
        </row>
        <row r="1256">
          <cell r="A1256" t="str">
            <v>F0102089077</v>
          </cell>
          <cell r="B1256" t="str">
            <v>顶棚U型骨架</v>
          </cell>
          <cell r="C1256" t="str">
            <v>件</v>
          </cell>
          <cell r="D1256" t="str">
            <v>车身部件</v>
          </cell>
        </row>
        <row r="1257">
          <cell r="A1257" t="str">
            <v>F0102089085</v>
          </cell>
          <cell r="B1257" t="str">
            <v>牌照灯支架</v>
          </cell>
          <cell r="C1257" t="str">
            <v>件</v>
          </cell>
          <cell r="D1257" t="str">
            <v>车身部件</v>
          </cell>
        </row>
        <row r="1258">
          <cell r="A1258" t="str">
            <v>F0102080010</v>
          </cell>
          <cell r="B1258" t="str">
            <v>座椅桶支架/含保险盒支架</v>
          </cell>
          <cell r="C1258" t="str">
            <v>件</v>
          </cell>
          <cell r="D1258" t="str">
            <v>车身部件</v>
          </cell>
        </row>
        <row r="1259">
          <cell r="A1259" t="str">
            <v>F0102089090</v>
          </cell>
          <cell r="B1259" t="str">
            <v>铁质侧踏板 左</v>
          </cell>
          <cell r="C1259" t="str">
            <v>件</v>
          </cell>
          <cell r="D1259" t="str">
            <v>车身部件</v>
          </cell>
        </row>
        <row r="1260">
          <cell r="A1260" t="str">
            <v>F0102089091</v>
          </cell>
          <cell r="B1260" t="str">
            <v>铁质侧踏板 右</v>
          </cell>
          <cell r="C1260" t="str">
            <v>件</v>
          </cell>
          <cell r="D1260" t="str">
            <v>车身部件</v>
          </cell>
        </row>
        <row r="1261">
          <cell r="A1261" t="str">
            <v>F0102080008</v>
          </cell>
          <cell r="B1261" t="str">
            <v>充电机/氛围灯CAN控盒支架</v>
          </cell>
          <cell r="C1261" t="str">
            <v>件</v>
          </cell>
          <cell r="D1261" t="str">
            <v>车身部件</v>
          </cell>
        </row>
        <row r="1262">
          <cell r="A1262" t="str">
            <v>F0307004011</v>
          </cell>
          <cell r="B1262" t="str">
            <v>扬声器网罩/带氛围灯/亚光黑</v>
          </cell>
          <cell r="C1262" t="str">
            <v>件</v>
          </cell>
          <cell r="D1262" t="str">
            <v>塑料件</v>
          </cell>
        </row>
        <row r="1263">
          <cell r="A1263" t="str">
            <v>F0103009058</v>
          </cell>
          <cell r="B1263" t="str">
            <v>G款4座合页玻璃/卡扣式/茶色</v>
          </cell>
          <cell r="C1263" t="str">
            <v>件</v>
          </cell>
          <cell r="D1263" t="str">
            <v>塑料件</v>
          </cell>
        </row>
        <row r="1264">
          <cell r="A1264" t="str">
            <v>F0103009059</v>
          </cell>
          <cell r="B1264" t="str">
            <v>前档玻璃卡槽</v>
          </cell>
          <cell r="C1264" t="str">
            <v>件</v>
          </cell>
          <cell r="D1264" t="str">
            <v>塑料件</v>
          </cell>
        </row>
        <row r="1265">
          <cell r="A1265" t="str">
            <v>F0103009060</v>
          </cell>
          <cell r="B1265" t="str">
            <v>下合页衬套</v>
          </cell>
          <cell r="C1265" t="str">
            <v>件</v>
          </cell>
          <cell r="D1265" t="str">
            <v>塑料件</v>
          </cell>
        </row>
        <row r="1266">
          <cell r="A1266" t="str">
            <v>F0103009061</v>
          </cell>
          <cell r="B1266" t="str">
            <v>前档限位块</v>
          </cell>
          <cell r="C1266" t="str">
            <v>件</v>
          </cell>
          <cell r="D1266" t="str">
            <v>三元乙丙橡胶</v>
          </cell>
        </row>
        <row r="1267">
          <cell r="A1267" t="str">
            <v>F2101032001</v>
          </cell>
          <cell r="B1267" t="str">
            <v>十字平头自攻钉（4.2*13）</v>
          </cell>
          <cell r="C1267" t="str">
            <v>只</v>
          </cell>
          <cell r="D1267" t="str">
            <v>紧固件</v>
          </cell>
        </row>
        <row r="1268">
          <cell r="A1268" t="str">
            <v>F0199001073</v>
          </cell>
          <cell r="B1268" t="str">
            <v>S-PP-G-7004</v>
          </cell>
          <cell r="C1268" t="str">
            <v>件</v>
          </cell>
          <cell r="D1268" t="str">
            <v>塑料件</v>
          </cell>
        </row>
        <row r="1269">
          <cell r="A1269" t="str">
            <v>F0304001537</v>
          </cell>
          <cell r="B1269" t="str">
            <v>WH202LK  2座球车ECO锂电线束(含闪光器）</v>
          </cell>
          <cell r="C1269" t="str">
            <v>套</v>
          </cell>
          <cell r="D1269" t="str">
            <v>线束</v>
          </cell>
        </row>
        <row r="1270">
          <cell r="A1270" t="str">
            <v>F2101032006</v>
          </cell>
          <cell r="B1270" t="str">
            <v>十字平头自攻螺钉</v>
          </cell>
          <cell r="C1270" t="str">
            <v>只</v>
          </cell>
          <cell r="D1270" t="str">
            <v>紧固件</v>
          </cell>
        </row>
        <row r="1271">
          <cell r="A1271" t="str">
            <v>F0204002034</v>
          </cell>
          <cell r="B1271" t="str">
            <v>转向轴管</v>
          </cell>
          <cell r="C1271" t="str">
            <v>件</v>
          </cell>
          <cell r="D1271" t="str">
            <v>底盘部件</v>
          </cell>
        </row>
        <row r="1272">
          <cell r="A1272" t="str">
            <v>F0203013008</v>
          </cell>
          <cell r="B1272" t="str">
            <v>组合开关抱箍</v>
          </cell>
          <cell r="C1272" t="str">
            <v>件</v>
          </cell>
          <cell r="D1272" t="str">
            <v>车身部件</v>
          </cell>
        </row>
        <row r="1273">
          <cell r="A1273" t="str">
            <v>F0102045042</v>
          </cell>
          <cell r="B1273" t="str">
            <v>轴管护套（方向管柱护套）</v>
          </cell>
          <cell r="C1273" t="str">
            <v>只</v>
          </cell>
          <cell r="D1273" t="str">
            <v>底盘部件</v>
          </cell>
        </row>
        <row r="1274">
          <cell r="A1274" t="str">
            <v>F0308031112</v>
          </cell>
          <cell r="B1274" t="str">
            <v>组合仪表/CAN</v>
          </cell>
          <cell r="C1274" t="str">
            <v>件</v>
          </cell>
          <cell r="D1274" t="str">
            <v>车身部件</v>
          </cell>
        </row>
        <row r="1275">
          <cell r="A1275" t="str">
            <v>F0309003009</v>
          </cell>
          <cell r="B1275" t="str">
            <v>翘板开关/档位/圆弧面/带指示灯</v>
          </cell>
          <cell r="C1275" t="str">
            <v>件</v>
          </cell>
          <cell r="D1275" t="str">
            <v>车身部件</v>
          </cell>
        </row>
        <row r="1276">
          <cell r="A1276" t="str">
            <v>F0307001041</v>
          </cell>
          <cell r="B1276" t="str">
            <v>10.1寸多功能仪表中控屏/带电池</v>
          </cell>
          <cell r="C1276" t="str">
            <v>件</v>
          </cell>
          <cell r="D1276" t="str">
            <v>车身部件</v>
          </cell>
        </row>
        <row r="1277">
          <cell r="A1277" t="str">
            <v>F0309002207</v>
          </cell>
          <cell r="B1277" t="str">
            <v>电锁开关</v>
          </cell>
          <cell r="C1277" t="str">
            <v>件</v>
          </cell>
          <cell r="D1277" t="str">
            <v>车身部件</v>
          </cell>
        </row>
        <row r="1278">
          <cell r="A1278" t="str">
            <v>F0102076003</v>
          </cell>
          <cell r="B1278" t="str">
            <v>前罩</v>
          </cell>
          <cell r="C1278" t="str">
            <v>只</v>
          </cell>
          <cell r="D1278" t="str">
            <v>塑料件</v>
          </cell>
        </row>
        <row r="1279">
          <cell r="A1279" t="str">
            <v>F0302012149</v>
          </cell>
          <cell r="B1279" t="str">
            <v>锂电电控/球车/锂电池/CAN</v>
          </cell>
          <cell r="C1279" t="str">
            <v>件</v>
          </cell>
          <cell r="D1279" t="str">
            <v>电控</v>
          </cell>
        </row>
        <row r="1280">
          <cell r="A1280" t="str">
            <v>F0308010007</v>
          </cell>
          <cell r="B1280" t="str">
            <v>中网位置灯左</v>
          </cell>
          <cell r="C1280" t="str">
            <v>件</v>
          </cell>
          <cell r="D1280" t="str">
            <v>组合大灯</v>
          </cell>
        </row>
        <row r="1281">
          <cell r="A1281" t="str">
            <v>F0308010008</v>
          </cell>
          <cell r="B1281" t="str">
            <v>中网位置灯右</v>
          </cell>
          <cell r="C1281" t="str">
            <v>件</v>
          </cell>
          <cell r="D1281" t="str">
            <v>组合大灯</v>
          </cell>
        </row>
        <row r="1282">
          <cell r="A1282" t="str">
            <v>F0309001102</v>
          </cell>
          <cell r="B1282" t="str">
            <v>组合开关/单柄</v>
          </cell>
          <cell r="C1282" t="str">
            <v>件</v>
          </cell>
          <cell r="D1282" t="str">
            <v>车身部件</v>
          </cell>
        </row>
        <row r="1283">
          <cell r="A1283" t="str">
            <v>F2111000193</v>
          </cell>
          <cell r="B1283" t="str">
            <v>4+2座Y款标准件盒</v>
          </cell>
          <cell r="C1283" t="str">
            <v>盒</v>
          </cell>
          <cell r="D1283" t="str">
            <v>紧固件</v>
          </cell>
        </row>
        <row r="1284">
          <cell r="A1284" t="str">
            <v>F0308001046</v>
          </cell>
          <cell r="B1284" t="str">
            <v>前大灯右</v>
          </cell>
          <cell r="C1284" t="str">
            <v>件</v>
          </cell>
          <cell r="D1284" t="str">
            <v>组合大灯</v>
          </cell>
        </row>
        <row r="1285">
          <cell r="A1285" t="str">
            <v>F0308035053</v>
          </cell>
          <cell r="B1285" t="str">
            <v>整车氛围灯总成（不含喇叭罩电镀件、导光件和座椅靠背灯、侧围灯）</v>
          </cell>
          <cell r="C1285" t="str">
            <v>套</v>
          </cell>
          <cell r="D1285" t="str">
            <v>组合大灯附件</v>
          </cell>
        </row>
        <row r="1286">
          <cell r="A1286" t="str">
            <v>F0199002065</v>
          </cell>
          <cell r="B1286" t="str">
            <v>点火锁钥匙Logo</v>
          </cell>
          <cell r="C1286" t="str">
            <v>件</v>
          </cell>
          <cell r="D1286" t="str">
            <v>塑料件</v>
          </cell>
        </row>
        <row r="1287">
          <cell r="A1287" t="str">
            <v>F0199002064</v>
          </cell>
          <cell r="B1287" t="str">
            <v>方向盘Logo</v>
          </cell>
          <cell r="C1287" t="str">
            <v>件</v>
          </cell>
          <cell r="D1287" t="str">
            <v>塑料件</v>
          </cell>
        </row>
        <row r="1288">
          <cell r="A1288" t="str">
            <v>F0199002156</v>
          </cell>
          <cell r="B1288" t="str">
            <v>时钟安装孔Logo</v>
          </cell>
          <cell r="C1288" t="str">
            <v>件</v>
          </cell>
          <cell r="D1288" t="str">
            <v>塑料件</v>
          </cell>
        </row>
        <row r="1289">
          <cell r="A1289" t="str">
            <v>F0308001045</v>
          </cell>
          <cell r="B1289" t="str">
            <v>前大灯左</v>
          </cell>
          <cell r="C1289" t="str">
            <v>件</v>
          </cell>
          <cell r="D1289" t="str">
            <v>组合大灯</v>
          </cell>
        </row>
        <row r="1290">
          <cell r="A1290" t="str">
            <v>F0301014043</v>
          </cell>
          <cell r="B1290" t="str">
            <v>防水充电插头带线总成/2.5米</v>
          </cell>
          <cell r="C1290" t="str">
            <v>件</v>
          </cell>
          <cell r="D1290" t="str">
            <v>线束</v>
          </cell>
        </row>
        <row r="1291">
          <cell r="A1291" t="str">
            <v>F0301014044</v>
          </cell>
          <cell r="B1291" t="str">
            <v>防水充电插座带线总成/0.8米</v>
          </cell>
          <cell r="C1291" t="str">
            <v>件</v>
          </cell>
          <cell r="D1291" t="str">
            <v>线束</v>
          </cell>
        </row>
        <row r="1292">
          <cell r="A1292" t="str">
            <v>F0103027137</v>
          </cell>
          <cell r="B1292" t="str">
            <v>2座B款成型地板革</v>
          </cell>
          <cell r="C1292" t="str">
            <v>件</v>
          </cell>
          <cell r="D1292" t="str">
            <v>塑料件</v>
          </cell>
        </row>
        <row r="1293">
          <cell r="A1293" t="str">
            <v>F0103009014</v>
          </cell>
          <cell r="B1293" t="str">
            <v>前挡玻璃/4座/DOT</v>
          </cell>
          <cell r="C1293" t="str">
            <v>套</v>
          </cell>
          <cell r="D1293" t="str">
            <v>塑料件</v>
          </cell>
        </row>
        <row r="1294">
          <cell r="A1294" t="str">
            <v>F0202009209</v>
          </cell>
          <cell r="B1294" t="str">
            <v>轮胎</v>
          </cell>
          <cell r="C1294" t="str">
            <v>条</v>
          </cell>
          <cell r="D1294" t="str">
            <v>高尔夫轮胎</v>
          </cell>
        </row>
        <row r="1295">
          <cell r="A1295" t="str">
            <v>Y0410024021435</v>
          </cell>
          <cell r="B1295" t="str">
            <v>仪表台上弯管梁（Y款）</v>
          </cell>
          <cell r="C1295" t="str">
            <v>件</v>
          </cell>
          <cell r="D1295" t="str">
            <v>车身部件（支架等）</v>
          </cell>
        </row>
        <row r="1296">
          <cell r="A1296" t="str">
            <v>Y0410024021436</v>
          </cell>
          <cell r="B1296" t="str">
            <v>仪表台上纵梁（Y款）</v>
          </cell>
          <cell r="C1296" t="str">
            <v>件</v>
          </cell>
          <cell r="D1296" t="str">
            <v>车身部件（支架等）</v>
          </cell>
        </row>
        <row r="1297">
          <cell r="A1297" t="str">
            <v>F0102047055</v>
          </cell>
          <cell r="B1297" t="str">
            <v>顶棚前支架（下降140、配前置物篮）</v>
          </cell>
          <cell r="C1297" t="str">
            <v>件</v>
          </cell>
          <cell r="D1297" t="str">
            <v>车身部件（支架等）</v>
          </cell>
        </row>
        <row r="1298">
          <cell r="A1298" t="str">
            <v>F0102045112</v>
          </cell>
          <cell r="B1298" t="str">
            <v>顶棚后支架/降低后移</v>
          </cell>
          <cell r="C1298" t="str">
            <v>件</v>
          </cell>
          <cell r="D1298" t="str">
            <v>车身部件（支架等）</v>
          </cell>
        </row>
        <row r="1299">
          <cell r="A1299" t="str">
            <v>F0204001011.1</v>
          </cell>
          <cell r="B1299" t="str">
            <v>特色方向盘/款式见图片</v>
          </cell>
          <cell r="C1299" t="str">
            <v>只</v>
          </cell>
          <cell r="D1299" t="str">
            <v>车身部件</v>
          </cell>
        </row>
        <row r="1300">
          <cell r="A1300" t="str">
            <v>F0102076006</v>
          </cell>
          <cell r="B1300" t="str">
            <v>前立柱护套左</v>
          </cell>
          <cell r="C1300" t="str">
            <v>只</v>
          </cell>
          <cell r="D1300" t="str">
            <v>三元乙丙橡胶</v>
          </cell>
        </row>
        <row r="1301">
          <cell r="A1301" t="str">
            <v>F0102076007</v>
          </cell>
          <cell r="B1301" t="str">
            <v>前立柱护套右</v>
          </cell>
          <cell r="C1301" t="str">
            <v>只</v>
          </cell>
          <cell r="D1301" t="str">
            <v>三元乙丙橡胶</v>
          </cell>
        </row>
        <row r="1302">
          <cell r="A1302" t="str">
            <v>Y0301025025</v>
          </cell>
          <cell r="B1302" t="str">
            <v>塑胶卡扣</v>
          </cell>
          <cell r="C1302" t="str">
            <v>只</v>
          </cell>
          <cell r="D1302" t="str">
            <v>塑料件</v>
          </cell>
        </row>
        <row r="1303">
          <cell r="A1303" t="str">
            <v>F0102076033</v>
          </cell>
          <cell r="B1303" t="str">
            <v>左杂物盒盖</v>
          </cell>
          <cell r="C1303" t="str">
            <v>件</v>
          </cell>
          <cell r="D1303" t="str">
            <v>塑料件</v>
          </cell>
        </row>
        <row r="1304">
          <cell r="A1304" t="str">
            <v>F0102076034</v>
          </cell>
          <cell r="B1304" t="str">
            <v>右杂物盒盖</v>
          </cell>
          <cell r="C1304" t="str">
            <v>件</v>
          </cell>
          <cell r="D1304" t="str">
            <v>塑料件</v>
          </cell>
        </row>
        <row r="1305">
          <cell r="A1305" t="str">
            <v>F0102076026</v>
          </cell>
          <cell r="B1305" t="str">
            <v>中控开关面板</v>
          </cell>
          <cell r="C1305" t="str">
            <v>件</v>
          </cell>
          <cell r="D1305" t="str">
            <v>车身部件</v>
          </cell>
        </row>
        <row r="1306">
          <cell r="A1306" t="str">
            <v>F0102076018</v>
          </cell>
          <cell r="B1306" t="str">
            <v>方向管柱套</v>
          </cell>
          <cell r="C1306" t="str">
            <v>件</v>
          </cell>
          <cell r="D1306" t="str">
            <v>三元乙丙橡胶</v>
          </cell>
        </row>
        <row r="1307">
          <cell r="A1307" t="str">
            <v>F0102076014</v>
          </cell>
          <cell r="B1307" t="str">
            <v>左前侧护板</v>
          </cell>
          <cell r="C1307" t="str">
            <v>只</v>
          </cell>
          <cell r="D1307" t="str">
            <v>塑料件</v>
          </cell>
        </row>
        <row r="1308">
          <cell r="A1308" t="str">
            <v>F0102076015</v>
          </cell>
          <cell r="B1308" t="str">
            <v>右前侧护板</v>
          </cell>
          <cell r="C1308" t="str">
            <v>只</v>
          </cell>
          <cell r="D1308" t="str">
            <v>塑料件</v>
          </cell>
        </row>
        <row r="1309">
          <cell r="A1309" t="str">
            <v>F0102047007</v>
          </cell>
          <cell r="B1309" t="str">
            <v>顶棚拉手</v>
          </cell>
          <cell r="C1309" t="str">
            <v>只</v>
          </cell>
          <cell r="D1309" t="str">
            <v>车身部件</v>
          </cell>
        </row>
        <row r="1310">
          <cell r="A1310" t="str">
            <v>F0102076027</v>
          </cell>
          <cell r="B1310" t="str">
            <v>附件电器座</v>
          </cell>
          <cell r="C1310" t="str">
            <v>件</v>
          </cell>
          <cell r="D1310" t="str">
            <v>车身部件</v>
          </cell>
        </row>
        <row r="1311">
          <cell r="A1311" t="str">
            <v>F0103020028</v>
          </cell>
          <cell r="B1311" t="str">
            <v>左前挡泥板/Y款球车</v>
          </cell>
          <cell r="C1311" t="str">
            <v>件</v>
          </cell>
          <cell r="D1311" t="str">
            <v>塑料件</v>
          </cell>
        </row>
        <row r="1312">
          <cell r="A1312" t="str">
            <v>F0103020029</v>
          </cell>
          <cell r="B1312" t="str">
            <v>右前挡泥板/Y款球车</v>
          </cell>
          <cell r="C1312" t="str">
            <v>件</v>
          </cell>
          <cell r="D1312" t="str">
            <v>塑料件</v>
          </cell>
        </row>
        <row r="1313">
          <cell r="A1313" t="str">
            <v>F0102076031</v>
          </cell>
          <cell r="B1313" t="str">
            <v>左杂物盒</v>
          </cell>
          <cell r="C1313" t="str">
            <v>只</v>
          </cell>
          <cell r="D1313" t="str">
            <v>塑料件</v>
          </cell>
        </row>
        <row r="1314">
          <cell r="A1314" t="str">
            <v>F0102076032</v>
          </cell>
          <cell r="B1314" t="str">
            <v>右杂物盒</v>
          </cell>
          <cell r="C1314" t="str">
            <v>只</v>
          </cell>
          <cell r="D1314" t="str">
            <v>塑料件</v>
          </cell>
        </row>
        <row r="1315">
          <cell r="A1315" t="str">
            <v>F0102049014</v>
          </cell>
          <cell r="B1315" t="str">
            <v>组合开关罩前</v>
          </cell>
          <cell r="C1315" t="str">
            <v>件</v>
          </cell>
          <cell r="D1315" t="str">
            <v>车身部件</v>
          </cell>
        </row>
        <row r="1316">
          <cell r="A1316" t="str">
            <v>F0102049015</v>
          </cell>
          <cell r="B1316" t="str">
            <v>组合开关罩后</v>
          </cell>
          <cell r="C1316" t="str">
            <v>件</v>
          </cell>
          <cell r="D1316" t="str">
            <v>车身部件</v>
          </cell>
        </row>
        <row r="1317">
          <cell r="A1317" t="str">
            <v>F0199002158</v>
          </cell>
          <cell r="B1317" t="str">
            <v>金属前标</v>
          </cell>
          <cell r="C1317" t="str">
            <v>件</v>
          </cell>
          <cell r="D1317" t="str">
            <v>塑料件</v>
          </cell>
        </row>
        <row r="1318">
          <cell r="A1318" t="str">
            <v>F0199002159</v>
          </cell>
          <cell r="B1318" t="str">
            <v>金属侧标</v>
          </cell>
          <cell r="C1318" t="str">
            <v>件</v>
          </cell>
          <cell r="D1318" t="str">
            <v>塑料件</v>
          </cell>
        </row>
        <row r="1319">
          <cell r="A1319" t="str">
            <v>F0102076016</v>
          </cell>
          <cell r="B1319" t="str">
            <v>前中网-大</v>
          </cell>
          <cell r="C1319" t="str">
            <v>件</v>
          </cell>
          <cell r="D1319" t="str">
            <v>车身部件</v>
          </cell>
        </row>
        <row r="1320">
          <cell r="A1320" t="str">
            <v>F0102076017</v>
          </cell>
          <cell r="B1320" t="str">
            <v>前中网-小</v>
          </cell>
          <cell r="C1320" t="str">
            <v>件</v>
          </cell>
          <cell r="D1320" t="str">
            <v>车身部件</v>
          </cell>
        </row>
        <row r="1321">
          <cell r="A1321" t="str">
            <v>F0102076030</v>
          </cell>
          <cell r="B1321" t="str">
            <v>仪表台</v>
          </cell>
          <cell r="C1321" t="str">
            <v>只</v>
          </cell>
          <cell r="D1321" t="str">
            <v>车身部件</v>
          </cell>
        </row>
        <row r="1322">
          <cell r="A1322" t="str">
            <v>F0102076008</v>
          </cell>
          <cell r="B1322" t="str">
            <v>前保险杠</v>
          </cell>
          <cell r="C1322" t="str">
            <v>只</v>
          </cell>
          <cell r="D1322" t="str">
            <v>车身部件</v>
          </cell>
        </row>
        <row r="1323">
          <cell r="A1323" t="str">
            <v>F2101022001</v>
          </cell>
          <cell r="B1323" t="str">
            <v>十字槽平头自攻螺丝</v>
          </cell>
          <cell r="C1323" t="str">
            <v>件</v>
          </cell>
          <cell r="D1323" t="str">
            <v>紧固件</v>
          </cell>
        </row>
        <row r="1324">
          <cell r="A1324" t="str">
            <v>Y0301001025</v>
          </cell>
          <cell r="B1324" t="str">
            <v>平头螺丝</v>
          </cell>
          <cell r="C1324" t="str">
            <v>只</v>
          </cell>
          <cell r="D1324" t="str">
            <v>紧固件</v>
          </cell>
        </row>
        <row r="1325">
          <cell r="A1325" t="str">
            <v>F2101186001</v>
          </cell>
          <cell r="B1325" t="str">
            <v>外六角十字法兰螺栓</v>
          </cell>
          <cell r="C1325" t="str">
            <v>只</v>
          </cell>
          <cell r="D1325" t="str">
            <v>紧固件</v>
          </cell>
        </row>
        <row r="1326">
          <cell r="A1326" t="str">
            <v>Y0301001027</v>
          </cell>
          <cell r="B1326" t="str">
            <v>平头螺丝</v>
          </cell>
          <cell r="C1326" t="str">
            <v>只</v>
          </cell>
          <cell r="D1326" t="str">
            <v>紧固件</v>
          </cell>
        </row>
        <row r="1327">
          <cell r="A1327" t="str">
            <v>F2101001010</v>
          </cell>
          <cell r="B1327" t="str">
            <v>不锈钢十字槽盘头螺钉</v>
          </cell>
          <cell r="C1327" t="str">
            <v>只</v>
          </cell>
          <cell r="D1327" t="str">
            <v>紧固件</v>
          </cell>
        </row>
        <row r="1328">
          <cell r="A1328" t="str">
            <v>Y0301013013</v>
          </cell>
          <cell r="B1328" t="str">
            <v>法兰面六角罗丝</v>
          </cell>
          <cell r="C1328" t="str">
            <v>只</v>
          </cell>
          <cell r="D1328" t="str">
            <v>紧固件</v>
          </cell>
        </row>
        <row r="1329">
          <cell r="A1329" t="str">
            <v>Y0301004008</v>
          </cell>
          <cell r="B1329" t="str">
            <v>不锈钢十字槽沉头螺钉</v>
          </cell>
          <cell r="C1329" t="str">
            <v>只</v>
          </cell>
          <cell r="D1329" t="str">
            <v>紧固件</v>
          </cell>
        </row>
        <row r="1330">
          <cell r="A1330" t="str">
            <v>Y0301005022</v>
          </cell>
          <cell r="B1330" t="str">
            <v>十字槽圆头自攻罗丝</v>
          </cell>
          <cell r="C1330" t="str">
            <v>只</v>
          </cell>
          <cell r="D1330" t="str">
            <v>紧固件</v>
          </cell>
        </row>
        <row r="1331">
          <cell r="A1331" t="str">
            <v>Y0301003011</v>
          </cell>
          <cell r="B1331" t="str">
            <v>不锈钢十字槽盘头螺钉</v>
          </cell>
          <cell r="C1331" t="str">
            <v>只</v>
          </cell>
          <cell r="D1331" t="str">
            <v>紧固件</v>
          </cell>
        </row>
        <row r="1332">
          <cell r="A1332" t="str">
            <v>Y0301002041</v>
          </cell>
          <cell r="B1332" t="str">
            <v>十字槽盘头螺钉</v>
          </cell>
          <cell r="C1332" t="str">
            <v>只</v>
          </cell>
          <cell r="D1332" t="str">
            <v>紧固件</v>
          </cell>
        </row>
        <row r="1333">
          <cell r="A1333" t="str">
            <v>F0307004010</v>
          </cell>
          <cell r="B1333" t="str">
            <v>喇叭罩电镀件</v>
          </cell>
          <cell r="C1333" t="str">
            <v>件</v>
          </cell>
          <cell r="D1333" t="str">
            <v>组合大灯附件</v>
          </cell>
        </row>
        <row r="1334">
          <cell r="A1334" t="str">
            <v>F0201003118.4</v>
          </cell>
          <cell r="B1334" t="str">
            <v>左后制动钳</v>
          </cell>
          <cell r="C1334" t="str">
            <v>件</v>
          </cell>
          <cell r="D1334" t="str">
            <v>车身部件</v>
          </cell>
        </row>
        <row r="1335">
          <cell r="A1335" t="str">
            <v>F0201003118.5</v>
          </cell>
          <cell r="B1335" t="str">
            <v>右后制动钳</v>
          </cell>
          <cell r="C1335" t="str">
            <v>件</v>
          </cell>
          <cell r="D1335" t="str">
            <v>车身部件</v>
          </cell>
        </row>
        <row r="1336">
          <cell r="A1336" t="str">
            <v>F0102089092</v>
          </cell>
          <cell r="B1336" t="str">
            <v>侧踏板连接梁</v>
          </cell>
          <cell r="C1336" t="str">
            <v>只</v>
          </cell>
          <cell r="D1336" t="str">
            <v>车身部件（支架等）</v>
          </cell>
        </row>
        <row r="1337">
          <cell r="A1337" t="str">
            <v>F0102089092</v>
          </cell>
          <cell r="B1337" t="str">
            <v>侧踏板连接梁</v>
          </cell>
          <cell r="C1337" t="str">
            <v>只</v>
          </cell>
          <cell r="D1337" t="str">
            <v>车身部件（支架等）</v>
          </cell>
        </row>
        <row r="1338">
          <cell r="A1338" t="str">
            <v>F0102089092</v>
          </cell>
          <cell r="B1338" t="str">
            <v>侧踏板连接梁</v>
          </cell>
          <cell r="C1338" t="str">
            <v>只</v>
          </cell>
          <cell r="D1338" t="str">
            <v>车身部件（支架等）</v>
          </cell>
        </row>
        <row r="1339">
          <cell r="A1339" t="str">
            <v>F0102087029</v>
          </cell>
          <cell r="B1339" t="str">
            <v>踏板转接支架</v>
          </cell>
          <cell r="C1339" t="str">
            <v>件</v>
          </cell>
          <cell r="D1339" t="str">
            <v>车身部件（支架等）</v>
          </cell>
        </row>
        <row r="1340">
          <cell r="A1340" t="str">
            <v>F0103009062</v>
          </cell>
          <cell r="B1340" t="str">
            <v>S款4座合页玻璃/卡扣式</v>
          </cell>
          <cell r="C1340" t="str">
            <v>套</v>
          </cell>
          <cell r="D1340" t="str">
            <v>塑料件</v>
          </cell>
        </row>
        <row r="1341">
          <cell r="A1341" t="str">
            <v>F0102077022.3</v>
          </cell>
          <cell r="B1341" t="str">
            <v>连接梁</v>
          </cell>
          <cell r="C1341" t="str">
            <v>件</v>
          </cell>
          <cell r="D1341" t="str">
            <v>车身部件（支架等）</v>
          </cell>
        </row>
        <row r="1342">
          <cell r="A1342" t="str">
            <v>F0102077022.3</v>
          </cell>
          <cell r="B1342" t="str">
            <v>连接梁</v>
          </cell>
          <cell r="C1342" t="str">
            <v>件</v>
          </cell>
          <cell r="D1342" t="str">
            <v>车身部件（支架等）</v>
          </cell>
        </row>
        <row r="1343">
          <cell r="A1343" t="str">
            <v>F0102073058</v>
          </cell>
          <cell r="B1343" t="str">
            <v>前立柱胶塞 左</v>
          </cell>
          <cell r="C1343" t="str">
            <v>只</v>
          </cell>
          <cell r="D1343" t="str">
            <v>塑料件</v>
          </cell>
        </row>
        <row r="1344">
          <cell r="A1344" t="str">
            <v>F0102073059</v>
          </cell>
          <cell r="B1344" t="str">
            <v>前立柱胶塞 右</v>
          </cell>
          <cell r="C1344" t="str">
            <v>只</v>
          </cell>
          <cell r="D1344" t="str">
            <v>塑料件</v>
          </cell>
        </row>
        <row r="1345">
          <cell r="A1345" t="str">
            <v>F0202010220</v>
          </cell>
          <cell r="B1345" t="str">
            <v>铝轮辋</v>
          </cell>
          <cell r="C1345" t="str">
            <v>只</v>
          </cell>
          <cell r="D1345" t="str">
            <v>轮毂</v>
          </cell>
        </row>
        <row r="1346">
          <cell r="A1346" t="str">
            <v>F0202010221</v>
          </cell>
          <cell r="B1346" t="str">
            <v>铝轮辋</v>
          </cell>
          <cell r="C1346" t="str">
            <v>只</v>
          </cell>
          <cell r="D1346" t="str">
            <v>轮毂</v>
          </cell>
        </row>
        <row r="1347">
          <cell r="A1347" t="str">
            <v>F0202008505</v>
          </cell>
          <cell r="B1347" t="str">
            <v>22*10-14轮胎总成</v>
          </cell>
          <cell r="C1347" t="str">
            <v>套</v>
          </cell>
          <cell r="D1347" t="str">
            <v>轮胎总成</v>
          </cell>
        </row>
        <row r="1348">
          <cell r="A1348" t="str">
            <v>F0202008523</v>
          </cell>
          <cell r="B1348" t="str">
            <v>215/35-14轮胎总成</v>
          </cell>
          <cell r="C1348" t="str">
            <v>套</v>
          </cell>
          <cell r="D1348" t="str">
            <v>轮胎总成</v>
          </cell>
        </row>
        <row r="1349">
          <cell r="A1349" t="str">
            <v>F0202008522</v>
          </cell>
          <cell r="B1349" t="str">
            <v>215/35-14轮胎总成</v>
          </cell>
          <cell r="C1349" t="str">
            <v>套</v>
          </cell>
          <cell r="D1349" t="str">
            <v>轮胎总成</v>
          </cell>
        </row>
        <row r="1350">
          <cell r="A1350" t="str">
            <v>F0202008520</v>
          </cell>
          <cell r="B1350" t="str">
            <v>22*10-14轮胎总成</v>
          </cell>
          <cell r="C1350" t="str">
            <v>套</v>
          </cell>
          <cell r="D1350" t="str">
            <v>轮胎总成</v>
          </cell>
        </row>
        <row r="1351">
          <cell r="A1351" t="str">
            <v>F0202008518</v>
          </cell>
          <cell r="B1351" t="str">
            <v>215/35-14轮胎总成</v>
          </cell>
          <cell r="C1351" t="str">
            <v>套</v>
          </cell>
          <cell r="D1351" t="str">
            <v>轮胎总成</v>
          </cell>
        </row>
        <row r="1352">
          <cell r="A1352" t="str">
            <v>F0202008020</v>
          </cell>
          <cell r="B1352" t="str">
            <v>12寸周转轮胎</v>
          </cell>
          <cell r="C1352" t="str">
            <v>套</v>
          </cell>
          <cell r="D1352" t="str">
            <v>轮胎总成</v>
          </cell>
        </row>
        <row r="1353">
          <cell r="A1353" t="str">
            <v>F0103009055</v>
          </cell>
          <cell r="B1353" t="str">
            <v>G款2座合页玻璃/卡扣式/茶色</v>
          </cell>
          <cell r="C1353" t="str">
            <v>件</v>
          </cell>
          <cell r="D1353" t="str">
            <v>塑料件</v>
          </cell>
        </row>
        <row r="1354">
          <cell r="A1354" t="str">
            <v>Z007</v>
          </cell>
          <cell r="B1354" t="str">
            <v>ABS料50KG(本色+灰色母)</v>
          </cell>
          <cell r="C1354" t="str">
            <v>套</v>
          </cell>
          <cell r="D1354" t="str">
            <v>塑料件</v>
          </cell>
        </row>
        <row r="1355">
          <cell r="A1355" t="str">
            <v>F0199003206</v>
          </cell>
          <cell r="B1355" t="str">
            <v>侧翻承重警示标贴</v>
          </cell>
          <cell r="C1355" t="str">
            <v>件</v>
          </cell>
          <cell r="D1355" t="str">
            <v>塑料件</v>
          </cell>
        </row>
        <row r="1356">
          <cell r="A1356" t="str">
            <v>F0304001561</v>
          </cell>
          <cell r="B1356" t="str">
            <v>ECO锂电池通讯连接线</v>
          </cell>
          <cell r="C1356" t="str">
            <v>件</v>
          </cell>
          <cell r="D1356" t="str">
            <v>线束</v>
          </cell>
        </row>
        <row r="1357">
          <cell r="A1357" t="str">
            <v>F0308035023</v>
          </cell>
          <cell r="B1357" t="str">
            <v>电源开关及线束</v>
          </cell>
          <cell r="C1357" t="str">
            <v>件</v>
          </cell>
          <cell r="D1357" t="str">
            <v>线束</v>
          </cell>
        </row>
        <row r="1358">
          <cell r="A1358" t="str">
            <v>F0308035022</v>
          </cell>
          <cell r="B1358" t="str">
            <v>喇叭罩三通</v>
          </cell>
          <cell r="C1358" t="str">
            <v>件</v>
          </cell>
          <cell r="D1358" t="str">
            <v>塑料件</v>
          </cell>
        </row>
        <row r="1359">
          <cell r="A1359" t="str">
            <v>F0308035005</v>
          </cell>
          <cell r="B1359" t="str">
            <v>车底灯</v>
          </cell>
          <cell r="C1359" t="str">
            <v>件</v>
          </cell>
          <cell r="D1359" t="str">
            <v>组合大灯</v>
          </cell>
        </row>
        <row r="1360">
          <cell r="A1360" t="str">
            <v>F0308035027</v>
          </cell>
          <cell r="B1360" t="str">
            <v>座椅靠背延长线/单根延长</v>
          </cell>
          <cell r="C1360" t="str">
            <v>件</v>
          </cell>
          <cell r="D1360" t="str">
            <v>线束</v>
          </cell>
        </row>
        <row r="1361">
          <cell r="A1361" t="str">
            <v>Y0301027003</v>
          </cell>
          <cell r="B1361" t="str">
            <v>铜嵌件(5*10)</v>
          </cell>
          <cell r="C1361" t="str">
            <v>件</v>
          </cell>
          <cell r="D1361" t="str">
            <v>紧固件</v>
          </cell>
        </row>
        <row r="1362">
          <cell r="A1362" t="str">
            <v>F0102045024</v>
          </cell>
          <cell r="B1362" t="str">
            <v>四座中座桶</v>
          </cell>
          <cell r="C1362" t="str">
            <v>件</v>
          </cell>
          <cell r="D1362" t="str">
            <v>塑料件</v>
          </cell>
        </row>
        <row r="1363">
          <cell r="A1363" t="str">
            <v>F0102045542</v>
          </cell>
          <cell r="B1363" t="str">
            <v>顶棚/金属油漆件</v>
          </cell>
          <cell r="C1363" t="str">
            <v>件</v>
          </cell>
          <cell r="D1363" t="str">
            <v>塑料件</v>
          </cell>
        </row>
        <row r="1364">
          <cell r="A1364" t="str">
            <v>F0102045543</v>
          </cell>
          <cell r="B1364" t="str">
            <v>顶棚/哑光油漆件</v>
          </cell>
          <cell r="C1364" t="str">
            <v>件</v>
          </cell>
          <cell r="D1364" t="str">
            <v>塑料件</v>
          </cell>
        </row>
        <row r="1365">
          <cell r="A1365" t="str">
            <v>F0102047507</v>
          </cell>
          <cell r="B1365" t="str">
            <v>顶棚/油漆件</v>
          </cell>
          <cell r="C1365" t="str">
            <v>件</v>
          </cell>
          <cell r="D1365" t="str">
            <v>塑料件</v>
          </cell>
        </row>
        <row r="1366">
          <cell r="A1366" t="str">
            <v>F0102047526</v>
          </cell>
          <cell r="B1366" t="str">
            <v>顶棚/金属油漆件</v>
          </cell>
          <cell r="C1366" t="str">
            <v>件</v>
          </cell>
          <cell r="D1366" t="str">
            <v>塑料件</v>
          </cell>
        </row>
        <row r="1367">
          <cell r="A1367" t="str">
            <v>F0102047527</v>
          </cell>
          <cell r="B1367" t="str">
            <v>顶棚/哑光油漆件</v>
          </cell>
          <cell r="C1367" t="str">
            <v>件</v>
          </cell>
          <cell r="D1367" t="str">
            <v>塑料件</v>
          </cell>
        </row>
        <row r="1368">
          <cell r="A1368" t="str">
            <v>F0102048511</v>
          </cell>
          <cell r="B1368" t="str">
            <v>顶棚/哑光油漆件</v>
          </cell>
          <cell r="C1368" t="str">
            <v>件</v>
          </cell>
          <cell r="D1368" t="str">
            <v>塑料件</v>
          </cell>
        </row>
        <row r="1369">
          <cell r="A1369" t="str">
            <v>F0102048501</v>
          </cell>
          <cell r="B1369" t="str">
            <v>顶棚/油漆件</v>
          </cell>
          <cell r="C1369" t="str">
            <v>件</v>
          </cell>
          <cell r="D1369" t="str">
            <v>塑料件</v>
          </cell>
        </row>
        <row r="1370">
          <cell r="A1370" t="str">
            <v>F0102048510</v>
          </cell>
          <cell r="B1370" t="str">
            <v>顶棚/金属油漆件</v>
          </cell>
          <cell r="C1370" t="str">
            <v>件</v>
          </cell>
          <cell r="D1370" t="str">
            <v>塑料件</v>
          </cell>
        </row>
        <row r="1371">
          <cell r="A1371" t="str">
            <v>F0102081503</v>
          </cell>
          <cell r="B1371" t="str">
            <v>4座注塑顶棚/油漆件</v>
          </cell>
          <cell r="C1371" t="str">
            <v>件</v>
          </cell>
          <cell r="D1371" t="str">
            <v>塑料件</v>
          </cell>
        </row>
        <row r="1372">
          <cell r="A1372" t="str">
            <v>F0102081504</v>
          </cell>
          <cell r="B1372" t="str">
            <v>4座注塑顶棚/金属油漆件</v>
          </cell>
          <cell r="C1372" t="str">
            <v>件</v>
          </cell>
          <cell r="D1372" t="str">
            <v>塑料件</v>
          </cell>
        </row>
        <row r="1373">
          <cell r="A1373" t="str">
            <v>F0102081505</v>
          </cell>
          <cell r="B1373" t="str">
            <v>4座注塑顶棚/哑光油漆件</v>
          </cell>
          <cell r="C1373" t="str">
            <v>件</v>
          </cell>
          <cell r="D1373" t="str">
            <v>塑料件</v>
          </cell>
        </row>
        <row r="1374">
          <cell r="A1374" t="str">
            <v>F0102073520</v>
          </cell>
          <cell r="B1374" t="str">
            <v>顶棚左前支架/2座G款</v>
          </cell>
          <cell r="C1374" t="str">
            <v>件</v>
          </cell>
          <cell r="D1374" t="str">
            <v>车身部件（支架等）</v>
          </cell>
        </row>
        <row r="1375">
          <cell r="A1375" t="str">
            <v>F0102073521</v>
          </cell>
          <cell r="B1375" t="str">
            <v>顶棚右前支架/2座G款</v>
          </cell>
          <cell r="C1375" t="str">
            <v>件</v>
          </cell>
          <cell r="D1375" t="str">
            <v>车身部件（支架等）</v>
          </cell>
        </row>
        <row r="1376">
          <cell r="A1376" t="str">
            <v>F0102045567</v>
          </cell>
          <cell r="B1376" t="str">
            <v>顶棚后支撑 左</v>
          </cell>
          <cell r="C1376" t="str">
            <v>件</v>
          </cell>
          <cell r="D1376" t="str">
            <v>车身部件（支架等）</v>
          </cell>
        </row>
        <row r="1377">
          <cell r="A1377" t="str">
            <v>F0102045568</v>
          </cell>
          <cell r="B1377" t="str">
            <v>顶棚后支撑 右</v>
          </cell>
          <cell r="C1377" t="str">
            <v>件</v>
          </cell>
          <cell r="D1377" t="str">
            <v>车身部件（支架等）</v>
          </cell>
        </row>
        <row r="1378">
          <cell r="A1378" t="str">
            <v>F0102045507</v>
          </cell>
          <cell r="B1378" t="str">
            <v>球童拉手/电泳、喷塑</v>
          </cell>
          <cell r="C1378" t="str">
            <v>件</v>
          </cell>
          <cell r="D1378" t="str">
            <v>车身部件（支架等）</v>
          </cell>
        </row>
        <row r="1379">
          <cell r="A1379" t="str">
            <v>F0102047522</v>
          </cell>
          <cell r="B1379" t="str">
            <v>保温箱（5号）支架/电泳、喷塑</v>
          </cell>
          <cell r="C1379" t="str">
            <v>件</v>
          </cell>
          <cell r="D1379" t="str">
            <v>车身部件（支架等）</v>
          </cell>
        </row>
        <row r="1380">
          <cell r="A1380" t="str">
            <v>F0102074519</v>
          </cell>
          <cell r="B1380" t="str">
            <v>顶棚前支架</v>
          </cell>
          <cell r="C1380" t="str">
            <v>件</v>
          </cell>
          <cell r="D1380" t="str">
            <v>车身部件（支架等）</v>
          </cell>
        </row>
        <row r="1381">
          <cell r="A1381" t="str">
            <v>F0102063528</v>
          </cell>
          <cell r="B1381" t="str">
            <v>顶棚后支撑</v>
          </cell>
          <cell r="C1381" t="str">
            <v>件</v>
          </cell>
          <cell r="D1381" t="str">
            <v>车身部件（支架等）</v>
          </cell>
        </row>
        <row r="1382">
          <cell r="A1382" t="str">
            <v>F0102047547</v>
          </cell>
          <cell r="B1382" t="str">
            <v>顶棚后支撑 左（配声霸线卡）</v>
          </cell>
          <cell r="C1382" t="str">
            <v>件</v>
          </cell>
          <cell r="D1382" t="str">
            <v>车身部件（支架等）</v>
          </cell>
        </row>
        <row r="1383">
          <cell r="A1383" t="str">
            <v>F0102047548</v>
          </cell>
          <cell r="B1383" t="str">
            <v>顶棚后支撑 右（配声霸线卡）</v>
          </cell>
          <cell r="C1383" t="str">
            <v>件</v>
          </cell>
          <cell r="D1383" t="str">
            <v>车身部件（支架等）</v>
          </cell>
        </row>
        <row r="1384">
          <cell r="A1384" t="str">
            <v>F0102045510</v>
          </cell>
          <cell r="B1384" t="str">
            <v>球童拉手/电泳、喷塑</v>
          </cell>
          <cell r="C1384" t="str">
            <v>件</v>
          </cell>
          <cell r="D1384" t="str">
            <v>车身部件（支架等）</v>
          </cell>
        </row>
        <row r="1385">
          <cell r="A1385" t="str">
            <v>F0102047515</v>
          </cell>
          <cell r="B1385" t="str">
            <v>球童拉手/电泳、喷塑</v>
          </cell>
          <cell r="C1385" t="str">
            <v>件</v>
          </cell>
          <cell r="D1385" t="str">
            <v>车身部件（支架等）</v>
          </cell>
        </row>
        <row r="1386">
          <cell r="A1386" t="str">
            <v>F0102074502</v>
          </cell>
          <cell r="B1386" t="str">
            <v>顶棚加强梁/电泳、喷塑</v>
          </cell>
          <cell r="C1386" t="str">
            <v>件</v>
          </cell>
          <cell r="D1386" t="str">
            <v>车身部件（支架等）</v>
          </cell>
        </row>
        <row r="1387">
          <cell r="A1387" t="str">
            <v>F0102075501</v>
          </cell>
          <cell r="B1387" t="str">
            <v>顶棚加强梁/电泳、喷塑</v>
          </cell>
          <cell r="C1387" t="str">
            <v>件</v>
          </cell>
          <cell r="D1387" t="str">
            <v>车身部件（支架等）</v>
          </cell>
        </row>
        <row r="1388">
          <cell r="A1388" t="str">
            <v>F0102073501</v>
          </cell>
          <cell r="B1388" t="str">
            <v>前保险杠/G款打猎车/电泳、喷塑</v>
          </cell>
          <cell r="C1388" t="str">
            <v>件</v>
          </cell>
          <cell r="D1388" t="str">
            <v>车身部件</v>
          </cell>
        </row>
        <row r="1389">
          <cell r="A1389" t="str">
            <v>F0102086524</v>
          </cell>
          <cell r="B1389" t="str">
            <v>制动踏板总成</v>
          </cell>
          <cell r="C1389" t="str">
            <v>件</v>
          </cell>
          <cell r="D1389" t="str">
            <v>车身部件</v>
          </cell>
        </row>
        <row r="1390">
          <cell r="A1390" t="str">
            <v>F0102086525</v>
          </cell>
          <cell r="B1390" t="str">
            <v>前靠背支架</v>
          </cell>
          <cell r="C1390" t="str">
            <v>件</v>
          </cell>
          <cell r="D1390" t="str">
            <v>车身部件</v>
          </cell>
        </row>
        <row r="1391">
          <cell r="A1391" t="str">
            <v>F0102086526</v>
          </cell>
          <cell r="B1391" t="str">
            <v>中座桶骨架</v>
          </cell>
          <cell r="C1391" t="str">
            <v>件</v>
          </cell>
          <cell r="D1391" t="str">
            <v>车身部件</v>
          </cell>
        </row>
        <row r="1392">
          <cell r="A1392" t="str">
            <v>F0102086527</v>
          </cell>
          <cell r="B1392" t="str">
            <v>后靠背支架</v>
          </cell>
          <cell r="C1392" t="str">
            <v>件</v>
          </cell>
          <cell r="D1392" t="str">
            <v>车身部件</v>
          </cell>
        </row>
        <row r="1393">
          <cell r="A1393" t="str">
            <v>F0102087518</v>
          </cell>
          <cell r="B1393" t="str">
            <v>顶棚前支架/电泳、喷塑</v>
          </cell>
          <cell r="C1393" t="str">
            <v>件</v>
          </cell>
          <cell r="D1393" t="str">
            <v>车身部件</v>
          </cell>
        </row>
        <row r="1394">
          <cell r="A1394" t="str">
            <v>F0102087506</v>
          </cell>
          <cell r="B1394" t="str">
            <v>顶棚后支架 左</v>
          </cell>
          <cell r="C1394" t="str">
            <v>件</v>
          </cell>
          <cell r="D1394" t="str">
            <v>车身部件</v>
          </cell>
        </row>
        <row r="1395">
          <cell r="A1395" t="str">
            <v>F0102087507</v>
          </cell>
          <cell r="B1395" t="str">
            <v>顶棚后支架 右</v>
          </cell>
          <cell r="C1395" t="str">
            <v>件</v>
          </cell>
          <cell r="D1395" t="str">
            <v>车身部件</v>
          </cell>
        </row>
        <row r="1396">
          <cell r="A1396" t="str">
            <v>F0102087519</v>
          </cell>
          <cell r="B1396" t="str">
            <v>铁制保险杠（小）</v>
          </cell>
          <cell r="C1396" t="str">
            <v>件</v>
          </cell>
          <cell r="D1396" t="str">
            <v>车身部件</v>
          </cell>
        </row>
        <row r="1397">
          <cell r="A1397" t="str">
            <v>F0102087509</v>
          </cell>
          <cell r="B1397" t="str">
            <v>铁制保险杠（大）</v>
          </cell>
          <cell r="C1397" t="str">
            <v>件</v>
          </cell>
          <cell r="D1397" t="str">
            <v>车身部件</v>
          </cell>
        </row>
        <row r="1398">
          <cell r="A1398" t="str">
            <v>F0102086532</v>
          </cell>
          <cell r="B1398" t="str">
            <v>球包架</v>
          </cell>
          <cell r="C1398" t="str">
            <v>件</v>
          </cell>
          <cell r="D1398" t="str">
            <v>车身部件</v>
          </cell>
        </row>
        <row r="1399">
          <cell r="A1399" t="str">
            <v>F0102087513</v>
          </cell>
          <cell r="B1399" t="str">
            <v>踏板转接支架</v>
          </cell>
          <cell r="C1399" t="str">
            <v>件</v>
          </cell>
          <cell r="D1399" t="str">
            <v>车身部件</v>
          </cell>
        </row>
        <row r="1400">
          <cell r="A1400" t="str">
            <v>F0103017041</v>
          </cell>
          <cell r="B1400" t="str">
            <v>左后视镜/带转向灯</v>
          </cell>
          <cell r="C1400" t="str">
            <v>只</v>
          </cell>
          <cell r="D1400" t="str">
            <v>车身部件</v>
          </cell>
        </row>
        <row r="1401">
          <cell r="A1401" t="str">
            <v>F0103017042</v>
          </cell>
          <cell r="B1401" t="str">
            <v>右后视镜/带转向灯</v>
          </cell>
          <cell r="C1401" t="str">
            <v>只</v>
          </cell>
          <cell r="D1401" t="str">
            <v>车身部件</v>
          </cell>
        </row>
        <row r="1402">
          <cell r="A1402" t="str">
            <v>F2111000226</v>
          </cell>
          <cell r="B1402" t="str">
            <v>4+2座标准件</v>
          </cell>
          <cell r="C1402" t="str">
            <v>盒</v>
          </cell>
          <cell r="D1402" t="str">
            <v>紧固件</v>
          </cell>
        </row>
        <row r="1403">
          <cell r="A1403" t="str">
            <v>F0102064501</v>
          </cell>
          <cell r="B1403" t="str">
            <v>中座框</v>
          </cell>
          <cell r="C1403" t="str">
            <v>件</v>
          </cell>
          <cell r="D1403" t="str">
            <v>车身部件</v>
          </cell>
        </row>
        <row r="1404">
          <cell r="A1404" t="str">
            <v>F0102064501</v>
          </cell>
          <cell r="B1404" t="str">
            <v>中座框</v>
          </cell>
          <cell r="C1404" t="str">
            <v>件</v>
          </cell>
          <cell r="D1404" t="str">
            <v>车身部件</v>
          </cell>
        </row>
        <row r="1405">
          <cell r="A1405" t="str">
            <v>F0102081510</v>
          </cell>
          <cell r="B1405" t="str">
            <v>顶棚加强梁</v>
          </cell>
          <cell r="C1405" t="str">
            <v>只</v>
          </cell>
          <cell r="D1405" t="str">
            <v>车身部件</v>
          </cell>
        </row>
        <row r="1406">
          <cell r="A1406" t="str">
            <v>F0102081510</v>
          </cell>
          <cell r="B1406" t="str">
            <v>顶棚加强梁</v>
          </cell>
          <cell r="C1406" t="str">
            <v>只</v>
          </cell>
          <cell r="D1406" t="str">
            <v>车身部件</v>
          </cell>
        </row>
        <row r="1407">
          <cell r="A1407" t="str">
            <v>F0102064501</v>
          </cell>
          <cell r="B1407" t="str">
            <v>中座框</v>
          </cell>
          <cell r="C1407" t="str">
            <v>件</v>
          </cell>
          <cell r="D1407" t="str">
            <v>车身部件</v>
          </cell>
        </row>
        <row r="1408">
          <cell r="A1408" t="str">
            <v>F2111000238</v>
          </cell>
          <cell r="B1408" t="str">
            <v>v1G款标准件盒</v>
          </cell>
          <cell r="C1408" t="str">
            <v>盒</v>
          </cell>
          <cell r="D1408" t="str">
            <v>紧固件</v>
          </cell>
        </row>
        <row r="1409">
          <cell r="A1409" t="str">
            <v>F0102074002</v>
          </cell>
          <cell r="B1409" t="str">
            <v>车架总成/双横臂打猎车/4座G款</v>
          </cell>
          <cell r="C1409" t="str">
            <v>件</v>
          </cell>
          <cell r="D1409" t="str">
            <v>车架</v>
          </cell>
        </row>
        <row r="1410">
          <cell r="A1410" t="str">
            <v>F0102065501</v>
          </cell>
          <cell r="B1410" t="str">
            <v>电池框</v>
          </cell>
          <cell r="C1410" t="str">
            <v>件</v>
          </cell>
          <cell r="D1410" t="str">
            <v>车身部件（支架等）</v>
          </cell>
        </row>
        <row r="1411">
          <cell r="A1411" t="str">
            <v>F0102063502</v>
          </cell>
          <cell r="B1411" t="str">
            <v>前挡板/电泳、喷塑</v>
          </cell>
          <cell r="C1411" t="str">
            <v>件</v>
          </cell>
          <cell r="D1411" t="str">
            <v>车身部件（支架等）</v>
          </cell>
        </row>
        <row r="1412">
          <cell r="A1412" t="str">
            <v>F0102047509</v>
          </cell>
          <cell r="B1412" t="str">
            <v>下底板/电泳、喷塑</v>
          </cell>
          <cell r="C1412" t="str">
            <v>件</v>
          </cell>
          <cell r="D1412" t="str">
            <v>车身部件（支架等）</v>
          </cell>
        </row>
        <row r="1413">
          <cell r="A1413" t="str">
            <v>F0102047503</v>
          </cell>
          <cell r="B1413" t="str">
            <v>座椅桶支架/电泳、喷塑</v>
          </cell>
          <cell r="C1413" t="str">
            <v>件</v>
          </cell>
          <cell r="D1413" t="str">
            <v>车身部件（支架等）</v>
          </cell>
        </row>
        <row r="1414">
          <cell r="A1414" t="str">
            <v>F0202008624</v>
          </cell>
          <cell r="B1414" t="str">
            <v>22*10-14轮胎总成</v>
          </cell>
          <cell r="C1414" t="str">
            <v>套</v>
          </cell>
          <cell r="D1414" t="str">
            <v>轮胎</v>
          </cell>
        </row>
        <row r="1415">
          <cell r="A1415" t="str">
            <v>F0204002029</v>
          </cell>
          <cell r="B1415" t="str">
            <v>方向管柱</v>
          </cell>
          <cell r="C1415" t="str">
            <v>件</v>
          </cell>
          <cell r="D1415" t="str">
            <v>制动部件</v>
          </cell>
        </row>
        <row r="1416">
          <cell r="A1416" t="str">
            <v>F0102073029</v>
          </cell>
          <cell r="B1416" t="str">
            <v>轴管护套/G款/L=200mm</v>
          </cell>
          <cell r="C1416" t="str">
            <v>只</v>
          </cell>
          <cell r="D1416" t="str">
            <v>制动部件</v>
          </cell>
        </row>
        <row r="1417">
          <cell r="A1417" t="str">
            <v>F0102073504</v>
          </cell>
          <cell r="B1417" t="str">
            <v>前罩/金属油漆件</v>
          </cell>
          <cell r="C1417" t="str">
            <v>件</v>
          </cell>
          <cell r="D1417" t="str">
            <v>塑料件</v>
          </cell>
        </row>
        <row r="1418">
          <cell r="A1418" t="str">
            <v>F0102073508</v>
          </cell>
          <cell r="B1418" t="str">
            <v>前保支架/电泳、喷塑</v>
          </cell>
          <cell r="C1418" t="str">
            <v>件</v>
          </cell>
          <cell r="D1418" t="str">
            <v>车身部件（支架等）</v>
          </cell>
        </row>
        <row r="1419">
          <cell r="A1419" t="str">
            <v>F0102073009</v>
          </cell>
          <cell r="B1419" t="str">
            <v>中控开关面板</v>
          </cell>
          <cell r="C1419" t="str">
            <v>件</v>
          </cell>
          <cell r="D1419" t="str">
            <v>塑料件</v>
          </cell>
        </row>
        <row r="1420">
          <cell r="A1420" t="str">
            <v>F0102073010</v>
          </cell>
          <cell r="B1420" t="str">
            <v>附件电器座</v>
          </cell>
          <cell r="C1420" t="str">
            <v>件</v>
          </cell>
          <cell r="D1420" t="str">
            <v>塑料件</v>
          </cell>
        </row>
        <row r="1421">
          <cell r="A1421" t="str">
            <v>F0102073032</v>
          </cell>
          <cell r="B1421" t="str">
            <v>仪表台堵盖</v>
          </cell>
          <cell r="C1421" t="str">
            <v>件</v>
          </cell>
          <cell r="D1421" t="str">
            <v>塑料件</v>
          </cell>
        </row>
        <row r="1422">
          <cell r="A1422" t="str">
            <v>F0102073018</v>
          </cell>
          <cell r="B1422" t="str">
            <v>方向管柱套</v>
          </cell>
          <cell r="C1422" t="str">
            <v>件</v>
          </cell>
          <cell r="D1422" t="str">
            <v>三元乙丙橡胶</v>
          </cell>
        </row>
        <row r="1423">
          <cell r="A1423" t="str">
            <v>F0102045040</v>
          </cell>
          <cell r="B1423" t="str">
            <v>四座地板革</v>
          </cell>
          <cell r="C1423" t="str">
            <v>只</v>
          </cell>
          <cell r="D1423" t="str">
            <v>塑料件</v>
          </cell>
        </row>
        <row r="1424">
          <cell r="A1424" t="str">
            <v>F0102045546</v>
          </cell>
          <cell r="B1424" t="str">
            <v>四座中座桶/金属油漆件</v>
          </cell>
          <cell r="C1424" t="str">
            <v>件</v>
          </cell>
          <cell r="D1424" t="str">
            <v>车身部件</v>
          </cell>
        </row>
        <row r="1425">
          <cell r="A1425" t="str">
            <v>F0102047510</v>
          </cell>
          <cell r="B1425" t="str">
            <v>四座中座靠背支架/电泳、喷塑</v>
          </cell>
          <cell r="C1425" t="str">
            <v>件</v>
          </cell>
          <cell r="D1425" t="str">
            <v>车身部件</v>
          </cell>
        </row>
        <row r="1426">
          <cell r="A1426" t="str">
            <v>F0103014260</v>
          </cell>
          <cell r="B1426" t="str">
            <v>靠背</v>
          </cell>
          <cell r="C1426" t="str">
            <v>件</v>
          </cell>
          <cell r="D1426" t="str">
            <v>座椅套装</v>
          </cell>
        </row>
        <row r="1427">
          <cell r="A1427" t="str">
            <v>F0102063027</v>
          </cell>
          <cell r="B1427" t="str">
            <v>新款靠背罩</v>
          </cell>
          <cell r="C1427" t="str">
            <v>件</v>
          </cell>
          <cell r="D1427" t="str">
            <v>座椅套装</v>
          </cell>
        </row>
        <row r="1428">
          <cell r="A1428" t="str">
            <v>F0103014261</v>
          </cell>
          <cell r="B1428" t="str">
            <v>坐垫</v>
          </cell>
          <cell r="C1428" t="str">
            <v>件</v>
          </cell>
          <cell r="D1428" t="str">
            <v>座椅套装</v>
          </cell>
        </row>
        <row r="1429">
          <cell r="A1429" t="str">
            <v>F0103014263</v>
          </cell>
          <cell r="B1429" t="str">
            <v>中桶坐垫</v>
          </cell>
          <cell r="C1429" t="str">
            <v>件</v>
          </cell>
          <cell r="D1429" t="str">
            <v>车身部件</v>
          </cell>
        </row>
        <row r="1430">
          <cell r="A1430" t="str">
            <v>F0102045014</v>
          </cell>
          <cell r="B1430" t="str">
            <v>扶手</v>
          </cell>
          <cell r="C1430" t="str">
            <v>只</v>
          </cell>
          <cell r="D1430" t="str">
            <v>塑料件</v>
          </cell>
        </row>
        <row r="1431">
          <cell r="A1431" t="str">
            <v>F0102045006</v>
          </cell>
          <cell r="B1431" t="str">
            <v>坐垫底板</v>
          </cell>
          <cell r="C1431" t="str">
            <v>只</v>
          </cell>
          <cell r="D1431" t="str">
            <v>车身部件</v>
          </cell>
        </row>
        <row r="1432">
          <cell r="A1432" t="str">
            <v>F0102045538</v>
          </cell>
          <cell r="B1432" t="str">
            <v>后罩/金属油漆件</v>
          </cell>
          <cell r="C1432" t="str">
            <v>件</v>
          </cell>
          <cell r="D1432" t="str">
            <v>塑料件</v>
          </cell>
        </row>
        <row r="1433">
          <cell r="A1433" t="str">
            <v>F0102047511</v>
          </cell>
          <cell r="B1433" t="str">
            <v>顶棚U形骨架(后支架后移70，顶棚下降140）/电泳、喷塑</v>
          </cell>
          <cell r="C1433" t="str">
            <v>件</v>
          </cell>
          <cell r="D1433" t="str">
            <v>车身部件（支架等）</v>
          </cell>
        </row>
        <row r="1434">
          <cell r="A1434" t="str">
            <v>F0102074501</v>
          </cell>
          <cell r="B1434" t="str">
            <v>顶棚前支架/电泳、喷塑</v>
          </cell>
          <cell r="C1434" t="str">
            <v>件</v>
          </cell>
          <cell r="D1434" t="str">
            <v>车身部件（支架等）</v>
          </cell>
        </row>
        <row r="1435">
          <cell r="A1435" t="str">
            <v>F0102047513</v>
          </cell>
          <cell r="B1435" t="str">
            <v>顶棚后支撑（后移70.下降140）/电泳、喷塑</v>
          </cell>
          <cell r="C1435" t="str">
            <v>件</v>
          </cell>
          <cell r="D1435" t="str">
            <v>车身部件（支架等）</v>
          </cell>
        </row>
        <row r="1436">
          <cell r="A1436" t="str">
            <v>F0103009024</v>
          </cell>
          <cell r="B1436" t="str">
            <v>G款前挡玻璃/4座/茶色/DOT</v>
          </cell>
          <cell r="C1436" t="str">
            <v>套</v>
          </cell>
          <cell r="D1436" t="str">
            <v>塑料件</v>
          </cell>
        </row>
        <row r="1437">
          <cell r="A1437" t="str">
            <v>F0102045033</v>
          </cell>
          <cell r="B1437" t="str">
            <v>翻转座椅</v>
          </cell>
          <cell r="C1437" t="str">
            <v>套</v>
          </cell>
          <cell r="D1437" t="str">
            <v>座椅套装</v>
          </cell>
        </row>
        <row r="1438">
          <cell r="A1438" t="str">
            <v>F2101057006</v>
          </cell>
          <cell r="B1438" t="str">
            <v>四方螺母</v>
          </cell>
          <cell r="C1438" t="str">
            <v>只</v>
          </cell>
          <cell r="D1438" t="str">
            <v>紧固件</v>
          </cell>
        </row>
        <row r="1439">
          <cell r="A1439" t="str">
            <v>F0102045034</v>
          </cell>
          <cell r="B1439" t="str">
            <v>翻转座椅下冰桶</v>
          </cell>
          <cell r="C1439" t="str">
            <v>只</v>
          </cell>
          <cell r="D1439" t="str">
            <v>塑料件</v>
          </cell>
        </row>
        <row r="1440">
          <cell r="A1440" t="str">
            <v>F0103014262</v>
          </cell>
          <cell r="B1440" t="str">
            <v>翻转座椅坐垫</v>
          </cell>
          <cell r="C1440" t="str">
            <v>件</v>
          </cell>
          <cell r="D1440" t="str">
            <v>塑料件</v>
          </cell>
        </row>
        <row r="1441">
          <cell r="A1441" t="str">
            <v>F0102045511</v>
          </cell>
          <cell r="B1441" t="str">
            <v>后排靠背支架（左）/后移70/电泳、喷塑</v>
          </cell>
          <cell r="C1441" t="str">
            <v>件</v>
          </cell>
          <cell r="D1441" t="str">
            <v>车身部件（支架等）</v>
          </cell>
        </row>
        <row r="1442">
          <cell r="A1442" t="str">
            <v>F0102045512</v>
          </cell>
          <cell r="B1442" t="str">
            <v>后排靠背支架（右）/后移70/电泳、喷塑</v>
          </cell>
          <cell r="C1442" t="str">
            <v>件</v>
          </cell>
          <cell r="D1442" t="str">
            <v>车身部件（支架等）</v>
          </cell>
        </row>
        <row r="1443">
          <cell r="A1443" t="str">
            <v>F0102045513</v>
          </cell>
          <cell r="B1443" t="str">
            <v>后座框前连接支架/后移70/电泳、喷塑</v>
          </cell>
          <cell r="C1443" t="str">
            <v>件</v>
          </cell>
          <cell r="D1443" t="str">
            <v>车身部件（支架等）</v>
          </cell>
        </row>
        <row r="1444">
          <cell r="A1444" t="str">
            <v>F0102045514</v>
          </cell>
          <cell r="B1444" t="str">
            <v>后座框前横梁支架/电泳、喷塑</v>
          </cell>
          <cell r="C1444" t="str">
            <v>件</v>
          </cell>
          <cell r="D1444" t="str">
            <v>车身部件（支架等）</v>
          </cell>
        </row>
        <row r="1445">
          <cell r="A1445" t="str">
            <v>F0102045515</v>
          </cell>
          <cell r="B1445" t="str">
            <v>后座框后横梁支架/后移70/电泳、喷塑</v>
          </cell>
          <cell r="C1445" t="str">
            <v>件</v>
          </cell>
          <cell r="D1445" t="str">
            <v>车身部件（支架等）</v>
          </cell>
        </row>
        <row r="1446">
          <cell r="A1446" t="str">
            <v>F0102078504</v>
          </cell>
          <cell r="B1446" t="str">
            <v>翻转座椅加强骨架</v>
          </cell>
          <cell r="C1446" t="str">
            <v>件</v>
          </cell>
          <cell r="D1446" t="str">
            <v>车身部件（支架等）</v>
          </cell>
        </row>
        <row r="1447">
          <cell r="A1447" t="str">
            <v>F0102078505</v>
          </cell>
          <cell r="B1447" t="str">
            <v>加强翻转支架（左）</v>
          </cell>
          <cell r="C1447" t="str">
            <v>件</v>
          </cell>
          <cell r="D1447" t="str">
            <v>车身部件（支架等）</v>
          </cell>
        </row>
        <row r="1448">
          <cell r="A1448" t="str">
            <v>F0102078506</v>
          </cell>
          <cell r="B1448" t="str">
            <v>加强翻转支架（右）</v>
          </cell>
          <cell r="C1448" t="str">
            <v>件</v>
          </cell>
          <cell r="D1448" t="str">
            <v>车身部件（支架等）</v>
          </cell>
        </row>
        <row r="1449">
          <cell r="A1449" t="str">
            <v>F0102045075</v>
          </cell>
          <cell r="B1449" t="str">
            <v>翻转座椅轴套</v>
          </cell>
          <cell r="C1449" t="str">
            <v>件</v>
          </cell>
          <cell r="D1449" t="str">
            <v>车身部件（支架等）</v>
          </cell>
        </row>
        <row r="1450">
          <cell r="A1450" t="str">
            <v>F0102045518</v>
          </cell>
          <cell r="B1450" t="str">
            <v>后座框后连接支架/下降50/电泳、喷塑</v>
          </cell>
          <cell r="C1450" t="str">
            <v>件</v>
          </cell>
          <cell r="D1450" t="str">
            <v>车身部件（支架等）</v>
          </cell>
        </row>
        <row r="1451">
          <cell r="A1451" t="str">
            <v>F0102045519</v>
          </cell>
          <cell r="B1451" t="str">
            <v>后踏板支架1/电泳、喷塑</v>
          </cell>
          <cell r="C1451" t="str">
            <v>件</v>
          </cell>
          <cell r="D1451" t="str">
            <v>车身部件（支架等）</v>
          </cell>
        </row>
        <row r="1452">
          <cell r="A1452" t="str">
            <v>F0102045520</v>
          </cell>
          <cell r="B1452" t="str">
            <v>后踏板支架2/电泳、喷塑</v>
          </cell>
          <cell r="C1452" t="str">
            <v>件</v>
          </cell>
          <cell r="D1452" t="str">
            <v>车身部件（支架等）</v>
          </cell>
        </row>
        <row r="1453">
          <cell r="A1453" t="str">
            <v>F0102047530</v>
          </cell>
          <cell r="B1453" t="str">
            <v>后扶手/带牌照灯/电泳、喷塑</v>
          </cell>
          <cell r="C1453" t="str">
            <v>件</v>
          </cell>
          <cell r="D1453" t="str">
            <v>车身部件（支架等）</v>
          </cell>
        </row>
        <row r="1454">
          <cell r="A1454" t="str">
            <v>F0102045558</v>
          </cell>
          <cell r="B1454" t="str">
            <v>前排靠背支座（左）/电泳、喷塑</v>
          </cell>
          <cell r="C1454" t="str">
            <v>件</v>
          </cell>
          <cell r="D1454" t="str">
            <v>车身部件（支架等）</v>
          </cell>
        </row>
        <row r="1455">
          <cell r="A1455" t="str">
            <v>F0102045559</v>
          </cell>
          <cell r="B1455" t="str">
            <v>前排靠背支座（右）/电泳、喷塑</v>
          </cell>
          <cell r="C1455" t="str">
            <v>件</v>
          </cell>
          <cell r="D1455" t="str">
            <v>车身部件（支架等）</v>
          </cell>
        </row>
        <row r="1456">
          <cell r="A1456" t="str">
            <v>F0103013009</v>
          </cell>
          <cell r="B1456" t="str">
            <v>两点安全带/卷盒</v>
          </cell>
          <cell r="C1456" t="str">
            <v>件</v>
          </cell>
          <cell r="D1456" t="str">
            <v>车身部件（支架等）</v>
          </cell>
        </row>
        <row r="1457">
          <cell r="A1457" t="str">
            <v>F0102047504</v>
          </cell>
          <cell r="B1457" t="str">
            <v>前中排安全带支架/电泳、喷塑</v>
          </cell>
          <cell r="C1457" t="str">
            <v>件</v>
          </cell>
          <cell r="D1457" t="str">
            <v>车身部件（支架等）</v>
          </cell>
        </row>
        <row r="1458">
          <cell r="A1458" t="str">
            <v>F0102073502</v>
          </cell>
          <cell r="B1458" t="str">
            <v>后摄像头支架/小草帽/电泳、喷塑</v>
          </cell>
          <cell r="C1458" t="str">
            <v>套</v>
          </cell>
          <cell r="D1458" t="str">
            <v>车身部件（支架等）</v>
          </cell>
        </row>
        <row r="1459">
          <cell r="A1459" t="str">
            <v>F0103099049.2</v>
          </cell>
          <cell r="B1459" t="str">
            <v>运动踏板</v>
          </cell>
          <cell r="C1459" t="str">
            <v>套</v>
          </cell>
          <cell r="D1459" t="str">
            <v>车身部件（支架等）</v>
          </cell>
        </row>
        <row r="1460">
          <cell r="A1460" t="str">
            <v>F0102047532</v>
          </cell>
          <cell r="B1460" t="str">
            <v>4座踏板支架/电泳、喷塑</v>
          </cell>
          <cell r="C1460" t="str">
            <v>件</v>
          </cell>
          <cell r="D1460" t="str">
            <v>车身部件（支架等）</v>
          </cell>
        </row>
        <row r="1461">
          <cell r="A1461" t="str">
            <v>F0199002117</v>
          </cell>
          <cell r="B1461" t="str">
            <v>点火锁钥匙Logo</v>
          </cell>
          <cell r="C1461" t="str">
            <v>件</v>
          </cell>
          <cell r="D1461" t="str">
            <v>塑料件</v>
          </cell>
        </row>
        <row r="1462">
          <cell r="A1462" t="str">
            <v>F0199002118</v>
          </cell>
          <cell r="B1462" t="str">
            <v>方向盘Logo</v>
          </cell>
          <cell r="C1462" t="str">
            <v>件</v>
          </cell>
          <cell r="D1462" t="str">
            <v>塑料件</v>
          </cell>
        </row>
        <row r="1463">
          <cell r="A1463" t="str">
            <v>F0199002119</v>
          </cell>
          <cell r="B1463" t="str">
            <v>WEV前标</v>
          </cell>
          <cell r="C1463" t="str">
            <v>件</v>
          </cell>
          <cell r="D1463" t="str">
            <v>塑料件</v>
          </cell>
        </row>
        <row r="1464">
          <cell r="A1464" t="str">
            <v>F0302012124</v>
          </cell>
          <cell r="B1464" t="str">
            <v>锂电电控/打猎车/锂电池/CAN/公制：km/h/新版</v>
          </cell>
          <cell r="C1464" t="str">
            <v>件</v>
          </cell>
          <cell r="D1464" t="str">
            <v>电控</v>
          </cell>
        </row>
        <row r="1465">
          <cell r="A1465" t="str">
            <v>F0301004080</v>
          </cell>
          <cell r="B1465" t="str">
            <v>磷酸铁锂电池/48V/104ah</v>
          </cell>
          <cell r="C1465" t="str">
            <v>组</v>
          </cell>
          <cell r="D1465" t="str">
            <v>电控</v>
          </cell>
        </row>
        <row r="1466">
          <cell r="A1466" t="str">
            <v>F0301013068</v>
          </cell>
          <cell r="B1466" t="str">
            <v>锂电充电机/CE/WTL4825ZG</v>
          </cell>
          <cell r="C1466" t="str">
            <v>件</v>
          </cell>
          <cell r="D1466" t="str">
            <v>充电机</v>
          </cell>
        </row>
        <row r="1467">
          <cell r="A1467" t="str">
            <v>F0102078507</v>
          </cell>
          <cell r="B1467" t="str">
            <v>UL充电机支架</v>
          </cell>
          <cell r="C1467" t="str">
            <v>件</v>
          </cell>
          <cell r="D1467" t="str">
            <v>车身部件（支架等）</v>
          </cell>
        </row>
        <row r="1468">
          <cell r="A1468" t="str">
            <v>F0301014028</v>
          </cell>
          <cell r="B1468" t="str">
            <v>防水充电插头带线总成/2.5米</v>
          </cell>
          <cell r="C1468" t="str">
            <v>件</v>
          </cell>
          <cell r="D1468" t="str">
            <v>线束</v>
          </cell>
        </row>
        <row r="1469">
          <cell r="A1469" t="str">
            <v>F0301014038</v>
          </cell>
          <cell r="B1469" t="str">
            <v>防水充电插座带线总成/0.8米</v>
          </cell>
          <cell r="C1469" t="str">
            <v>件</v>
          </cell>
          <cell r="D1469" t="str">
            <v>线束</v>
          </cell>
        </row>
        <row r="1470">
          <cell r="A1470" t="str">
            <v>F0308031089</v>
          </cell>
          <cell r="B1470" t="str">
            <v>组合仪表/CAN</v>
          </cell>
          <cell r="C1470" t="str">
            <v>件</v>
          </cell>
          <cell r="D1470" t="str">
            <v>车身部件</v>
          </cell>
        </row>
        <row r="1471">
          <cell r="A1471" t="str">
            <v>F0102045533</v>
          </cell>
          <cell r="B1471" t="str">
            <v>低音炮支架/电泳、喷塑</v>
          </cell>
          <cell r="C1471" t="str">
            <v>套</v>
          </cell>
          <cell r="D1471" t="str">
            <v>车身部件</v>
          </cell>
        </row>
        <row r="1472">
          <cell r="A1472" t="str">
            <v>F0304001529</v>
          </cell>
          <cell r="B1472" t="str">
            <v>WH2045K   4座球车锂电线束(含闪光器）</v>
          </cell>
          <cell r="C1472" t="str">
            <v>套</v>
          </cell>
          <cell r="D1472" t="str">
            <v>线束</v>
          </cell>
        </row>
        <row r="1473">
          <cell r="A1473" t="str">
            <v>F0307001029</v>
          </cell>
          <cell r="B1473" t="str">
            <v>10.1寸多功能仪表中控屏/带电池</v>
          </cell>
          <cell r="C1473" t="str">
            <v>件</v>
          </cell>
          <cell r="D1473" t="str">
            <v>车载液晶显示器</v>
          </cell>
        </row>
        <row r="1474">
          <cell r="A1474" t="str">
            <v>F0102045532</v>
          </cell>
          <cell r="B1474" t="str">
            <v>氛围灯开关支架/电泳、喷塑</v>
          </cell>
          <cell r="C1474" t="str">
            <v>件</v>
          </cell>
          <cell r="D1474" t="str">
            <v>车身部件（支架等）</v>
          </cell>
        </row>
        <row r="1475">
          <cell r="A1475" t="str">
            <v>F0308035016</v>
          </cell>
          <cell r="B1475" t="str">
            <v>整车氛围灯总成（不含喇叭罩电镀件、导光件和座椅靠背灯）</v>
          </cell>
          <cell r="C1475" t="str">
            <v>件</v>
          </cell>
          <cell r="D1475" t="str">
            <v>组合大灯</v>
          </cell>
        </row>
        <row r="1476">
          <cell r="A1476" t="str">
            <v>F99001043034</v>
          </cell>
          <cell r="B1476" t="str">
            <v>翻转夹头</v>
          </cell>
          <cell r="C1476" t="str">
            <v>套</v>
          </cell>
          <cell r="D1476" t="str">
            <v>焊装夹具</v>
          </cell>
        </row>
        <row r="1477">
          <cell r="A1477" t="str">
            <v>F99001043035</v>
          </cell>
          <cell r="B1477" t="str">
            <v>车架翻转机构</v>
          </cell>
          <cell r="C1477" t="str">
            <v>套</v>
          </cell>
          <cell r="D1477" t="str">
            <v>焊装夹具</v>
          </cell>
        </row>
        <row r="1478">
          <cell r="A1478" t="str">
            <v>F0102045509</v>
          </cell>
          <cell r="B1478" t="str">
            <v>顶棚后支撑（后移70，下降140）</v>
          </cell>
          <cell r="C1478" t="str">
            <v>件</v>
          </cell>
          <cell r="D1478" t="str">
            <v>车身部件（支架等）</v>
          </cell>
        </row>
        <row r="1479">
          <cell r="A1479" t="str">
            <v>F0102047523</v>
          </cell>
          <cell r="B1479" t="str">
            <v>顶棚前支架（下降140、配前置物篮）</v>
          </cell>
          <cell r="C1479" t="str">
            <v>件</v>
          </cell>
          <cell r="D1479" t="str">
            <v>车身部件（支架等）</v>
          </cell>
        </row>
        <row r="1480">
          <cell r="A1480" t="str">
            <v>F0102045509</v>
          </cell>
          <cell r="B1480" t="str">
            <v>顶棚后支撑（后移70，下降140）</v>
          </cell>
          <cell r="C1480" t="str">
            <v>件</v>
          </cell>
          <cell r="D1480" t="str">
            <v>车身部件（支架等）</v>
          </cell>
        </row>
        <row r="1481">
          <cell r="A1481" t="str">
            <v>F0102078503</v>
          </cell>
          <cell r="B1481" t="str">
            <v>前保险杠/Y款</v>
          </cell>
          <cell r="C1481" t="str">
            <v>件</v>
          </cell>
          <cell r="D1481" t="str">
            <v>车身部件（支架等）</v>
          </cell>
        </row>
        <row r="1482">
          <cell r="A1482" t="str">
            <v>F0102045509</v>
          </cell>
          <cell r="B1482" t="str">
            <v>顶棚后支撑（后移70，下降140）</v>
          </cell>
          <cell r="C1482" t="str">
            <v>件</v>
          </cell>
          <cell r="D1482" t="str">
            <v>车身部件（支架等）</v>
          </cell>
        </row>
        <row r="1483">
          <cell r="A1483" t="str">
            <v>F0102078503</v>
          </cell>
          <cell r="B1483" t="str">
            <v>前保险杠/Y款</v>
          </cell>
          <cell r="C1483" t="str">
            <v>件</v>
          </cell>
          <cell r="D1483" t="str">
            <v>车身部件（支架等）</v>
          </cell>
        </row>
        <row r="1484">
          <cell r="A1484" t="str">
            <v>F0102076004</v>
          </cell>
          <cell r="B1484" t="str">
            <v>左前轮眉</v>
          </cell>
          <cell r="C1484" t="str">
            <v>只</v>
          </cell>
          <cell r="D1484" t="str">
            <v>塑料件</v>
          </cell>
        </row>
        <row r="1485">
          <cell r="A1485" t="str">
            <v>F0102076005</v>
          </cell>
          <cell r="B1485" t="str">
            <v>右前轮眉</v>
          </cell>
          <cell r="C1485" t="str">
            <v>只</v>
          </cell>
          <cell r="D1485" t="str">
            <v>塑料件</v>
          </cell>
        </row>
        <row r="1486">
          <cell r="A1486" t="str">
            <v>F2111000235</v>
          </cell>
          <cell r="B1486" t="str">
            <v>Y款标准件盒</v>
          </cell>
          <cell r="C1486" t="str">
            <v>盒</v>
          </cell>
          <cell r="D1486" t="str">
            <v>紧固件</v>
          </cell>
        </row>
        <row r="1487">
          <cell r="A1487" t="str">
            <v>F2111000234</v>
          </cell>
          <cell r="B1487" t="str">
            <v>Y款标准件盒</v>
          </cell>
          <cell r="C1487" t="str">
            <v>盒</v>
          </cell>
          <cell r="D1487" t="str">
            <v>紧固件</v>
          </cell>
        </row>
        <row r="1488">
          <cell r="A1488" t="str">
            <v>F2101059002</v>
          </cell>
          <cell r="B1488" t="str">
            <v>盖形轮胎螺母</v>
          </cell>
          <cell r="C1488" t="str">
            <v>只</v>
          </cell>
          <cell r="D1488" t="str">
            <v>车身部件</v>
          </cell>
        </row>
        <row r="1489">
          <cell r="A1489" t="str">
            <v>F0103020026</v>
          </cell>
          <cell r="B1489" t="str">
            <v>左前挡泥板/Y款打猎车</v>
          </cell>
          <cell r="C1489" t="str">
            <v>件</v>
          </cell>
          <cell r="D1489" t="str">
            <v>塑料件</v>
          </cell>
        </row>
        <row r="1490">
          <cell r="A1490" t="str">
            <v>F0103020027</v>
          </cell>
          <cell r="B1490" t="str">
            <v>右前挡泥板/Y款打猎车</v>
          </cell>
          <cell r="C1490" t="str">
            <v>件</v>
          </cell>
          <cell r="D1490" t="str">
            <v>塑料件</v>
          </cell>
        </row>
        <row r="1491">
          <cell r="A1491" t="str">
            <v>F0204003034</v>
          </cell>
          <cell r="B1491" t="str">
            <v>方向机总成</v>
          </cell>
          <cell r="C1491" t="str">
            <v>件</v>
          </cell>
          <cell r="D1491" t="str">
            <v>车身部件</v>
          </cell>
        </row>
        <row r="1492">
          <cell r="A1492" t="str">
            <v>F0204003035</v>
          </cell>
          <cell r="B1492" t="str">
            <v>方向机总成  加长</v>
          </cell>
          <cell r="C1492" t="str">
            <v>件</v>
          </cell>
          <cell r="D1492" t="str">
            <v>车身部件</v>
          </cell>
        </row>
        <row r="1493">
          <cell r="A1493" t="str">
            <v>F0199002157</v>
          </cell>
          <cell r="B1493" t="str">
            <v>狼头Logo过渡安装板</v>
          </cell>
          <cell r="C1493" t="str">
            <v>件</v>
          </cell>
          <cell r="D1493" t="str">
            <v>塑料件</v>
          </cell>
        </row>
        <row r="1494">
          <cell r="A1494" t="str">
            <v>F0308031101</v>
          </cell>
          <cell r="B1494" t="str">
            <v>组合仪表/CAN</v>
          </cell>
          <cell r="C1494" t="str">
            <v>件</v>
          </cell>
          <cell r="D1494" t="str">
            <v>车身部件</v>
          </cell>
        </row>
        <row r="1495">
          <cell r="A1495" t="str">
            <v>F0103027138</v>
          </cell>
          <cell r="B1495" t="str">
            <v>4座B款成型地板革</v>
          </cell>
          <cell r="C1495" t="str">
            <v>件</v>
          </cell>
          <cell r="D1495" t="str">
            <v>塑料件</v>
          </cell>
        </row>
        <row r="1496">
          <cell r="A1496" t="str">
            <v>F0102064501</v>
          </cell>
          <cell r="B1496" t="str">
            <v>中座框</v>
          </cell>
          <cell r="C1496" t="str">
            <v>件</v>
          </cell>
          <cell r="D1496" t="str">
            <v>车身部件</v>
          </cell>
        </row>
        <row r="1497">
          <cell r="A1497" t="str">
            <v>F0102089524</v>
          </cell>
          <cell r="B1497" t="str">
            <v>中座框骨架</v>
          </cell>
          <cell r="C1497" t="str">
            <v>件</v>
          </cell>
          <cell r="D1497" t="str">
            <v>车身部件</v>
          </cell>
        </row>
        <row r="1498">
          <cell r="A1498" t="str">
            <v>F0102089534</v>
          </cell>
          <cell r="B1498" t="str">
            <v>前排靠背骨架</v>
          </cell>
          <cell r="C1498" t="str">
            <v>件</v>
          </cell>
          <cell r="D1498" t="str">
            <v>车身部件</v>
          </cell>
        </row>
        <row r="1499">
          <cell r="A1499" t="str">
            <v>F0102089535</v>
          </cell>
          <cell r="B1499" t="str">
            <v>后排靠背骨架</v>
          </cell>
          <cell r="C1499" t="str">
            <v>件</v>
          </cell>
          <cell r="D1499" t="str">
            <v>车身部件</v>
          </cell>
        </row>
        <row r="1500">
          <cell r="A1500" t="str">
            <v>F0102089537</v>
          </cell>
          <cell r="B1500" t="str">
            <v>球包带支架</v>
          </cell>
          <cell r="C1500" t="str">
            <v>件</v>
          </cell>
          <cell r="D1500" t="str">
            <v>车身部件</v>
          </cell>
        </row>
        <row r="1501">
          <cell r="A1501" t="str">
            <v>F0102063527</v>
          </cell>
          <cell r="B1501" t="str">
            <v>顶棚U型骨架</v>
          </cell>
          <cell r="C1501" t="str">
            <v>件</v>
          </cell>
          <cell r="D1501" t="str">
            <v>车身部件</v>
          </cell>
        </row>
        <row r="1502">
          <cell r="A1502" t="str">
            <v>F0102081501</v>
          </cell>
          <cell r="B1502" t="str">
            <v>顶棚前支架</v>
          </cell>
          <cell r="C1502" t="str">
            <v>件</v>
          </cell>
          <cell r="D1502" t="str">
            <v>车身部件</v>
          </cell>
        </row>
        <row r="1503">
          <cell r="A1503" t="str">
            <v>F0102077515</v>
          </cell>
          <cell r="B1503" t="str">
            <v>顶棚后支撑 左</v>
          </cell>
          <cell r="C1503" t="str">
            <v>件</v>
          </cell>
          <cell r="D1503" t="str">
            <v>车身部件</v>
          </cell>
        </row>
        <row r="1504">
          <cell r="A1504" t="str">
            <v>F0102077516</v>
          </cell>
          <cell r="B1504" t="str">
            <v>顶棚后支撑 右</v>
          </cell>
          <cell r="C1504" t="str">
            <v>件</v>
          </cell>
          <cell r="D1504" t="str">
            <v>车身部件</v>
          </cell>
        </row>
        <row r="1505">
          <cell r="A1505" t="str">
            <v>F0102081527</v>
          </cell>
          <cell r="B1505" t="str">
            <v>J款球车铁制前保险杠</v>
          </cell>
          <cell r="C1505" t="str">
            <v>件</v>
          </cell>
          <cell r="D1505" t="str">
            <v>车身部件</v>
          </cell>
        </row>
        <row r="1506">
          <cell r="A1506" t="str">
            <v>F0102081042</v>
          </cell>
          <cell r="B1506" t="str">
            <v>安全带螺栓盖帽1</v>
          </cell>
          <cell r="C1506" t="str">
            <v>件</v>
          </cell>
          <cell r="D1506" t="str">
            <v>紧固件</v>
          </cell>
        </row>
        <row r="1507">
          <cell r="A1507" t="str">
            <v>F0102081043</v>
          </cell>
          <cell r="B1507" t="str">
            <v>安全带螺栓盖帽2</v>
          </cell>
          <cell r="C1507" t="str">
            <v>件</v>
          </cell>
          <cell r="D1507" t="str">
            <v>紧固件</v>
          </cell>
        </row>
        <row r="1508">
          <cell r="A1508" t="str">
            <v>F0102081044</v>
          </cell>
          <cell r="B1508" t="str">
            <v>安全带螺栓盖帽3</v>
          </cell>
          <cell r="C1508" t="str">
            <v>件</v>
          </cell>
          <cell r="D1508" t="str">
            <v>紧固件</v>
          </cell>
        </row>
        <row r="1509">
          <cell r="A1509" t="str">
            <v>F0102081501</v>
          </cell>
          <cell r="B1509" t="str">
            <v>顶棚前支架</v>
          </cell>
          <cell r="C1509" t="str">
            <v>件</v>
          </cell>
          <cell r="D1509" t="str">
            <v>车身部件</v>
          </cell>
        </row>
        <row r="1510">
          <cell r="A1510" t="str">
            <v>F0102077517</v>
          </cell>
          <cell r="B1510" t="str">
            <v>球童拉手</v>
          </cell>
          <cell r="C1510" t="str">
            <v>件</v>
          </cell>
          <cell r="D1510" t="str">
            <v>车身部件</v>
          </cell>
        </row>
        <row r="1511">
          <cell r="A1511" t="str">
            <v>F0102081527</v>
          </cell>
          <cell r="B1511" t="str">
            <v>J款球车铁制前保险杠</v>
          </cell>
          <cell r="C1511" t="str">
            <v>件</v>
          </cell>
          <cell r="D1511" t="str">
            <v>车身部件</v>
          </cell>
        </row>
        <row r="1512">
          <cell r="A1512" t="str">
            <v>F2111000231</v>
          </cell>
          <cell r="B1512" t="str">
            <v>J款标准件盒</v>
          </cell>
          <cell r="C1512" t="str">
            <v>盒</v>
          </cell>
          <cell r="D1512" t="str">
            <v>紧固件</v>
          </cell>
        </row>
        <row r="1513">
          <cell r="A1513" t="str">
            <v>F0102077505.3</v>
          </cell>
          <cell r="B1513" t="str">
            <v>连接梁</v>
          </cell>
          <cell r="C1513" t="str">
            <v>件</v>
          </cell>
          <cell r="D1513" t="str">
            <v>车身部件</v>
          </cell>
        </row>
        <row r="1514">
          <cell r="A1514" t="str">
            <v>F0102077502</v>
          </cell>
          <cell r="B1514" t="str">
            <v>J款铁制前保险杠</v>
          </cell>
          <cell r="C1514" t="str">
            <v>件</v>
          </cell>
          <cell r="D1514" t="str">
            <v>车身部件</v>
          </cell>
        </row>
        <row r="1515">
          <cell r="A1515" t="str">
            <v>F2111000230</v>
          </cell>
          <cell r="B1515" t="str">
            <v>J款标准件盒</v>
          </cell>
          <cell r="C1515" t="str">
            <v>盒</v>
          </cell>
          <cell r="D1515" t="str">
            <v>紧固件</v>
          </cell>
        </row>
        <row r="1516">
          <cell r="A1516" t="str">
            <v>F0103025021</v>
          </cell>
          <cell r="B1516" t="str">
            <v>前靠背拉手</v>
          </cell>
          <cell r="C1516" t="str">
            <v>件</v>
          </cell>
          <cell r="D1516" t="str">
            <v>车身部件</v>
          </cell>
        </row>
        <row r="1517">
          <cell r="A1517" t="str">
            <v>F0102089529</v>
          </cell>
          <cell r="B1517" t="str">
            <v>顶棚后支撑 左</v>
          </cell>
          <cell r="C1517" t="str">
            <v>件</v>
          </cell>
          <cell r="D1517" t="str">
            <v>车身部件</v>
          </cell>
        </row>
        <row r="1518">
          <cell r="A1518" t="str">
            <v>F0102089530</v>
          </cell>
          <cell r="B1518" t="str">
            <v>顶棚后支撑 右</v>
          </cell>
          <cell r="C1518" t="str">
            <v>件</v>
          </cell>
          <cell r="D1518" t="str">
            <v>车身部件</v>
          </cell>
        </row>
        <row r="1519">
          <cell r="A1519" t="str">
            <v>Y0301012006</v>
          </cell>
          <cell r="B1519" t="str">
            <v>半圆头内六角螺丝</v>
          </cell>
          <cell r="C1519" t="str">
            <v>只</v>
          </cell>
          <cell r="D1519" t="str">
            <v>紧固件</v>
          </cell>
        </row>
        <row r="1520">
          <cell r="A1520" t="str">
            <v>Y0316038050</v>
          </cell>
          <cell r="B1520" t="str">
            <v>黑色卡扣</v>
          </cell>
          <cell r="C1520" t="str">
            <v>个</v>
          </cell>
          <cell r="D1520" t="str">
            <v>紧固件</v>
          </cell>
        </row>
        <row r="1521">
          <cell r="A1521" t="str">
            <v>F2111000239</v>
          </cell>
          <cell r="B1521" t="str">
            <v>安全带标准件套件</v>
          </cell>
          <cell r="C1521" t="str">
            <v>个</v>
          </cell>
          <cell r="D1521" t="str">
            <v>紧固件</v>
          </cell>
        </row>
        <row r="1522">
          <cell r="A1522" t="str">
            <v>F0308035025</v>
          </cell>
          <cell r="B1522" t="str">
            <v>靠背氛围灯延长线</v>
          </cell>
          <cell r="C1522" t="str">
            <v>个</v>
          </cell>
          <cell r="D1522" t="str">
            <v>线束</v>
          </cell>
        </row>
        <row r="1523">
          <cell r="A1523" t="str">
            <v>F2111000108</v>
          </cell>
          <cell r="B1523" t="str">
            <v>硬质旋钮锉
Hard rotary file</v>
          </cell>
          <cell r="C1523" t="str">
            <v>个</v>
          </cell>
          <cell r="D1523" t="str">
            <v>紧固件</v>
          </cell>
        </row>
        <row r="1524">
          <cell r="A1524" t="str">
            <v>Y0301010014</v>
          </cell>
          <cell r="B1524" t="str">
            <v>六角罗丝(6*40)</v>
          </cell>
          <cell r="C1524" t="str">
            <v>个</v>
          </cell>
          <cell r="D1524" t="str">
            <v>紧固件</v>
          </cell>
        </row>
        <row r="1525">
          <cell r="A1525" t="str">
            <v>F01030080008</v>
          </cell>
          <cell r="B1525" t="str">
            <v>前挡风玻璃（夹胶）</v>
          </cell>
          <cell r="C1525" t="str">
            <v>件</v>
          </cell>
          <cell r="D1525" t="str">
            <v>塑料件</v>
          </cell>
        </row>
        <row r="1526">
          <cell r="A1526" t="str">
            <v>F0102089547</v>
          </cell>
          <cell r="B1526" t="str">
            <v>侧踏板连接梁</v>
          </cell>
          <cell r="C1526" t="str">
            <v>件</v>
          </cell>
          <cell r="D1526" t="str">
            <v>车身部件</v>
          </cell>
        </row>
        <row r="1527">
          <cell r="A1527" t="str">
            <v>F0102089539</v>
          </cell>
          <cell r="B1527" t="str">
            <v>铁制前保险杠</v>
          </cell>
          <cell r="C1527" t="str">
            <v>件</v>
          </cell>
          <cell r="D1527" t="str">
            <v>车身部件</v>
          </cell>
        </row>
        <row r="1528">
          <cell r="A1528" t="str">
            <v>F0204001030</v>
          </cell>
          <cell r="B1528" t="str">
            <v>多功能方向盘/配达迅方控</v>
          </cell>
          <cell r="C1528" t="str">
            <v>只</v>
          </cell>
          <cell r="D1528" t="str">
            <v>车身部件</v>
          </cell>
        </row>
        <row r="1529">
          <cell r="A1529" t="str">
            <v>F0102089553</v>
          </cell>
          <cell r="B1529" t="str">
            <v>顶棚前支架</v>
          </cell>
          <cell r="C1529" t="str">
            <v>件</v>
          </cell>
          <cell r="D1529" t="str">
            <v>车身部件</v>
          </cell>
        </row>
        <row r="1530">
          <cell r="A1530" t="str">
            <v>F0399011003</v>
          </cell>
          <cell r="B1530" t="str">
            <v>无线充电器总成（S款）</v>
          </cell>
          <cell r="C1530" t="str">
            <v>套</v>
          </cell>
          <cell r="D1530" t="str">
            <v>车身部件</v>
          </cell>
        </row>
        <row r="1531">
          <cell r="A1531" t="str">
            <v>F0307001050</v>
          </cell>
          <cell r="B1531" t="str">
            <v>10.1寸多功能仪表中控屏/带电池/方控</v>
          </cell>
          <cell r="C1531" t="str">
            <v>件</v>
          </cell>
          <cell r="D1531" t="str">
            <v>车载液晶显示器</v>
          </cell>
        </row>
        <row r="1532">
          <cell r="A1532" t="str">
            <v>F0102080504</v>
          </cell>
          <cell r="B1532" t="str">
            <v>顶棚后支架 右</v>
          </cell>
          <cell r="C1532" t="str">
            <v>件</v>
          </cell>
          <cell r="D1532" t="str">
            <v>车身部件</v>
          </cell>
        </row>
        <row r="1533">
          <cell r="A1533" t="str">
            <v>F0102080503</v>
          </cell>
          <cell r="B1533" t="str">
            <v>顶棚后支架 左</v>
          </cell>
          <cell r="C1533" t="str">
            <v>件</v>
          </cell>
          <cell r="D1533" t="str">
            <v>车身部件</v>
          </cell>
        </row>
        <row r="1534">
          <cell r="A1534" t="str">
            <v>F0102045529</v>
          </cell>
          <cell r="B1534" t="str">
            <v>顶棚/油漆件</v>
          </cell>
          <cell r="C1534" t="str">
            <v>只</v>
          </cell>
          <cell r="D1534" t="str">
            <v>塑料件</v>
          </cell>
        </row>
        <row r="1535">
          <cell r="A1535" t="str">
            <v>F0307001046.9</v>
          </cell>
          <cell r="B1535" t="str">
            <v>10.1寸多功能仪表中控屏说明书</v>
          </cell>
          <cell r="C1535" t="str">
            <v>件</v>
          </cell>
          <cell r="D1535" t="str">
            <v>附件，数量不计，价格计入车载液晶显示器</v>
          </cell>
        </row>
        <row r="1536">
          <cell r="A1536" t="str">
            <v>F0102086040</v>
          </cell>
          <cell r="B1536" t="str">
            <v>前排靠背内饰板</v>
          </cell>
          <cell r="C1536" t="str">
            <v>件</v>
          </cell>
          <cell r="D1536" t="str">
            <v>塑料件</v>
          </cell>
        </row>
        <row r="1537">
          <cell r="A1537" t="str">
            <v>F0102086537</v>
          </cell>
          <cell r="B1537" t="str">
            <v>座椅拉手预埋板 左</v>
          </cell>
          <cell r="C1537" t="str">
            <v>件</v>
          </cell>
          <cell r="D1537" t="str">
            <v>塑料件</v>
          </cell>
        </row>
        <row r="1538">
          <cell r="A1538" t="str">
            <v>F0102086538</v>
          </cell>
          <cell r="B1538" t="str">
            <v>座椅拉手预埋板 右</v>
          </cell>
          <cell r="C1538" t="str">
            <v>件</v>
          </cell>
          <cell r="D1538" t="str">
            <v>塑料件</v>
          </cell>
        </row>
        <row r="1539">
          <cell r="A1539" t="str">
            <v>F0102086039</v>
          </cell>
          <cell r="B1539" t="str">
            <v>前排靠背外饰板</v>
          </cell>
          <cell r="C1539" t="str">
            <v>件</v>
          </cell>
          <cell r="D1539" t="str">
            <v>塑料件</v>
          </cell>
        </row>
        <row r="1540">
          <cell r="A1540" t="str">
            <v>F0102086041</v>
          </cell>
          <cell r="B1540" t="str">
            <v>靠背把手</v>
          </cell>
          <cell r="C1540" t="str">
            <v>件</v>
          </cell>
          <cell r="D1540" t="str">
            <v>塑料件</v>
          </cell>
        </row>
        <row r="1541">
          <cell r="A1541" t="str">
            <v>F0102086043</v>
          </cell>
          <cell r="B1541" t="str">
            <v>把手扣帽右</v>
          </cell>
          <cell r="C1541" t="str">
            <v>件</v>
          </cell>
          <cell r="D1541" t="str">
            <v>塑料件</v>
          </cell>
        </row>
        <row r="1542">
          <cell r="A1542" t="str">
            <v>F0102086042</v>
          </cell>
          <cell r="B1542" t="str">
            <v>把手扣帽左</v>
          </cell>
          <cell r="C1542" t="str">
            <v>件</v>
          </cell>
          <cell r="D1542" t="str">
            <v>塑料件</v>
          </cell>
        </row>
        <row r="1543">
          <cell r="A1543" t="str">
            <v>F0102086045</v>
          </cell>
          <cell r="B1543" t="str">
            <v>网兜外饰板</v>
          </cell>
          <cell r="C1543" t="str">
            <v>件</v>
          </cell>
          <cell r="D1543" t="str">
            <v>车身部件</v>
          </cell>
        </row>
        <row r="1544">
          <cell r="A1544" t="str">
            <v>F0103015058</v>
          </cell>
          <cell r="B1544" t="str">
            <v>网兜</v>
          </cell>
          <cell r="C1544" t="str">
            <v>件</v>
          </cell>
          <cell r="D1544" t="str">
            <v>车身部件</v>
          </cell>
        </row>
        <row r="1545">
          <cell r="A1545" t="str">
            <v>F0102086044</v>
          </cell>
          <cell r="B1545" t="str">
            <v>网兜压条</v>
          </cell>
          <cell r="C1545" t="str">
            <v>件</v>
          </cell>
          <cell r="D1545" t="str">
            <v>车身部件</v>
          </cell>
        </row>
        <row r="1546">
          <cell r="A1546" t="str">
            <v>F0102086047</v>
          </cell>
          <cell r="B1546" t="str">
            <v>靠背杯托</v>
          </cell>
          <cell r="C1546" t="str">
            <v>件</v>
          </cell>
          <cell r="D1546" t="str">
            <v>车身部件</v>
          </cell>
        </row>
        <row r="1547">
          <cell r="A1547" t="str">
            <v>F0102086078</v>
          </cell>
          <cell r="B1547" t="str">
            <v>前立柱护套盖帽 左</v>
          </cell>
          <cell r="C1547" t="str">
            <v>件</v>
          </cell>
          <cell r="D1547" t="str">
            <v>车身部件</v>
          </cell>
        </row>
        <row r="1548">
          <cell r="A1548" t="str">
            <v>F0102086076</v>
          </cell>
          <cell r="B1548" t="str">
            <v>前立柱护套 左</v>
          </cell>
          <cell r="C1548" t="str">
            <v>件</v>
          </cell>
          <cell r="D1548" t="str">
            <v>车身部件</v>
          </cell>
        </row>
        <row r="1549">
          <cell r="A1549" t="str">
            <v>F0102086077</v>
          </cell>
          <cell r="B1549" t="str">
            <v>前立柱护套 右</v>
          </cell>
          <cell r="C1549" t="str">
            <v>件</v>
          </cell>
          <cell r="D1549" t="str">
            <v>车身部件</v>
          </cell>
        </row>
        <row r="1550">
          <cell r="A1550" t="str">
            <v>F0102086079</v>
          </cell>
          <cell r="B1550" t="str">
            <v>前立柱护套盖帽 右</v>
          </cell>
          <cell r="C1550" t="str">
            <v>件</v>
          </cell>
          <cell r="D1550" t="str">
            <v>车身部件</v>
          </cell>
        </row>
        <row r="1551">
          <cell r="A1551" t="str">
            <v>F0102086546</v>
          </cell>
          <cell r="B1551" t="str">
            <v>顶棚前支架</v>
          </cell>
          <cell r="C1551" t="str">
            <v>件</v>
          </cell>
          <cell r="D1551" t="str">
            <v>车身部件</v>
          </cell>
        </row>
        <row r="1552">
          <cell r="A1552" t="str">
            <v>F0103009036</v>
          </cell>
          <cell r="B1552" t="str">
            <v>V1款前挡玻璃/4座/透明/DOT</v>
          </cell>
          <cell r="C1552" t="str">
            <v>件</v>
          </cell>
          <cell r="D1552" t="str">
            <v>塑料件</v>
          </cell>
        </row>
        <row r="1553">
          <cell r="A1553" t="str">
            <v>F0102086545</v>
          </cell>
          <cell r="B1553" t="str">
            <v>顶棚U形骨架</v>
          </cell>
          <cell r="C1553" t="str">
            <v>件</v>
          </cell>
          <cell r="D1553" t="str">
            <v>车身部件</v>
          </cell>
        </row>
        <row r="1554">
          <cell r="A1554" t="str">
            <v>F0102086547</v>
          </cell>
          <cell r="B1554" t="str">
            <v>顶棚加强梁</v>
          </cell>
          <cell r="C1554" t="str">
            <v>件</v>
          </cell>
          <cell r="D1554" t="str">
            <v>车身部件</v>
          </cell>
        </row>
        <row r="1555">
          <cell r="A1555" t="str">
            <v>F0102086006</v>
          </cell>
          <cell r="B1555" t="str">
            <v>前保</v>
          </cell>
          <cell r="C1555" t="str">
            <v>件</v>
          </cell>
          <cell r="D1555" t="str">
            <v>车身部件</v>
          </cell>
        </row>
        <row r="1556">
          <cell r="A1556" t="str">
            <v>F0102086066</v>
          </cell>
          <cell r="B1556" t="str">
            <v>后排靠背盖板 右</v>
          </cell>
          <cell r="C1556" t="str">
            <v>件</v>
          </cell>
          <cell r="D1556" t="str">
            <v>塑料件</v>
          </cell>
        </row>
        <row r="1557">
          <cell r="A1557" t="str">
            <v>F0102086065</v>
          </cell>
          <cell r="B1557" t="str">
            <v>后排靠背盖板 左</v>
          </cell>
          <cell r="C1557" t="str">
            <v>件</v>
          </cell>
          <cell r="D1557" t="str">
            <v>塑料件</v>
          </cell>
        </row>
        <row r="1558">
          <cell r="A1558" t="str">
            <v>F99001010</v>
          </cell>
          <cell r="B1558" t="str">
            <v>凡已电控调试线</v>
          </cell>
          <cell r="C1558" t="str">
            <v>件</v>
          </cell>
          <cell r="D1558" t="str">
            <v>车身部件</v>
          </cell>
        </row>
        <row r="1559">
          <cell r="A1559" t="str">
            <v>F0102086007</v>
          </cell>
          <cell r="B1559" t="str">
            <v>左前轮眉</v>
          </cell>
          <cell r="C1559" t="str">
            <v>件</v>
          </cell>
          <cell r="D1559" t="str">
            <v>塑料件</v>
          </cell>
        </row>
        <row r="1560">
          <cell r="A1560" t="str">
            <v>F0102086009</v>
          </cell>
          <cell r="B1560" t="str">
            <v>左前挡泥板</v>
          </cell>
          <cell r="C1560" t="str">
            <v>件</v>
          </cell>
          <cell r="D1560" t="str">
            <v>塑料件</v>
          </cell>
        </row>
        <row r="1561">
          <cell r="A1561" t="str">
            <v>F0102086010</v>
          </cell>
          <cell r="B1561" t="str">
            <v>右前挡泥板</v>
          </cell>
          <cell r="C1561" t="str">
            <v>件</v>
          </cell>
          <cell r="D1561" t="str">
            <v>塑料件</v>
          </cell>
        </row>
        <row r="1562">
          <cell r="A1562" t="str">
            <v>F0102086008</v>
          </cell>
          <cell r="B1562" t="str">
            <v>右前轮眉</v>
          </cell>
          <cell r="C1562" t="str">
            <v>件</v>
          </cell>
          <cell r="D1562" t="str">
            <v>塑料件</v>
          </cell>
        </row>
        <row r="1563">
          <cell r="A1563" t="str">
            <v>F0102086060</v>
          </cell>
          <cell r="B1563" t="str">
            <v>右后轮眉</v>
          </cell>
          <cell r="C1563" t="str">
            <v>件</v>
          </cell>
          <cell r="D1563" t="str">
            <v>塑料件</v>
          </cell>
        </row>
        <row r="1564">
          <cell r="A1564" t="str">
            <v>F0102086061</v>
          </cell>
          <cell r="B1564" t="str">
            <v>左后轮眉</v>
          </cell>
          <cell r="C1564" t="str">
            <v>件</v>
          </cell>
          <cell r="D1564" t="str">
            <v>塑料件</v>
          </cell>
        </row>
        <row r="1565">
          <cell r="A1565" t="str">
            <v>F0102086544</v>
          </cell>
          <cell r="B1565" t="str">
            <v>塑料前保支架 右</v>
          </cell>
          <cell r="C1565" t="str">
            <v>件</v>
          </cell>
          <cell r="D1565" t="str">
            <v>车身部件</v>
          </cell>
        </row>
        <row r="1566">
          <cell r="A1566" t="str">
            <v>F0102086543</v>
          </cell>
          <cell r="B1566" t="str">
            <v>塑料前保支架 左</v>
          </cell>
          <cell r="C1566" t="str">
            <v>件</v>
          </cell>
          <cell r="D1566" t="str">
            <v>车身部件</v>
          </cell>
        </row>
        <row r="1567">
          <cell r="A1567" t="str">
            <v>F0102086006</v>
          </cell>
          <cell r="B1567" t="str">
            <v>前保</v>
          </cell>
          <cell r="C1567" t="str">
            <v>件</v>
          </cell>
          <cell r="D1567" t="str">
            <v>车身部件</v>
          </cell>
        </row>
        <row r="1568">
          <cell r="A1568" t="str">
            <v>F0102087501</v>
          </cell>
          <cell r="B1568" t="str">
            <v>锂电池固定支架</v>
          </cell>
          <cell r="C1568" t="str">
            <v>件</v>
          </cell>
          <cell r="D1568" t="str">
            <v>车身部件</v>
          </cell>
        </row>
        <row r="1569">
          <cell r="A1569" t="str">
            <v>F0102086040</v>
          </cell>
          <cell r="B1569" t="str">
            <v>前排靠背内饰板</v>
          </cell>
          <cell r="C1569" t="str">
            <v>件</v>
          </cell>
          <cell r="D1569" t="str">
            <v>塑料件</v>
          </cell>
        </row>
        <row r="1570">
          <cell r="A1570" t="str">
            <v>F0103013011.1</v>
          </cell>
          <cell r="B1570" t="str">
            <v>安全带插扣</v>
          </cell>
          <cell r="C1570" t="str">
            <v>件</v>
          </cell>
          <cell r="D1570" t="str">
            <v>塑料件</v>
          </cell>
        </row>
        <row r="1571">
          <cell r="A1571" t="str">
            <v>F0102086064</v>
          </cell>
          <cell r="B1571" t="str">
            <v>后排靠背外饰板</v>
          </cell>
          <cell r="C1571" t="str">
            <v>件</v>
          </cell>
          <cell r="D1571" t="str">
            <v>塑料件</v>
          </cell>
        </row>
        <row r="1572">
          <cell r="A1572" t="str">
            <v>F0102086039</v>
          </cell>
          <cell r="B1572" t="str">
            <v>前排靠背外饰板</v>
          </cell>
          <cell r="C1572" t="str">
            <v>件</v>
          </cell>
          <cell r="D1572" t="str">
            <v>塑料件</v>
          </cell>
        </row>
        <row r="1573">
          <cell r="A1573" t="str">
            <v>F0102086066</v>
          </cell>
          <cell r="B1573" t="str">
            <v>后排靠背盖板 右</v>
          </cell>
          <cell r="C1573" t="str">
            <v>件</v>
          </cell>
          <cell r="D1573" t="str">
            <v>塑料件</v>
          </cell>
        </row>
        <row r="1574">
          <cell r="A1574" t="str">
            <v>F0102086065</v>
          </cell>
          <cell r="B1574" t="str">
            <v>后排靠背盖板 左</v>
          </cell>
          <cell r="C1574" t="str">
            <v>件</v>
          </cell>
          <cell r="D1574" t="str">
            <v>塑料件</v>
          </cell>
        </row>
        <row r="1575">
          <cell r="A1575" t="str">
            <v>F0102086080</v>
          </cell>
          <cell r="B1575" t="str">
            <v>后排靠背堵盖</v>
          </cell>
          <cell r="C1575" t="str">
            <v>件</v>
          </cell>
          <cell r="D1575" t="str">
            <v>塑料件</v>
          </cell>
        </row>
        <row r="1576">
          <cell r="A1576" t="str">
            <v>F0102086084</v>
          </cell>
          <cell r="B1576" t="str">
            <v>后立柱护套 右</v>
          </cell>
          <cell r="C1576" t="str">
            <v>件</v>
          </cell>
          <cell r="D1576" t="str">
            <v>塑料件</v>
          </cell>
        </row>
        <row r="1577">
          <cell r="A1577" t="str">
            <v>F0102086531</v>
          </cell>
          <cell r="B1577" t="str">
            <v>安全带中支架</v>
          </cell>
          <cell r="C1577" t="str">
            <v>件</v>
          </cell>
          <cell r="D1577" t="str">
            <v>塑料件</v>
          </cell>
        </row>
        <row r="1578">
          <cell r="A1578" t="str">
            <v>F0102086083</v>
          </cell>
          <cell r="B1578" t="str">
            <v>后立柱护套 左</v>
          </cell>
          <cell r="C1578" t="str">
            <v>件</v>
          </cell>
          <cell r="D1578" t="str">
            <v>塑料件</v>
          </cell>
        </row>
        <row r="1579">
          <cell r="A1579" t="str">
            <v>F0102086537</v>
          </cell>
          <cell r="B1579" t="str">
            <v>座椅拉手预埋板 左</v>
          </cell>
          <cell r="C1579" t="str">
            <v>件</v>
          </cell>
          <cell r="D1579" t="str">
            <v>塑料件</v>
          </cell>
        </row>
        <row r="1580">
          <cell r="A1580" t="str">
            <v>F0102086538</v>
          </cell>
          <cell r="B1580" t="str">
            <v>座椅拉手预埋板 右</v>
          </cell>
          <cell r="C1580" t="str">
            <v>件</v>
          </cell>
          <cell r="D1580" t="str">
            <v>塑料件</v>
          </cell>
        </row>
        <row r="1581">
          <cell r="A1581" t="str">
            <v>F0102086041</v>
          </cell>
          <cell r="B1581" t="str">
            <v>靠背把手</v>
          </cell>
          <cell r="C1581" t="str">
            <v>件</v>
          </cell>
          <cell r="D1581" t="str">
            <v>塑料件</v>
          </cell>
        </row>
        <row r="1582">
          <cell r="A1582" t="str">
            <v>F0102086043</v>
          </cell>
          <cell r="B1582" t="str">
            <v>把手扣帽右</v>
          </cell>
          <cell r="C1582" t="str">
            <v>件</v>
          </cell>
          <cell r="D1582" t="str">
            <v>塑料件</v>
          </cell>
        </row>
        <row r="1583">
          <cell r="A1583" t="str">
            <v>F0102086042</v>
          </cell>
          <cell r="B1583" t="str">
            <v>把手扣帽左</v>
          </cell>
          <cell r="C1583" t="str">
            <v>件</v>
          </cell>
          <cell r="D1583" t="str">
            <v>塑料件</v>
          </cell>
        </row>
        <row r="1584">
          <cell r="A1584" t="str">
            <v>F0102086045</v>
          </cell>
          <cell r="B1584" t="str">
            <v>网兜外饰板</v>
          </cell>
          <cell r="C1584" t="str">
            <v>件</v>
          </cell>
          <cell r="D1584" t="str">
            <v>塑料件</v>
          </cell>
        </row>
        <row r="1585">
          <cell r="A1585" t="str">
            <v>F0103015058</v>
          </cell>
          <cell r="B1585" t="str">
            <v>网兜</v>
          </cell>
          <cell r="C1585" t="str">
            <v>件</v>
          </cell>
          <cell r="D1585" t="str">
            <v>车身部件</v>
          </cell>
        </row>
        <row r="1586">
          <cell r="A1586" t="str">
            <v>F0102086044</v>
          </cell>
          <cell r="B1586" t="str">
            <v>网兜压条</v>
          </cell>
          <cell r="C1586" t="str">
            <v>件</v>
          </cell>
          <cell r="D1586" t="str">
            <v>车身部件</v>
          </cell>
        </row>
        <row r="1587">
          <cell r="A1587" t="str">
            <v>F0102086047</v>
          </cell>
          <cell r="B1587" t="str">
            <v>靠背杯托</v>
          </cell>
          <cell r="C1587" t="str">
            <v>件</v>
          </cell>
          <cell r="D1587" t="str">
            <v>车身部件</v>
          </cell>
        </row>
        <row r="1588">
          <cell r="A1588" t="str">
            <v>F0102086078</v>
          </cell>
          <cell r="B1588" t="str">
            <v>前立柱护套盖帽 左</v>
          </cell>
          <cell r="C1588" t="str">
            <v>件</v>
          </cell>
          <cell r="D1588" t="str">
            <v>车身部件</v>
          </cell>
        </row>
        <row r="1589">
          <cell r="A1589" t="str">
            <v>F0102086076</v>
          </cell>
          <cell r="B1589" t="str">
            <v>前立柱护套 左</v>
          </cell>
          <cell r="C1589" t="str">
            <v>件</v>
          </cell>
          <cell r="D1589" t="str">
            <v>车身部件</v>
          </cell>
        </row>
        <row r="1590">
          <cell r="A1590" t="str">
            <v>F0102086077</v>
          </cell>
          <cell r="B1590" t="str">
            <v>前立柱护套 右</v>
          </cell>
          <cell r="C1590" t="str">
            <v>件</v>
          </cell>
          <cell r="D1590" t="str">
            <v>车身部件</v>
          </cell>
        </row>
        <row r="1591">
          <cell r="A1591" t="str">
            <v>F0102086079</v>
          </cell>
          <cell r="B1591" t="str">
            <v>前立柱护套盖帽 右</v>
          </cell>
          <cell r="C1591" t="str">
            <v>件</v>
          </cell>
          <cell r="D1591" t="str">
            <v>车身部件</v>
          </cell>
        </row>
        <row r="1592">
          <cell r="A1592" t="str">
            <v>F0102086546</v>
          </cell>
          <cell r="B1592" t="str">
            <v>顶棚前支架</v>
          </cell>
          <cell r="C1592" t="str">
            <v>件</v>
          </cell>
          <cell r="D1592" t="str">
            <v>车身部件</v>
          </cell>
        </row>
        <row r="1593">
          <cell r="A1593" t="str">
            <v>F0103009036</v>
          </cell>
          <cell r="B1593" t="str">
            <v>V1款前挡玻璃/4座/透明/DOT</v>
          </cell>
          <cell r="C1593" t="str">
            <v>件</v>
          </cell>
          <cell r="D1593" t="str">
            <v>塑料件</v>
          </cell>
        </row>
        <row r="1594">
          <cell r="A1594" t="str">
            <v>F0102086545</v>
          </cell>
          <cell r="B1594" t="str">
            <v>顶棚U形骨架</v>
          </cell>
          <cell r="C1594" t="str">
            <v>件</v>
          </cell>
          <cell r="D1594" t="str">
            <v>车身部件</v>
          </cell>
        </row>
        <row r="1595">
          <cell r="A1595" t="str">
            <v>F0102086547</v>
          </cell>
          <cell r="B1595" t="str">
            <v>顶棚加强梁</v>
          </cell>
          <cell r="C1595" t="str">
            <v>件</v>
          </cell>
          <cell r="D1595" t="str">
            <v>车身部件</v>
          </cell>
        </row>
        <row r="1596">
          <cell r="A1596" t="str">
            <v>F0102086053</v>
          </cell>
          <cell r="B1596" t="str">
            <v>后罩检修盖</v>
          </cell>
          <cell r="C1596" t="str">
            <v>件</v>
          </cell>
          <cell r="D1596" t="str">
            <v>车身部件</v>
          </cell>
        </row>
        <row r="1597">
          <cell r="A1597" t="str">
            <v>F0304014015</v>
          </cell>
          <cell r="B1597" t="str">
            <v>小草帽摄像头F0307001036.1</v>
          </cell>
          <cell r="C1597" t="str">
            <v>件</v>
          </cell>
          <cell r="D1597" t="str">
            <v>车身部件</v>
          </cell>
        </row>
        <row r="1598">
          <cell r="A1598" t="str">
            <v>F0102086529</v>
          </cell>
          <cell r="B1598" t="str">
            <v>后摄像头支架2/小草帽/电泳、喷塑</v>
          </cell>
          <cell r="C1598" t="str">
            <v>件</v>
          </cell>
          <cell r="D1598" t="str">
            <v>车身部件</v>
          </cell>
        </row>
        <row r="1599">
          <cell r="A1599" t="str">
            <v>F0102086528</v>
          </cell>
          <cell r="B1599" t="str">
            <v>后摄像头支架1/小草帽/电泳、喷塑</v>
          </cell>
          <cell r="C1599" t="str">
            <v>件</v>
          </cell>
          <cell r="D1599" t="str">
            <v>车身部件</v>
          </cell>
        </row>
        <row r="1600">
          <cell r="A1600" t="str">
            <v>F0102086522</v>
          </cell>
          <cell r="B1600" t="str">
            <v>后罩安装支架 左</v>
          </cell>
          <cell r="C1600" t="str">
            <v>件</v>
          </cell>
          <cell r="D1600" t="str">
            <v>车身部件</v>
          </cell>
        </row>
        <row r="1601">
          <cell r="A1601" t="str">
            <v>F0102086523</v>
          </cell>
          <cell r="B1601" t="str">
            <v>后罩安装支架 右</v>
          </cell>
          <cell r="C1601" t="str">
            <v>件</v>
          </cell>
          <cell r="D1601" t="str">
            <v>车身部件</v>
          </cell>
        </row>
        <row r="1602">
          <cell r="A1602" t="str">
            <v>F0102086521</v>
          </cell>
          <cell r="B1602" t="str">
            <v>前罩安装支架</v>
          </cell>
          <cell r="C1602" t="str">
            <v>件</v>
          </cell>
          <cell r="D1602" t="str">
            <v>车身部件</v>
          </cell>
        </row>
        <row r="1603">
          <cell r="A1603" t="str">
            <v>F0102086556</v>
          </cell>
          <cell r="B1603" t="str">
            <v>中网/油漆件</v>
          </cell>
          <cell r="C1603" t="str">
            <v>件</v>
          </cell>
          <cell r="D1603" t="str">
            <v>车身部件</v>
          </cell>
        </row>
        <row r="1604">
          <cell r="A1604" t="str">
            <v>F0308010012</v>
          </cell>
          <cell r="B1604" t="str">
            <v>中网灯</v>
          </cell>
          <cell r="C1604" t="str">
            <v>件</v>
          </cell>
          <cell r="D1604" t="str">
            <v>组合大灯</v>
          </cell>
        </row>
        <row r="1605">
          <cell r="A1605" t="str">
            <v>F0102045025.1</v>
          </cell>
          <cell r="B1605" t="str">
            <v>左后轮眉</v>
          </cell>
          <cell r="C1605" t="str">
            <v>件</v>
          </cell>
          <cell r="D1605" t="str">
            <v>塑料件</v>
          </cell>
        </row>
        <row r="1606">
          <cell r="A1606" t="str">
            <v>F0102045025.2</v>
          </cell>
          <cell r="B1606" t="str">
            <v>右后轮眉</v>
          </cell>
          <cell r="C1606" t="str">
            <v>件</v>
          </cell>
          <cell r="D1606" t="str">
            <v>塑料件</v>
          </cell>
        </row>
        <row r="1607">
          <cell r="A1607" t="str">
            <v>F0102045013.1</v>
          </cell>
          <cell r="B1607" t="str">
            <v>后轮罩 左</v>
          </cell>
          <cell r="C1607" t="str">
            <v>件</v>
          </cell>
          <cell r="D1607" t="str">
            <v>塑料件</v>
          </cell>
        </row>
        <row r="1608">
          <cell r="A1608" t="str">
            <v>F0102045013.2</v>
          </cell>
          <cell r="B1608" t="str">
            <v>后轮罩 右</v>
          </cell>
          <cell r="C1608" t="str">
            <v>件</v>
          </cell>
          <cell r="D1608" t="str">
            <v>塑料件</v>
          </cell>
        </row>
        <row r="1609">
          <cell r="A1609" t="str">
            <v>F0199003207</v>
          </cell>
          <cell r="B1609" t="str">
            <v>使用说明警示标贴</v>
          </cell>
          <cell r="C1609" t="str">
            <v>件</v>
          </cell>
          <cell r="D1609" t="str">
            <v>塑料件</v>
          </cell>
        </row>
        <row r="1610">
          <cell r="A1610" t="str">
            <v>F2111000228</v>
          </cell>
          <cell r="B1610" t="str">
            <v>G款标准件盒</v>
          </cell>
          <cell r="C1610" t="str">
            <v>件</v>
          </cell>
          <cell r="D1610" t="str">
            <v>紧固件</v>
          </cell>
        </row>
        <row r="1611">
          <cell r="A1611" t="str">
            <v>F2111000229</v>
          </cell>
          <cell r="B1611" t="str">
            <v>G款标准件盒</v>
          </cell>
          <cell r="C1611" t="str">
            <v>件</v>
          </cell>
          <cell r="D1611" t="str">
            <v>紧固件</v>
          </cell>
        </row>
        <row r="1612">
          <cell r="A1612" t="str">
            <v>F2111000232</v>
          </cell>
          <cell r="B1612" t="str">
            <v>J款标准件盒</v>
          </cell>
          <cell r="C1612" t="str">
            <v>件</v>
          </cell>
          <cell r="D1612" t="str">
            <v>紧固件</v>
          </cell>
        </row>
        <row r="1613">
          <cell r="A1613" t="str">
            <v>F2111000233</v>
          </cell>
          <cell r="B1613" t="str">
            <v>J款标准件盒</v>
          </cell>
          <cell r="C1613" t="str">
            <v>件</v>
          </cell>
          <cell r="D1613" t="str">
            <v>紧固件</v>
          </cell>
        </row>
        <row r="1614">
          <cell r="A1614" t="str">
            <v>F2111000227</v>
          </cell>
          <cell r="B1614" t="str">
            <v>G款标准件盒</v>
          </cell>
          <cell r="C1614" t="str">
            <v>件</v>
          </cell>
          <cell r="D1614" t="str">
            <v>紧固件</v>
          </cell>
        </row>
        <row r="1615">
          <cell r="A1615" t="str">
            <v>F0103003096</v>
          </cell>
          <cell r="B1615" t="str">
            <v>门锁套件-V0</v>
          </cell>
          <cell r="C1615" t="str">
            <v>套</v>
          </cell>
          <cell r="D1615" t="str">
            <v>车身部件</v>
          </cell>
        </row>
        <row r="1616">
          <cell r="A1616" t="str">
            <v>F0103003097</v>
          </cell>
          <cell r="B1616" t="str">
            <v>门锁套件-V1</v>
          </cell>
          <cell r="C1616" t="str">
            <v>套</v>
          </cell>
          <cell r="D1616" t="str">
            <v>车身部件</v>
          </cell>
        </row>
        <row r="1617">
          <cell r="A1617" t="str">
            <v>F0102089100</v>
          </cell>
          <cell r="B1617" t="str">
            <v>后备箱总成</v>
          </cell>
          <cell r="C1617" t="str">
            <v>套</v>
          </cell>
          <cell r="D1617" t="str">
            <v>车身部件</v>
          </cell>
        </row>
        <row r="1618">
          <cell r="A1618" t="str">
            <v>F0102089099</v>
          </cell>
          <cell r="B1618" t="str">
            <v>后罩储物盒</v>
          </cell>
          <cell r="C1618" t="str">
            <v>件</v>
          </cell>
          <cell r="D1618" t="str">
            <v>塑料件</v>
          </cell>
        </row>
        <row r="1619">
          <cell r="A1619" t="str">
            <v>F0102089101</v>
          </cell>
          <cell r="B1619" t="str">
            <v>后罩储物盒橡胶圈</v>
          </cell>
          <cell r="C1619" t="str">
            <v>件</v>
          </cell>
          <cell r="D1619" t="str">
            <v>三元乙丙橡胶</v>
          </cell>
        </row>
        <row r="1620">
          <cell r="A1620" t="str">
            <v>F2101175006</v>
          </cell>
          <cell r="B1620" t="str">
            <v>簧片</v>
          </cell>
          <cell r="C1620" t="str">
            <v>只</v>
          </cell>
          <cell r="D1620" t="str">
            <v>紧固件</v>
          </cell>
        </row>
        <row r="1621">
          <cell r="A1621" t="str">
            <v>F2101175005</v>
          </cell>
          <cell r="B1621" t="str">
            <v>卡片螺母</v>
          </cell>
          <cell r="C1621" t="str">
            <v>只</v>
          </cell>
          <cell r="D1621" t="str">
            <v>紧固件</v>
          </cell>
        </row>
        <row r="1622">
          <cell r="A1622" t="str">
            <v>F0203009049</v>
          </cell>
          <cell r="B1622" t="str">
            <v>加速制动踏板总成</v>
          </cell>
          <cell r="C1622" t="str">
            <v>套</v>
          </cell>
          <cell r="D1622" t="str">
            <v>底盘部件</v>
          </cell>
        </row>
        <row r="1623">
          <cell r="A1623" t="str">
            <v>Y0301010017</v>
          </cell>
          <cell r="B1623" t="str">
            <v>六角罗丝</v>
          </cell>
          <cell r="C1623" t="str">
            <v>只</v>
          </cell>
          <cell r="D1623" t="str">
            <v>紧固件</v>
          </cell>
        </row>
        <row r="1624">
          <cell r="A1624" t="str">
            <v>F0308035017</v>
          </cell>
          <cell r="B1624" t="str">
            <v>氛围灯主副模块</v>
          </cell>
          <cell r="C1624" t="str">
            <v>件</v>
          </cell>
          <cell r="D1624" t="str">
            <v>组合大灯</v>
          </cell>
        </row>
        <row r="1625">
          <cell r="A1625" t="str">
            <v>F0102077528</v>
          </cell>
          <cell r="B1625" t="str">
            <v>2座牌照灯支架/WH2027K/含电泳喷塑</v>
          </cell>
          <cell r="C1625" t="str">
            <v>件</v>
          </cell>
          <cell r="D1625" t="str">
            <v>车身部件</v>
          </cell>
        </row>
        <row r="1626">
          <cell r="A1626" t="str">
            <v>F0204003025.2</v>
          </cell>
          <cell r="B1626" t="str">
            <v>方向机总成/仅提供防尘罩</v>
          </cell>
          <cell r="C1626" t="str">
            <v>件</v>
          </cell>
          <cell r="D1626" t="str">
            <v>车身部件</v>
          </cell>
        </row>
        <row r="1627">
          <cell r="A1627" t="str">
            <v>F0204003026.2</v>
          </cell>
          <cell r="B1627" t="str">
            <v>方向机总成  加长/仅提供防尘罩</v>
          </cell>
          <cell r="C1627" t="str">
            <v>件</v>
          </cell>
          <cell r="D1627" t="str">
            <v>车身部件</v>
          </cell>
        </row>
        <row r="1628">
          <cell r="A1628" t="str">
            <v>F0103013009.1</v>
          </cell>
          <cell r="B1628" t="str">
            <v>安全带插扣</v>
          </cell>
          <cell r="C1628" t="str">
            <v>件</v>
          </cell>
          <cell r="D1628" t="str">
            <v>车身部件</v>
          </cell>
        </row>
        <row r="1629">
          <cell r="A1629" t="str">
            <v>F0102077511</v>
          </cell>
          <cell r="B1629" t="str">
            <v>中桶靠背支架 左</v>
          </cell>
          <cell r="C1629" t="str">
            <v>件</v>
          </cell>
          <cell r="D1629" t="str">
            <v>车身部件</v>
          </cell>
        </row>
        <row r="1630">
          <cell r="A1630" t="str">
            <v>F0102077512</v>
          </cell>
          <cell r="B1630" t="str">
            <v>中桶靠背支架 右</v>
          </cell>
          <cell r="C1630" t="str">
            <v>件</v>
          </cell>
          <cell r="D1630" t="str">
            <v>车身部件</v>
          </cell>
        </row>
        <row r="1631">
          <cell r="A1631" t="str">
            <v>F0102045522</v>
          </cell>
          <cell r="B1631" t="str">
            <v>前排靠背支座（左）/后移70/电泳、喷塑</v>
          </cell>
          <cell r="C1631" t="str">
            <v>件</v>
          </cell>
          <cell r="D1631" t="str">
            <v>车身部件</v>
          </cell>
        </row>
        <row r="1632">
          <cell r="A1632" t="str">
            <v>F0102045523</v>
          </cell>
          <cell r="B1632" t="str">
            <v>前排靠背支座/（右）/后移70/电泳、喷塑</v>
          </cell>
          <cell r="C1632" t="str">
            <v>件</v>
          </cell>
          <cell r="D1632" t="str">
            <v>车身部件</v>
          </cell>
        </row>
        <row r="1633">
          <cell r="A1633" t="str">
            <v>F0102077511</v>
          </cell>
          <cell r="B1633" t="str">
            <v>中桶靠背支架 左</v>
          </cell>
          <cell r="C1633" t="str">
            <v>件</v>
          </cell>
          <cell r="D1633" t="str">
            <v>车身部件</v>
          </cell>
        </row>
        <row r="1634">
          <cell r="A1634" t="str">
            <v>F0102077512</v>
          </cell>
          <cell r="B1634" t="str">
            <v>中桶靠背支架 右</v>
          </cell>
          <cell r="C1634" t="str">
            <v>件</v>
          </cell>
          <cell r="D1634" t="str">
            <v>车身部件</v>
          </cell>
        </row>
        <row r="1635">
          <cell r="A1635" t="str">
            <v>F0102077509</v>
          </cell>
          <cell r="B1635" t="str">
            <v>后靠背安装座 左</v>
          </cell>
          <cell r="C1635" t="str">
            <v>件</v>
          </cell>
          <cell r="D1635" t="str">
            <v>车身部件</v>
          </cell>
        </row>
        <row r="1636">
          <cell r="A1636" t="str">
            <v>F0102077510</v>
          </cell>
          <cell r="B1636" t="str">
            <v>后靠背安装座 右</v>
          </cell>
          <cell r="C1636" t="str">
            <v>件</v>
          </cell>
          <cell r="D1636" t="str">
            <v>车身部件</v>
          </cell>
        </row>
        <row r="1637">
          <cell r="A1637" t="str">
            <v>F0102077522</v>
          </cell>
          <cell r="B1637" t="str">
            <v>后靠背支架 左</v>
          </cell>
          <cell r="C1637" t="str">
            <v>件</v>
          </cell>
          <cell r="D1637" t="str">
            <v>车身部件</v>
          </cell>
        </row>
        <row r="1638">
          <cell r="A1638" t="str">
            <v>F0102077523</v>
          </cell>
          <cell r="B1638" t="str">
            <v>后靠背支架 右</v>
          </cell>
          <cell r="C1638" t="str">
            <v>件</v>
          </cell>
          <cell r="D1638" t="str">
            <v>车身部件</v>
          </cell>
        </row>
        <row r="1639">
          <cell r="A1639" t="str">
            <v>F0102077507</v>
          </cell>
          <cell r="B1639" t="str">
            <v>靠背支架 左</v>
          </cell>
          <cell r="C1639" t="str">
            <v>件</v>
          </cell>
          <cell r="D1639" t="str">
            <v>车身部件</v>
          </cell>
        </row>
        <row r="1640">
          <cell r="A1640" t="str">
            <v>F0102077508</v>
          </cell>
          <cell r="B1640" t="str">
            <v>靠背支架 右</v>
          </cell>
          <cell r="C1640" t="str">
            <v>件</v>
          </cell>
          <cell r="D1640" t="str">
            <v>车身部件</v>
          </cell>
        </row>
        <row r="1641">
          <cell r="A1641" t="str">
            <v>F2101188002</v>
          </cell>
          <cell r="B1641" t="str">
            <v>塞打螺丝
screw</v>
          </cell>
          <cell r="C1641" t="str">
            <v>件</v>
          </cell>
          <cell r="D1641" t="str">
            <v>紧固件</v>
          </cell>
        </row>
        <row r="1642">
          <cell r="A1642" t="str">
            <v>F2101188003</v>
          </cell>
          <cell r="B1642" t="str">
            <v>塞打螺丝
screw</v>
          </cell>
          <cell r="C1642" t="str">
            <v>件</v>
          </cell>
          <cell r="D1642" t="str">
            <v>紧固件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7.2美元汇率7月1日版本"/>
      <sheetName val="8.27发泰英文版本"/>
      <sheetName val="7.1"/>
      <sheetName val="6.12"/>
      <sheetName val="5.27"/>
      <sheetName val="Sheet1"/>
    </sheetNames>
    <sheetDataSet>
      <sheetData sheetId="0">
        <row r="1">
          <cell r="A1" t="str">
            <v>存货编码</v>
          </cell>
          <cell r="B1" t="str">
            <v>存货名称</v>
          </cell>
          <cell r="C1" t="str">
            <v>单位</v>
          </cell>
          <cell r="D1" t="str">
            <v>未税单价</v>
          </cell>
          <cell r="E1" t="str">
            <v>美国清关价</v>
          </cell>
        </row>
        <row r="2">
          <cell r="A2" t="str">
            <v>Y0410024021040</v>
          </cell>
          <cell r="B2" t="str">
            <v>下悬臂安装支架</v>
          </cell>
          <cell r="C2" t="str">
            <v>件</v>
          </cell>
          <cell r="D2">
            <v>1.65</v>
          </cell>
          <cell r="E2">
            <v>0.23</v>
          </cell>
        </row>
        <row r="3">
          <cell r="A3" t="str">
            <v>Y0410024021432</v>
          </cell>
          <cell r="B3" t="str">
            <v>上悬臂安装支架（球车）</v>
          </cell>
          <cell r="C3" t="str">
            <v>件</v>
          </cell>
          <cell r="D3">
            <v>1.65</v>
          </cell>
          <cell r="E3">
            <v>0.23</v>
          </cell>
        </row>
        <row r="4">
          <cell r="A4" t="str">
            <v>Y0410024021123</v>
          </cell>
          <cell r="B4" t="str">
            <v>前制动油管支架（球车）</v>
          </cell>
          <cell r="C4" t="str">
            <v>件</v>
          </cell>
          <cell r="D4">
            <v>1.99</v>
          </cell>
          <cell r="E4">
            <v>0.28</v>
          </cell>
        </row>
        <row r="5">
          <cell r="A5" t="str">
            <v>Y0410024021048</v>
          </cell>
          <cell r="B5" t="str">
            <v>方向机焊接支架（球车）</v>
          </cell>
          <cell r="C5" t="str">
            <v>件</v>
          </cell>
          <cell r="D5">
            <v>4.1</v>
          </cell>
          <cell r="E5">
            <v>0.57</v>
          </cell>
        </row>
        <row r="6">
          <cell r="A6" t="str">
            <v>Y0410024021425</v>
          </cell>
          <cell r="B6" t="str">
            <v>下悬臂支架纵梁左（球车）</v>
          </cell>
          <cell r="C6" t="str">
            <v>件</v>
          </cell>
          <cell r="D6">
            <v>7.3</v>
          </cell>
          <cell r="E6">
            <v>1.01</v>
          </cell>
        </row>
        <row r="7">
          <cell r="A7" t="str">
            <v>Y0410024021426</v>
          </cell>
          <cell r="B7" t="str">
            <v>下悬臂支架纵梁右（球车）</v>
          </cell>
          <cell r="C7" t="str">
            <v>件</v>
          </cell>
          <cell r="D7">
            <v>7.3</v>
          </cell>
          <cell r="E7">
            <v>1.01</v>
          </cell>
        </row>
        <row r="8">
          <cell r="A8" t="str">
            <v>Y0410024021427</v>
          </cell>
          <cell r="B8" t="str">
            <v>下悬臂纵梁加强横梁（球车）</v>
          </cell>
          <cell r="C8" t="str">
            <v>件</v>
          </cell>
          <cell r="D8">
            <v>0.71</v>
          </cell>
          <cell r="E8">
            <v>0.1</v>
          </cell>
        </row>
        <row r="9">
          <cell r="A9" t="str">
            <v>F0102063908</v>
          </cell>
          <cell r="B9" t="str">
            <v>上悬臂支架圆管梁（球车）</v>
          </cell>
          <cell r="C9" t="str">
            <v>件</v>
          </cell>
          <cell r="D9">
            <v>3.87</v>
          </cell>
          <cell r="E9">
            <v>0.54</v>
          </cell>
        </row>
        <row r="10">
          <cell r="A10" t="str">
            <v>Y0410024021120</v>
          </cell>
          <cell r="B10" t="str">
            <v>圆管梁加强横梁（球车）</v>
          </cell>
          <cell r="C10" t="str">
            <v>件</v>
          </cell>
          <cell r="D10">
            <v>2.42</v>
          </cell>
          <cell r="E10">
            <v>0.34</v>
          </cell>
        </row>
        <row r="11">
          <cell r="A11" t="str">
            <v>Y0410024021424</v>
          </cell>
          <cell r="B11" t="str">
            <v>圆管梁后端焊接横梁（球车）</v>
          </cell>
          <cell r="C11" t="str">
            <v>件</v>
          </cell>
          <cell r="D11">
            <v>1.1</v>
          </cell>
          <cell r="E11">
            <v>0.15</v>
          </cell>
        </row>
        <row r="12">
          <cell r="A12" t="str">
            <v>F0102063907</v>
          </cell>
          <cell r="B12" t="str">
            <v>前弯管竖梁（球车）</v>
          </cell>
          <cell r="C12" t="str">
            <v>件</v>
          </cell>
          <cell r="D12">
            <v>4.46</v>
          </cell>
          <cell r="E12">
            <v>0.62</v>
          </cell>
        </row>
        <row r="13">
          <cell r="A13" t="str">
            <v>Y0410024021345</v>
          </cell>
          <cell r="B13" t="str">
            <v>前塑料保险杠焊接支架（J款球车）</v>
          </cell>
          <cell r="C13" t="str">
            <v>件</v>
          </cell>
          <cell r="D13">
            <v>1.96</v>
          </cell>
          <cell r="E13">
            <v>0.27</v>
          </cell>
        </row>
        <row r="14">
          <cell r="A14" t="str">
            <v>Y0410024021344</v>
          </cell>
          <cell r="B14" t="str">
            <v>前罩下支架（J款球车）</v>
          </cell>
          <cell r="C14" t="str">
            <v>件</v>
          </cell>
          <cell r="D14">
            <v>1.03</v>
          </cell>
          <cell r="E14">
            <v>0.14</v>
          </cell>
        </row>
        <row r="15">
          <cell r="A15" t="str">
            <v>Y0410024021125</v>
          </cell>
          <cell r="B15" t="str">
            <v>前罩下支架横梁（球车）</v>
          </cell>
          <cell r="C15" t="str">
            <v>件</v>
          </cell>
          <cell r="D15">
            <v>1.21</v>
          </cell>
          <cell r="E15">
            <v>0.17</v>
          </cell>
        </row>
        <row r="16">
          <cell r="A16" t="str">
            <v>Y0410024021114</v>
          </cell>
          <cell r="B16" t="str">
            <v>前减振器支架（球车）</v>
          </cell>
          <cell r="C16" t="str">
            <v>件</v>
          </cell>
          <cell r="D16">
            <v>3.9</v>
          </cell>
          <cell r="E16">
            <v>0.54</v>
          </cell>
        </row>
        <row r="17">
          <cell r="A17" t="str">
            <v>Y0410024021115</v>
          </cell>
          <cell r="B17" t="str">
            <v>前减支架上封板（球车）</v>
          </cell>
          <cell r="C17" t="str">
            <v>件</v>
          </cell>
          <cell r="D17">
            <v>0.4</v>
          </cell>
          <cell r="E17">
            <v>0.06</v>
          </cell>
        </row>
        <row r="18">
          <cell r="A18" t="str">
            <v>Y0410024021158</v>
          </cell>
          <cell r="B18" t="str">
            <v>仪表台下横梁板(球车)</v>
          </cell>
          <cell r="C18" t="str">
            <v>件</v>
          </cell>
          <cell r="D18">
            <v>15.61</v>
          </cell>
          <cell r="E18">
            <v>2.17</v>
          </cell>
        </row>
        <row r="19">
          <cell r="A19" t="str">
            <v>Y0410024021113</v>
          </cell>
          <cell r="B19" t="str">
            <v>仪表台下横梁加强板(球车)</v>
          </cell>
          <cell r="C19" t="str">
            <v>件</v>
          </cell>
          <cell r="D19">
            <v>0.44</v>
          </cell>
          <cell r="E19">
            <v>0.06</v>
          </cell>
        </row>
        <row r="20">
          <cell r="A20" t="str">
            <v>Y0410024021128</v>
          </cell>
          <cell r="B20" t="str">
            <v>前立柱支架左（J款）</v>
          </cell>
          <cell r="C20" t="str">
            <v>件</v>
          </cell>
          <cell r="D20">
            <v>5.12</v>
          </cell>
          <cell r="E20">
            <v>0.71</v>
          </cell>
        </row>
        <row r="21">
          <cell r="A21" t="str">
            <v>Y0410024021121</v>
          </cell>
          <cell r="B21" t="str">
            <v>前立柱支架右（J款）</v>
          </cell>
          <cell r="C21" t="str">
            <v>件</v>
          </cell>
          <cell r="D21">
            <v>0.35</v>
          </cell>
          <cell r="E21">
            <v>0.05</v>
          </cell>
        </row>
        <row r="22">
          <cell r="A22" t="str">
            <v>Y0410024021417</v>
          </cell>
          <cell r="B22" t="str">
            <v>仪表台上弯管梁（J款）</v>
          </cell>
          <cell r="C22" t="str">
            <v>件</v>
          </cell>
          <cell r="D22">
            <v>14</v>
          </cell>
          <cell r="E22">
            <v>1.94</v>
          </cell>
        </row>
        <row r="23">
          <cell r="A23" t="str">
            <v>Y0410024021418</v>
          </cell>
          <cell r="B23" t="str">
            <v>仪表台上纵梁</v>
          </cell>
          <cell r="C23" t="str">
            <v>件</v>
          </cell>
          <cell r="D23">
            <v>5.13</v>
          </cell>
          <cell r="E23">
            <v>0.71</v>
          </cell>
        </row>
        <row r="24">
          <cell r="A24" t="str">
            <v>Y0410024021343</v>
          </cell>
          <cell r="B24" t="str">
            <v>仪表台上横梁板（J款）</v>
          </cell>
          <cell r="C24" t="str">
            <v>件</v>
          </cell>
          <cell r="D24">
            <v>30.92</v>
          </cell>
          <cell r="E24">
            <v>4.29</v>
          </cell>
        </row>
        <row r="25">
          <cell r="A25" t="str">
            <v>Y0410024021122</v>
          </cell>
          <cell r="B25" t="str">
            <v>仪表台斜侧边梁（J款）</v>
          </cell>
          <cell r="C25" t="str">
            <v>件</v>
          </cell>
          <cell r="D25">
            <v>3.5</v>
          </cell>
          <cell r="E25">
            <v>0.49</v>
          </cell>
        </row>
        <row r="26">
          <cell r="A26" t="str">
            <v>Y0410024021419</v>
          </cell>
          <cell r="B26" t="str">
            <v>仪表台侧斜梁</v>
          </cell>
          <cell r="C26" t="str">
            <v>件</v>
          </cell>
          <cell r="D26">
            <v>4.38</v>
          </cell>
          <cell r="E26">
            <v>0.61</v>
          </cell>
        </row>
        <row r="27">
          <cell r="A27" t="str">
            <v>Y0410024021420</v>
          </cell>
          <cell r="B27" t="str">
            <v>仪表台中斜梁</v>
          </cell>
          <cell r="C27" t="str">
            <v>件</v>
          </cell>
          <cell r="D27">
            <v>4.88</v>
          </cell>
          <cell r="E27">
            <v>0.68</v>
          </cell>
        </row>
        <row r="28">
          <cell r="A28" t="str">
            <v>Y0410024021028</v>
          </cell>
          <cell r="B28" t="str">
            <v>转向管柱支架（J款）</v>
          </cell>
          <cell r="C28" t="str">
            <v>件</v>
          </cell>
          <cell r="D28">
            <v>24.24</v>
          </cell>
          <cell r="E28">
            <v>3.37</v>
          </cell>
        </row>
        <row r="29">
          <cell r="A29" t="str">
            <v>Y0410024021377</v>
          </cell>
          <cell r="B29" t="str">
            <v>保险丝盒支架</v>
          </cell>
          <cell r="C29" t="str">
            <v>件</v>
          </cell>
          <cell r="D29">
            <v>8</v>
          </cell>
          <cell r="E29">
            <v>1.11</v>
          </cell>
        </row>
        <row r="30">
          <cell r="A30" t="str">
            <v>Y0410024021077</v>
          </cell>
          <cell r="B30" t="str">
            <v>电喇叭安装支架</v>
          </cell>
          <cell r="C30" t="str">
            <v>件</v>
          </cell>
          <cell r="D30">
            <v>0.39</v>
          </cell>
          <cell r="E30">
            <v>0.05</v>
          </cell>
        </row>
        <row r="31">
          <cell r="A31" t="str">
            <v>Y0410024021078</v>
          </cell>
          <cell r="B31" t="str">
            <v>线卡</v>
          </cell>
          <cell r="C31" t="str">
            <v>件</v>
          </cell>
          <cell r="D31">
            <v>0.39</v>
          </cell>
          <cell r="E31">
            <v>0.05</v>
          </cell>
        </row>
        <row r="32">
          <cell r="A32" t="str">
            <v>F0102087954</v>
          </cell>
          <cell r="B32" t="str">
            <v>倒车蜂鸣器支架</v>
          </cell>
          <cell r="C32" t="str">
            <v>件</v>
          </cell>
          <cell r="D32">
            <v>1</v>
          </cell>
          <cell r="E32">
            <v>0.14</v>
          </cell>
        </row>
        <row r="33">
          <cell r="A33" t="str">
            <v>Y0410024021359</v>
          </cell>
          <cell r="B33" t="str">
            <v>后拖曳臂上支架</v>
          </cell>
          <cell r="C33" t="str">
            <v>件</v>
          </cell>
          <cell r="D33">
            <v>5.86</v>
          </cell>
          <cell r="E33">
            <v>0.81</v>
          </cell>
        </row>
        <row r="34">
          <cell r="A34" t="str">
            <v>Y0410024021365</v>
          </cell>
          <cell r="B34" t="str">
            <v>后拖曳臂上支架加强板</v>
          </cell>
          <cell r="C34" t="str">
            <v>件</v>
          </cell>
          <cell r="D34">
            <v>0.98</v>
          </cell>
          <cell r="E34">
            <v>0.14</v>
          </cell>
        </row>
        <row r="35">
          <cell r="A35" t="str">
            <v>Y0410024021361</v>
          </cell>
          <cell r="B35" t="str">
            <v>后拖曳臂下支架</v>
          </cell>
          <cell r="C35" t="str">
            <v>件</v>
          </cell>
          <cell r="D35">
            <v>5.84</v>
          </cell>
          <cell r="E35">
            <v>0.81</v>
          </cell>
        </row>
        <row r="36">
          <cell r="A36" t="str">
            <v>Y0410024021154</v>
          </cell>
          <cell r="B36" t="str">
            <v>仪表台下斜封板</v>
          </cell>
          <cell r="C36" t="str">
            <v>件</v>
          </cell>
          <cell r="D36">
            <v>5.89</v>
          </cell>
          <cell r="E36">
            <v>0.82</v>
          </cell>
        </row>
        <row r="37">
          <cell r="A37" t="str">
            <v>Y0410024021016</v>
          </cell>
          <cell r="B37" t="str">
            <v>制动踏板前支架</v>
          </cell>
          <cell r="C37" t="str">
            <v>件</v>
          </cell>
          <cell r="D37">
            <v>3.21</v>
          </cell>
          <cell r="E37">
            <v>0.45</v>
          </cell>
        </row>
        <row r="38">
          <cell r="A38" t="str">
            <v>Y0410024021017</v>
          </cell>
          <cell r="B38" t="str">
            <v>制动踏板后支架</v>
          </cell>
          <cell r="C38" t="str">
            <v>件</v>
          </cell>
          <cell r="D38">
            <v>5.38</v>
          </cell>
          <cell r="E38">
            <v>0.75</v>
          </cell>
        </row>
        <row r="39">
          <cell r="A39" t="str">
            <v>Y0410024021116</v>
          </cell>
          <cell r="B39" t="str">
            <v>制动踏板后支架加强板</v>
          </cell>
          <cell r="C39" t="str">
            <v>件</v>
          </cell>
          <cell r="D39">
            <v>0.4</v>
          </cell>
          <cell r="E39">
            <v>0.06</v>
          </cell>
        </row>
        <row r="40">
          <cell r="A40" t="str">
            <v>Y0410024021127</v>
          </cell>
          <cell r="B40" t="str">
            <v>制动踏板右纵梁</v>
          </cell>
          <cell r="C40" t="str">
            <v>件</v>
          </cell>
          <cell r="D40">
            <v>4.77</v>
          </cell>
          <cell r="E40">
            <v>0.66</v>
          </cell>
        </row>
        <row r="41">
          <cell r="A41" t="str">
            <v>Y0410024021014</v>
          </cell>
          <cell r="B41" t="str">
            <v>制动踏板右纵梁连接板</v>
          </cell>
          <cell r="C41" t="str">
            <v>件</v>
          </cell>
          <cell r="D41">
            <v>1.91</v>
          </cell>
          <cell r="E41">
            <v>0.27</v>
          </cell>
        </row>
        <row r="42">
          <cell r="A42" t="str">
            <v>Y0410024021018</v>
          </cell>
          <cell r="B42" t="str">
            <v>制动总泵支架横梁</v>
          </cell>
          <cell r="C42" t="str">
            <v>件</v>
          </cell>
          <cell r="D42">
            <v>3.56</v>
          </cell>
          <cell r="E42">
            <v>0.49</v>
          </cell>
        </row>
        <row r="43">
          <cell r="A43" t="str">
            <v>Y0410024021086</v>
          </cell>
          <cell r="B43" t="str">
            <v>制动总泵支架横梁连接板</v>
          </cell>
          <cell r="C43" t="str">
            <v>件</v>
          </cell>
          <cell r="D43">
            <v>1.1</v>
          </cell>
          <cell r="E43">
            <v>0.15</v>
          </cell>
        </row>
        <row r="44">
          <cell r="A44" t="str">
            <v>Y0410024021410</v>
          </cell>
          <cell r="B44" t="str">
            <v>制动总泵支架</v>
          </cell>
          <cell r="C44" t="str">
            <v>件</v>
          </cell>
          <cell r="D44">
            <v>7.5</v>
          </cell>
          <cell r="E44">
            <v>1.04</v>
          </cell>
        </row>
        <row r="45">
          <cell r="A45" t="str">
            <v>F0102045904</v>
          </cell>
          <cell r="B45" t="str">
            <v>制动总泵侧弯管梁</v>
          </cell>
          <cell r="C45" t="str">
            <v>件</v>
          </cell>
          <cell r="D45">
            <v>1.63</v>
          </cell>
          <cell r="E45">
            <v>0.23</v>
          </cell>
        </row>
        <row r="46">
          <cell r="A46" t="str">
            <v>Y0410024021013</v>
          </cell>
          <cell r="B46" t="str">
            <v>侧边梁前连接板</v>
          </cell>
          <cell r="C46" t="str">
            <v>件</v>
          </cell>
          <cell r="D46">
            <v>1.21</v>
          </cell>
          <cell r="E46">
            <v>0.17</v>
          </cell>
        </row>
        <row r="47">
          <cell r="A47" t="str">
            <v>Y0410024021033</v>
          </cell>
          <cell r="B47" t="str">
            <v>充电机前横梁</v>
          </cell>
          <cell r="C47" t="str">
            <v>件</v>
          </cell>
          <cell r="D47">
            <v>2.78</v>
          </cell>
          <cell r="E47">
            <v>0.39</v>
          </cell>
        </row>
        <row r="48">
          <cell r="A48" t="str">
            <v>Y0410024021067</v>
          </cell>
          <cell r="B48" t="str">
            <v>后轮罩前安装横梁</v>
          </cell>
          <cell r="C48" t="str">
            <v>件</v>
          </cell>
          <cell r="D48">
            <v>2.51</v>
          </cell>
          <cell r="E48">
            <v>0.35</v>
          </cell>
        </row>
        <row r="49">
          <cell r="A49" t="str">
            <v>Y0410024021038</v>
          </cell>
          <cell r="B49" t="str">
            <v>后轮罩上安装支架</v>
          </cell>
          <cell r="C49" t="str">
            <v>件</v>
          </cell>
          <cell r="D49">
            <v>2.08</v>
          </cell>
          <cell r="E49">
            <v>0.29</v>
          </cell>
        </row>
        <row r="50">
          <cell r="A50" t="str">
            <v>Y0410024021072</v>
          </cell>
          <cell r="B50" t="str">
            <v>制动油壶软管支架</v>
          </cell>
          <cell r="C50" t="str">
            <v>件</v>
          </cell>
          <cell r="D50">
            <v>2.6</v>
          </cell>
          <cell r="E50">
            <v>0.36</v>
          </cell>
        </row>
        <row r="51">
          <cell r="A51" t="str">
            <v>Y0410024021353</v>
          </cell>
          <cell r="B51" t="str">
            <v>电池框前横梁</v>
          </cell>
          <cell r="C51" t="str">
            <v>件</v>
          </cell>
          <cell r="D51">
            <v>13.81</v>
          </cell>
          <cell r="E51">
            <v>1.92</v>
          </cell>
        </row>
        <row r="52">
          <cell r="A52" t="str">
            <v>Y0410024021082</v>
          </cell>
          <cell r="B52" t="str">
            <v>电池框前安装支架</v>
          </cell>
          <cell r="C52" t="str">
            <v>件</v>
          </cell>
          <cell r="D52">
            <v>1.04</v>
          </cell>
          <cell r="E52">
            <v>0.14</v>
          </cell>
        </row>
        <row r="53">
          <cell r="A53" t="str">
            <v>Y0410024021080</v>
          </cell>
          <cell r="B53" t="str">
            <v>后座椅支架安装板</v>
          </cell>
          <cell r="C53" t="str">
            <v>件</v>
          </cell>
          <cell r="D53">
            <v>0.69</v>
          </cell>
          <cell r="E53">
            <v>0.1</v>
          </cell>
        </row>
        <row r="54">
          <cell r="A54" t="str">
            <v>Y0410024021069</v>
          </cell>
          <cell r="B54" t="str">
            <v>电池框上横梁</v>
          </cell>
          <cell r="C54" t="str">
            <v>件</v>
          </cell>
          <cell r="D54">
            <v>9.02</v>
          </cell>
          <cell r="E54">
            <v>1.25</v>
          </cell>
        </row>
        <row r="55">
          <cell r="A55" t="str">
            <v>Y0410024021081</v>
          </cell>
          <cell r="B55" t="str">
            <v>后坐垫支撑</v>
          </cell>
          <cell r="C55" t="str">
            <v>件</v>
          </cell>
          <cell r="D55">
            <v>5.03</v>
          </cell>
          <cell r="E55">
            <v>0.7</v>
          </cell>
        </row>
        <row r="56">
          <cell r="A56" t="str">
            <v>Y0410024021035</v>
          </cell>
          <cell r="B56" t="str">
            <v>钮子开关支架</v>
          </cell>
          <cell r="C56" t="str">
            <v>件</v>
          </cell>
          <cell r="D56">
            <v>1.66</v>
          </cell>
          <cell r="E56">
            <v>0.23</v>
          </cell>
        </row>
        <row r="57">
          <cell r="A57" t="str">
            <v>Y0410024021376</v>
          </cell>
          <cell r="B57" t="str">
            <v>后立柱安装支架</v>
          </cell>
          <cell r="C57" t="str">
            <v>件</v>
          </cell>
          <cell r="D57">
            <v>6.57</v>
          </cell>
          <cell r="E57">
            <v>0.91</v>
          </cell>
        </row>
        <row r="58">
          <cell r="A58" t="str">
            <v>Y0410024021375</v>
          </cell>
          <cell r="B58" t="str">
            <v>后立柱支架加强板</v>
          </cell>
          <cell r="C58" t="str">
            <v>件</v>
          </cell>
          <cell r="D58">
            <v>3.23</v>
          </cell>
          <cell r="E58">
            <v>0.45</v>
          </cell>
        </row>
        <row r="59">
          <cell r="A59" t="str">
            <v>Y0410024021015</v>
          </cell>
          <cell r="B59" t="str">
            <v>后立柱支架后封板</v>
          </cell>
          <cell r="C59" t="str">
            <v>件</v>
          </cell>
          <cell r="D59">
            <v>0.26</v>
          </cell>
          <cell r="E59">
            <v>0.04</v>
          </cell>
        </row>
        <row r="60">
          <cell r="A60" t="str">
            <v>Y0410024021370</v>
          </cell>
          <cell r="B60" t="str">
            <v>后减振器上支架</v>
          </cell>
          <cell r="C60" t="str">
            <v>件</v>
          </cell>
          <cell r="D60">
            <v>2.12</v>
          </cell>
          <cell r="E60">
            <v>0.29</v>
          </cell>
        </row>
        <row r="61">
          <cell r="A61" t="str">
            <v>Y0410999101</v>
          </cell>
          <cell r="B61" t="str">
            <v>后减振器套管</v>
          </cell>
          <cell r="C61" t="str">
            <v>件</v>
          </cell>
          <cell r="D61">
            <v>1.95</v>
          </cell>
          <cell r="E61">
            <v>0.27</v>
          </cell>
        </row>
        <row r="62">
          <cell r="A62" t="str">
            <v>Y0410024021088</v>
          </cell>
          <cell r="B62" t="str">
            <v>后保险杠安装梁</v>
          </cell>
          <cell r="C62" t="str">
            <v>件</v>
          </cell>
          <cell r="D62">
            <v>14.74</v>
          </cell>
          <cell r="E62">
            <v>2.05</v>
          </cell>
        </row>
        <row r="63">
          <cell r="A63" t="str">
            <v>Y0410024021087</v>
          </cell>
          <cell r="B63" t="str">
            <v>后罩后底板</v>
          </cell>
          <cell r="C63" t="str">
            <v>件</v>
          </cell>
          <cell r="D63">
            <v>16.48</v>
          </cell>
          <cell r="E63">
            <v>2.29</v>
          </cell>
        </row>
        <row r="64">
          <cell r="A64" t="str">
            <v>Y0410024021046</v>
          </cell>
          <cell r="B64" t="str">
            <v>后罩后底板连接板</v>
          </cell>
          <cell r="C64" t="str">
            <v>件</v>
          </cell>
          <cell r="D64">
            <v>1.3</v>
          </cell>
          <cell r="E64">
            <v>0.18</v>
          </cell>
        </row>
        <row r="65">
          <cell r="A65" t="str">
            <v>Y0410024021352</v>
          </cell>
          <cell r="B65" t="str">
            <v>后稳定杆梁加强板</v>
          </cell>
          <cell r="C65" t="str">
            <v>件</v>
          </cell>
          <cell r="D65">
            <v>1.1</v>
          </cell>
          <cell r="E65">
            <v>0.15</v>
          </cell>
        </row>
        <row r="66">
          <cell r="A66" t="str">
            <v>Y0410024021379</v>
          </cell>
          <cell r="B66" t="str">
            <v>后翻转座椅下安装梁</v>
          </cell>
          <cell r="C66" t="str">
            <v>件</v>
          </cell>
          <cell r="D66">
            <v>26.49</v>
          </cell>
          <cell r="E66">
            <v>3.68</v>
          </cell>
        </row>
        <row r="67">
          <cell r="A67" t="str">
            <v>Y0410024021076</v>
          </cell>
          <cell r="B67" t="str">
            <v>充电机安装板（J款）</v>
          </cell>
          <cell r="C67" t="str">
            <v>件</v>
          </cell>
          <cell r="D67">
            <v>7.81</v>
          </cell>
          <cell r="E67">
            <v>1.08</v>
          </cell>
        </row>
        <row r="68">
          <cell r="A68" t="str">
            <v>Y0410024021075</v>
          </cell>
          <cell r="B68" t="str">
            <v>电控安装板（J款）</v>
          </cell>
          <cell r="C68" t="str">
            <v>件</v>
          </cell>
          <cell r="D68">
            <v>7.89</v>
          </cell>
          <cell r="E68">
            <v>1.1</v>
          </cell>
        </row>
        <row r="69">
          <cell r="A69" t="str">
            <v>Y0410024021355</v>
          </cell>
          <cell r="B69" t="str">
            <v>电控前安装支架</v>
          </cell>
          <cell r="C69" t="str">
            <v>件</v>
          </cell>
          <cell r="D69">
            <v>1.51</v>
          </cell>
          <cell r="E69">
            <v>0.21</v>
          </cell>
        </row>
        <row r="70">
          <cell r="A70" t="str">
            <v>Y0410024021354</v>
          </cell>
          <cell r="B70" t="str">
            <v>电控后安装支架</v>
          </cell>
          <cell r="C70" t="str">
            <v>件</v>
          </cell>
          <cell r="D70">
            <v>1.33</v>
          </cell>
          <cell r="E70">
            <v>0.18</v>
          </cell>
        </row>
        <row r="71">
          <cell r="A71" t="str">
            <v>Y0410024021133</v>
          </cell>
          <cell r="B71" t="str">
            <v>制动油管支架</v>
          </cell>
          <cell r="C71" t="str">
            <v>件</v>
          </cell>
          <cell r="D71">
            <v>0.35</v>
          </cell>
          <cell r="E71">
            <v>0.05</v>
          </cell>
        </row>
        <row r="72">
          <cell r="A72" t="str">
            <v>Y0410024021430</v>
          </cell>
          <cell r="B72" t="str">
            <v>大梁左（4座球车）</v>
          </cell>
          <cell r="C72" t="str">
            <v>件</v>
          </cell>
          <cell r="D72">
            <v>41.5</v>
          </cell>
          <cell r="E72">
            <v>5.76</v>
          </cell>
        </row>
        <row r="73">
          <cell r="A73" t="str">
            <v>Y0410024021431</v>
          </cell>
          <cell r="B73" t="str">
            <v>大梁右（4座球车）</v>
          </cell>
          <cell r="C73" t="str">
            <v>件</v>
          </cell>
          <cell r="D73">
            <v>41.5</v>
          </cell>
          <cell r="E73">
            <v>5.76</v>
          </cell>
        </row>
        <row r="74">
          <cell r="A74" t="str">
            <v>Y0410024021139</v>
          </cell>
          <cell r="B74" t="str">
            <v>侧边梁（4座车）</v>
          </cell>
          <cell r="C74" t="str">
            <v>件</v>
          </cell>
          <cell r="D74">
            <v>4.59</v>
          </cell>
          <cell r="E74">
            <v>0.64</v>
          </cell>
        </row>
        <row r="75">
          <cell r="A75" t="str">
            <v>Y0410024021422</v>
          </cell>
          <cell r="B75" t="str">
            <v>大梁加强管（4座车）</v>
          </cell>
          <cell r="C75" t="str">
            <v>件</v>
          </cell>
          <cell r="D75">
            <v>17.5</v>
          </cell>
          <cell r="E75">
            <v>2.43</v>
          </cell>
        </row>
        <row r="76">
          <cell r="A76" t="str">
            <v>Y0410024021360</v>
          </cell>
          <cell r="B76" t="str">
            <v>大梁加强板（4座车）</v>
          </cell>
          <cell r="C76" t="str">
            <v>件</v>
          </cell>
          <cell r="D76">
            <v>7.96</v>
          </cell>
          <cell r="E76">
            <v>1.11</v>
          </cell>
        </row>
        <row r="77">
          <cell r="A77" t="str">
            <v>Y0410024021107</v>
          </cell>
          <cell r="B77" t="str">
            <v>大梁加强管前封板（4座车）</v>
          </cell>
          <cell r="C77" t="str">
            <v>件</v>
          </cell>
          <cell r="D77">
            <v>0.26</v>
          </cell>
          <cell r="E77">
            <v>0.04</v>
          </cell>
        </row>
        <row r="78">
          <cell r="A78" t="str">
            <v>Y0410024021011</v>
          </cell>
          <cell r="B78" t="str">
            <v>前座椅桶下横梁（4座车）</v>
          </cell>
          <cell r="C78" t="str">
            <v>件</v>
          </cell>
          <cell r="D78">
            <v>12.14</v>
          </cell>
          <cell r="E78">
            <v>1.69</v>
          </cell>
        </row>
        <row r="79">
          <cell r="A79" t="str">
            <v>Y0410024021009</v>
          </cell>
          <cell r="B79" t="str">
            <v>侧边梁中横梁（4座车）</v>
          </cell>
          <cell r="C79" t="str">
            <v>件</v>
          </cell>
          <cell r="D79">
            <v>3</v>
          </cell>
          <cell r="E79">
            <v>0.42</v>
          </cell>
        </row>
        <row r="80">
          <cell r="A80" t="str">
            <v>F0102047086</v>
          </cell>
          <cell r="B80" t="str">
            <v>前座椅骨架安装支架（4座车）</v>
          </cell>
          <cell r="C80" t="str">
            <v>件</v>
          </cell>
          <cell r="D80">
            <v>1.7</v>
          </cell>
          <cell r="E80">
            <v>0.24</v>
          </cell>
        </row>
        <row r="81">
          <cell r="A81" t="str">
            <v>Y0410024021010</v>
          </cell>
          <cell r="B81" t="str">
            <v>前座椅桶安装板（J款4座车）</v>
          </cell>
          <cell r="C81" t="str">
            <v>件</v>
          </cell>
          <cell r="D81">
            <v>2.42</v>
          </cell>
          <cell r="E81">
            <v>0.34</v>
          </cell>
        </row>
        <row r="82">
          <cell r="A82" t="str">
            <v>Y0410024021012</v>
          </cell>
          <cell r="B82" t="str">
            <v>前座椅中纵梁（J款4座车）</v>
          </cell>
          <cell r="C82" t="str">
            <v>件</v>
          </cell>
          <cell r="D82">
            <v>11.53</v>
          </cell>
          <cell r="E82">
            <v>1.6</v>
          </cell>
        </row>
        <row r="83">
          <cell r="A83" t="str">
            <v>Y0410024021409</v>
          </cell>
          <cell r="B83" t="str">
            <v>后稳定杆安装支架焊接总成（球车）</v>
          </cell>
          <cell r="C83" t="str">
            <v>件</v>
          </cell>
          <cell r="D83">
            <v>36.66</v>
          </cell>
          <cell r="E83">
            <v>5.09</v>
          </cell>
        </row>
        <row r="84">
          <cell r="A84" t="str">
            <v>F0102077023</v>
          </cell>
          <cell r="B84" t="str">
            <v>电池框</v>
          </cell>
          <cell r="C84" t="str">
            <v>件</v>
          </cell>
          <cell r="D84">
            <v>104.6</v>
          </cell>
          <cell r="E84">
            <v>14.53</v>
          </cell>
        </row>
        <row r="85">
          <cell r="A85" t="str">
            <v>F0102063023</v>
          </cell>
          <cell r="B85" t="str">
            <v>前挡板</v>
          </cell>
          <cell r="C85" t="str">
            <v>件</v>
          </cell>
          <cell r="D85">
            <v>13.72</v>
          </cell>
          <cell r="E85">
            <v>1.91</v>
          </cell>
        </row>
        <row r="86">
          <cell r="A86" t="str">
            <v>F0102081006</v>
          </cell>
          <cell r="B86" t="str">
            <v>下底板</v>
          </cell>
          <cell r="C86" t="str">
            <v>件</v>
          </cell>
          <cell r="D86">
            <v>45.58</v>
          </cell>
          <cell r="E86">
            <v>6.33</v>
          </cell>
        </row>
        <row r="87">
          <cell r="A87" t="str">
            <v>F0102047030</v>
          </cell>
          <cell r="B87" t="str">
            <v>座椅桶支架</v>
          </cell>
          <cell r="C87" t="str">
            <v>件</v>
          </cell>
          <cell r="D87">
            <v>18.03</v>
          </cell>
          <cell r="E87">
            <v>2.5</v>
          </cell>
        </row>
        <row r="88">
          <cell r="A88" t="str">
            <v>F0102081032</v>
          </cell>
          <cell r="B88" t="str">
            <v>转向轴管护罩 左</v>
          </cell>
          <cell r="C88" t="str">
            <v>件</v>
          </cell>
          <cell r="D88">
            <v>1.83</v>
          </cell>
          <cell r="E88">
            <v>0.25</v>
          </cell>
        </row>
        <row r="89">
          <cell r="A89" t="str">
            <v>F0102081033</v>
          </cell>
          <cell r="B89" t="str">
            <v>转向轴管护罩 右</v>
          </cell>
          <cell r="C89" t="str">
            <v>件</v>
          </cell>
          <cell r="D89">
            <v>2.54</v>
          </cell>
          <cell r="E89">
            <v>0.35</v>
          </cell>
        </row>
        <row r="90">
          <cell r="A90" t="str">
            <v>F0102077017</v>
          </cell>
          <cell r="B90" t="str">
            <v>前保支架</v>
          </cell>
          <cell r="C90" t="str">
            <v>套</v>
          </cell>
          <cell r="D90">
            <v>1.62</v>
          </cell>
          <cell r="E90">
            <v>0.23</v>
          </cell>
        </row>
        <row r="91">
          <cell r="A91" t="str">
            <v>F0102077028</v>
          </cell>
          <cell r="B91" t="str">
            <v>中桶靠背支架 左</v>
          </cell>
          <cell r="C91" t="str">
            <v>件</v>
          </cell>
          <cell r="D91">
            <v>29.52</v>
          </cell>
          <cell r="E91">
            <v>4.1</v>
          </cell>
        </row>
        <row r="92">
          <cell r="A92" t="str">
            <v>F0102077029</v>
          </cell>
          <cell r="B92" t="str">
            <v>中桶靠背支架 右</v>
          </cell>
          <cell r="C92" t="str">
            <v>件</v>
          </cell>
          <cell r="D92">
            <v>29.52</v>
          </cell>
          <cell r="E92">
            <v>4.1</v>
          </cell>
        </row>
        <row r="93">
          <cell r="A93" t="str">
            <v>F0102064005</v>
          </cell>
          <cell r="B93" t="str">
            <v>中座框</v>
          </cell>
          <cell r="C93" t="str">
            <v>件</v>
          </cell>
          <cell r="D93">
            <v>53.31</v>
          </cell>
          <cell r="E93">
            <v>7.4</v>
          </cell>
        </row>
        <row r="94">
          <cell r="A94" t="str">
            <v>F0102081004</v>
          </cell>
          <cell r="B94" t="str">
            <v>顶棚U形骨架</v>
          </cell>
          <cell r="C94" t="str">
            <v>只</v>
          </cell>
          <cell r="D94">
            <v>92.3</v>
          </cell>
          <cell r="E94">
            <v>12.82</v>
          </cell>
        </row>
        <row r="95">
          <cell r="A95" t="str">
            <v>F0102081008</v>
          </cell>
          <cell r="B95" t="str">
            <v>顶棚加强梁</v>
          </cell>
          <cell r="C95" t="str">
            <v>只</v>
          </cell>
          <cell r="D95">
            <v>15.17</v>
          </cell>
          <cell r="E95">
            <v>2.11</v>
          </cell>
        </row>
        <row r="96">
          <cell r="A96" t="str">
            <v>F0102081003</v>
          </cell>
          <cell r="B96" t="str">
            <v>顶棚前支架</v>
          </cell>
          <cell r="C96" t="str">
            <v>件</v>
          </cell>
          <cell r="D96">
            <v>38.41</v>
          </cell>
          <cell r="E96">
            <v>5.33</v>
          </cell>
        </row>
        <row r="97">
          <cell r="A97" t="str">
            <v>F0102077032</v>
          </cell>
          <cell r="B97" t="str">
            <v>顶棚后支架 左</v>
          </cell>
          <cell r="C97" t="str">
            <v>件</v>
          </cell>
          <cell r="D97">
            <v>16.94</v>
          </cell>
          <cell r="E97">
            <v>2.35</v>
          </cell>
        </row>
        <row r="98">
          <cell r="A98" t="str">
            <v>F0102077033</v>
          </cell>
          <cell r="B98" t="str">
            <v>顶棚后支架 右</v>
          </cell>
          <cell r="C98" t="str">
            <v>件</v>
          </cell>
          <cell r="D98">
            <v>16.94</v>
          </cell>
          <cell r="E98">
            <v>2.35</v>
          </cell>
        </row>
        <row r="99">
          <cell r="A99" t="str">
            <v>F0102077034</v>
          </cell>
          <cell r="B99" t="str">
            <v>球童拉手</v>
          </cell>
          <cell r="C99" t="str">
            <v>件</v>
          </cell>
          <cell r="D99">
            <v>8.76</v>
          </cell>
          <cell r="E99">
            <v>1.22</v>
          </cell>
        </row>
        <row r="100">
          <cell r="A100" t="str">
            <v>F0102077024</v>
          </cell>
          <cell r="B100" t="str">
            <v>靠背支架 左</v>
          </cell>
          <cell r="C100" t="str">
            <v>件</v>
          </cell>
          <cell r="D100">
            <v>4.15</v>
          </cell>
          <cell r="E100">
            <v>0.58</v>
          </cell>
        </row>
        <row r="101">
          <cell r="A101" t="str">
            <v>F0102077025</v>
          </cell>
          <cell r="B101" t="str">
            <v>靠背支架 右</v>
          </cell>
          <cell r="C101" t="str">
            <v>件</v>
          </cell>
          <cell r="D101">
            <v>4.15</v>
          </cell>
          <cell r="E101">
            <v>0.58</v>
          </cell>
        </row>
        <row r="102">
          <cell r="A102" t="str">
            <v>F0102077044</v>
          </cell>
          <cell r="B102" t="str">
            <v>后靠背支架 左</v>
          </cell>
          <cell r="C102" t="str">
            <v>件</v>
          </cell>
          <cell r="D102">
            <v>6.37</v>
          </cell>
          <cell r="E102">
            <v>0.88</v>
          </cell>
        </row>
        <row r="103">
          <cell r="A103" t="str">
            <v>F0102077045</v>
          </cell>
          <cell r="B103" t="str">
            <v>后靠背支架 右</v>
          </cell>
          <cell r="C103" t="str">
            <v>件</v>
          </cell>
          <cell r="D103">
            <v>6.37</v>
          </cell>
          <cell r="E103">
            <v>0.88</v>
          </cell>
        </row>
        <row r="104">
          <cell r="A104" t="str">
            <v>F0102077026</v>
          </cell>
          <cell r="B104" t="str">
            <v>后靠背安装座 左</v>
          </cell>
          <cell r="C104" t="str">
            <v>件</v>
          </cell>
          <cell r="D104">
            <v>28.48</v>
          </cell>
          <cell r="E104">
            <v>3.96</v>
          </cell>
        </row>
        <row r="105">
          <cell r="A105" t="str">
            <v>F0102077027</v>
          </cell>
          <cell r="B105" t="str">
            <v>后靠背安装座 右</v>
          </cell>
          <cell r="C105" t="str">
            <v>件</v>
          </cell>
          <cell r="D105">
            <v>28.48</v>
          </cell>
          <cell r="E105">
            <v>3.96</v>
          </cell>
        </row>
        <row r="106">
          <cell r="A106" t="str">
            <v>F0102081019</v>
          </cell>
          <cell r="B106" t="str">
            <v>底座骨架总成</v>
          </cell>
          <cell r="C106" t="str">
            <v>件</v>
          </cell>
          <cell r="D106">
            <v>84.59</v>
          </cell>
          <cell r="E106">
            <v>11.75</v>
          </cell>
        </row>
        <row r="107">
          <cell r="A107" t="str">
            <v>F0102081020</v>
          </cell>
          <cell r="B107" t="str">
            <v>脚踏板连接梁 左</v>
          </cell>
          <cell r="C107" t="str">
            <v>件</v>
          </cell>
          <cell r="D107">
            <v>9.28</v>
          </cell>
          <cell r="E107">
            <v>1.29</v>
          </cell>
        </row>
        <row r="108">
          <cell r="A108" t="str">
            <v>F0102081021</v>
          </cell>
          <cell r="B108" t="str">
            <v>脚踏板连接梁 右</v>
          </cell>
          <cell r="C108" t="str">
            <v>件</v>
          </cell>
          <cell r="D108">
            <v>9.28</v>
          </cell>
          <cell r="E108">
            <v>1.29</v>
          </cell>
        </row>
        <row r="109">
          <cell r="A109" t="str">
            <v>F0102081022</v>
          </cell>
          <cell r="B109" t="str">
            <v>踏板骨架总成</v>
          </cell>
          <cell r="C109" t="str">
            <v>件</v>
          </cell>
          <cell r="D109">
            <v>119.43</v>
          </cell>
          <cell r="E109">
            <v>16.59</v>
          </cell>
        </row>
        <row r="110">
          <cell r="A110" t="str">
            <v>F0102081023</v>
          </cell>
          <cell r="B110" t="str">
            <v>后扶手</v>
          </cell>
          <cell r="C110" t="str">
            <v>件</v>
          </cell>
          <cell r="D110">
            <v>37.13</v>
          </cell>
          <cell r="E110">
            <v>5.16</v>
          </cell>
        </row>
        <row r="111">
          <cell r="A111" t="str">
            <v>F0102081024</v>
          </cell>
          <cell r="B111" t="str">
            <v>后摄像头支架1</v>
          </cell>
          <cell r="C111" t="str">
            <v>件</v>
          </cell>
          <cell r="D111">
            <v>1.34</v>
          </cell>
          <cell r="E111">
            <v>0.19</v>
          </cell>
        </row>
        <row r="112">
          <cell r="A112" t="str">
            <v>F0102081025</v>
          </cell>
          <cell r="B112" t="str">
            <v>后摄像头支架2</v>
          </cell>
          <cell r="C112" t="str">
            <v>件</v>
          </cell>
          <cell r="D112">
            <v>1.19</v>
          </cell>
          <cell r="E112">
            <v>0.17</v>
          </cell>
        </row>
        <row r="113">
          <cell r="A113" t="str">
            <v>F0102081026</v>
          </cell>
          <cell r="B113" t="str">
            <v>电控调试接口安装板</v>
          </cell>
          <cell r="C113" t="str">
            <v>件</v>
          </cell>
          <cell r="D113">
            <v>0.88</v>
          </cell>
          <cell r="E113">
            <v>0.12</v>
          </cell>
        </row>
        <row r="114">
          <cell r="A114" t="str">
            <v>F0102047021</v>
          </cell>
          <cell r="B114" t="str">
            <v>前中排安装带支架</v>
          </cell>
          <cell r="C114" t="str">
            <v>件</v>
          </cell>
          <cell r="D114">
            <v>12.58</v>
          </cell>
          <cell r="E114">
            <v>1.75</v>
          </cell>
        </row>
        <row r="115">
          <cell r="A115" t="str">
            <v>F0102081031</v>
          </cell>
          <cell r="B115" t="str">
            <v>J款球车铁制前保险杠</v>
          </cell>
          <cell r="C115" t="str">
            <v>件</v>
          </cell>
          <cell r="D115">
            <v>168.14</v>
          </cell>
          <cell r="E115">
            <v>23.35</v>
          </cell>
        </row>
        <row r="116">
          <cell r="A116" t="str">
            <v>F0102081030</v>
          </cell>
          <cell r="B116" t="str">
            <v>充电插座加强版</v>
          </cell>
          <cell r="C116" t="str">
            <v>件</v>
          </cell>
          <cell r="D116">
            <v>1.84</v>
          </cell>
          <cell r="E116">
            <v>0.26</v>
          </cell>
        </row>
        <row r="117">
          <cell r="A117" t="str">
            <v>F0102081029</v>
          </cell>
          <cell r="B117" t="str">
            <v>前罩中网款</v>
          </cell>
          <cell r="C117" t="str">
            <v>只</v>
          </cell>
          <cell r="D117">
            <v>69.51</v>
          </cell>
          <cell r="E117">
            <v>9.65</v>
          </cell>
        </row>
        <row r="118">
          <cell r="A118" t="str">
            <v>F0102077041</v>
          </cell>
          <cell r="B118" t="str">
            <v>中网</v>
          </cell>
          <cell r="C118" t="str">
            <v>件</v>
          </cell>
          <cell r="D118">
            <v>3.77</v>
          </cell>
          <cell r="E118">
            <v>0.52</v>
          </cell>
        </row>
        <row r="119">
          <cell r="A119" t="str">
            <v>F0102077004</v>
          </cell>
          <cell r="B119" t="str">
            <v>前保险杠</v>
          </cell>
          <cell r="C119" t="str">
            <v>只</v>
          </cell>
          <cell r="D119">
            <v>9.77</v>
          </cell>
          <cell r="E119">
            <v>1.36</v>
          </cell>
        </row>
        <row r="120">
          <cell r="A120" t="str">
            <v>F0102077005</v>
          </cell>
          <cell r="B120" t="str">
            <v>仪表台</v>
          </cell>
          <cell r="C120" t="str">
            <v>件</v>
          </cell>
          <cell r="D120">
            <v>47.65</v>
          </cell>
          <cell r="E120">
            <v>6.62</v>
          </cell>
        </row>
        <row r="121">
          <cell r="A121" t="str">
            <v>F0102077006</v>
          </cell>
          <cell r="B121" t="str">
            <v>左杂物盒</v>
          </cell>
          <cell r="C121" t="str">
            <v>件</v>
          </cell>
          <cell r="D121">
            <v>4.97</v>
          </cell>
          <cell r="E121">
            <v>0.69</v>
          </cell>
        </row>
        <row r="122">
          <cell r="A122" t="str">
            <v>F0102077007</v>
          </cell>
          <cell r="B122" t="str">
            <v>右杂物盒</v>
          </cell>
          <cell r="C122" t="str">
            <v>件</v>
          </cell>
          <cell r="D122">
            <v>6.1</v>
          </cell>
          <cell r="E122">
            <v>0.85</v>
          </cell>
        </row>
        <row r="123">
          <cell r="A123" t="str">
            <v>F0102077008</v>
          </cell>
          <cell r="B123" t="str">
            <v>左杂物盒盖</v>
          </cell>
          <cell r="C123" t="str">
            <v>件</v>
          </cell>
          <cell r="D123">
            <v>3.46</v>
          </cell>
          <cell r="E123">
            <v>0.48</v>
          </cell>
        </row>
        <row r="124">
          <cell r="A124" t="str">
            <v>F0102077009</v>
          </cell>
          <cell r="B124" t="str">
            <v>右杂物盒盖</v>
          </cell>
          <cell r="C124" t="str">
            <v>件</v>
          </cell>
          <cell r="D124">
            <v>3.55</v>
          </cell>
          <cell r="E124">
            <v>0.49</v>
          </cell>
        </row>
        <row r="125">
          <cell r="A125" t="str">
            <v>F0102073008</v>
          </cell>
          <cell r="B125" t="str">
            <v>液晶屏座</v>
          </cell>
          <cell r="C125" t="str">
            <v>件</v>
          </cell>
          <cell r="D125">
            <v>5.71</v>
          </cell>
          <cell r="E125">
            <v>0.79</v>
          </cell>
        </row>
        <row r="126">
          <cell r="A126" t="str">
            <v>F0102077010</v>
          </cell>
          <cell r="B126" t="str">
            <v>中控开关面板</v>
          </cell>
          <cell r="C126" t="str">
            <v>件</v>
          </cell>
          <cell r="D126">
            <v>2.46</v>
          </cell>
          <cell r="E126">
            <v>0.34</v>
          </cell>
        </row>
        <row r="127">
          <cell r="A127" t="str">
            <v>F0102077011</v>
          </cell>
          <cell r="B127" t="str">
            <v>附件电器座</v>
          </cell>
          <cell r="C127" t="str">
            <v>件</v>
          </cell>
          <cell r="D127">
            <v>5.93</v>
          </cell>
          <cell r="E127">
            <v>0.82</v>
          </cell>
        </row>
        <row r="128">
          <cell r="A128" t="str">
            <v>F0102077019</v>
          </cell>
          <cell r="B128" t="str">
            <v>仪表台堵盖</v>
          </cell>
          <cell r="C128" t="str">
            <v>件</v>
          </cell>
          <cell r="D128">
            <v>0.61</v>
          </cell>
          <cell r="E128">
            <v>0.08</v>
          </cell>
        </row>
        <row r="129">
          <cell r="A129" t="str">
            <v>F0102063006</v>
          </cell>
          <cell r="B129" t="str">
            <v>左杯托</v>
          </cell>
          <cell r="C129" t="str">
            <v>只</v>
          </cell>
          <cell r="D129">
            <v>2.9</v>
          </cell>
          <cell r="E129">
            <v>0.4</v>
          </cell>
        </row>
        <row r="130">
          <cell r="A130" t="str">
            <v>F0102063007</v>
          </cell>
          <cell r="B130" t="str">
            <v>右杯托</v>
          </cell>
          <cell r="C130" t="str">
            <v>只</v>
          </cell>
          <cell r="D130">
            <v>2.9</v>
          </cell>
          <cell r="E130">
            <v>0.4</v>
          </cell>
        </row>
        <row r="131">
          <cell r="A131" t="str">
            <v>F0102049025</v>
          </cell>
          <cell r="B131" t="str">
            <v>喇叭罩</v>
          </cell>
          <cell r="C131" t="str">
            <v>只</v>
          </cell>
          <cell r="D131">
            <v>0.71</v>
          </cell>
          <cell r="E131">
            <v>0.1</v>
          </cell>
        </row>
        <row r="132">
          <cell r="A132" t="str">
            <v>F0102077016</v>
          </cell>
          <cell r="B132" t="str">
            <v>转向管柱胶套</v>
          </cell>
          <cell r="C132" t="str">
            <v>只</v>
          </cell>
          <cell r="D132">
            <v>1.63</v>
          </cell>
          <cell r="E132">
            <v>0.23</v>
          </cell>
        </row>
        <row r="133">
          <cell r="A133" t="str">
            <v>F0102063016</v>
          </cell>
          <cell r="B133" t="str">
            <v>左前侧护板</v>
          </cell>
          <cell r="C133" t="str">
            <v>只</v>
          </cell>
          <cell r="D133">
            <v>8.7</v>
          </cell>
          <cell r="E133">
            <v>1.21</v>
          </cell>
        </row>
        <row r="134">
          <cell r="A134" t="str">
            <v>F0102063017</v>
          </cell>
          <cell r="B134" t="str">
            <v>右前侧护板</v>
          </cell>
          <cell r="C134" t="str">
            <v>只</v>
          </cell>
          <cell r="D134">
            <v>8.7</v>
          </cell>
          <cell r="E134">
            <v>1.21</v>
          </cell>
        </row>
        <row r="135">
          <cell r="A135" t="str">
            <v>F0102045009</v>
          </cell>
          <cell r="B135" t="str">
            <v>加长侧护板（四座）</v>
          </cell>
          <cell r="C135" t="str">
            <v>只</v>
          </cell>
          <cell r="D135">
            <v>9.97</v>
          </cell>
          <cell r="E135">
            <v>1.38</v>
          </cell>
        </row>
        <row r="136">
          <cell r="A136" t="str">
            <v>F0102045022</v>
          </cell>
          <cell r="B136" t="str">
            <v>四座中座桶</v>
          </cell>
          <cell r="C136" t="str">
            <v>只</v>
          </cell>
          <cell r="D136">
            <v>106.86</v>
          </cell>
          <cell r="E136">
            <v>14.84</v>
          </cell>
        </row>
        <row r="137">
          <cell r="A137" t="str">
            <v>F0102045035</v>
          </cell>
          <cell r="B137" t="str">
            <v>中座椅桶堵盖</v>
          </cell>
          <cell r="C137" t="str">
            <v>只</v>
          </cell>
          <cell r="D137">
            <v>0.9</v>
          </cell>
          <cell r="E137">
            <v>0.13</v>
          </cell>
        </row>
        <row r="138">
          <cell r="A138" t="str">
            <v>F0102077035</v>
          </cell>
          <cell r="B138" t="str">
            <v>靠背罩</v>
          </cell>
          <cell r="C138" t="str">
            <v>只</v>
          </cell>
          <cell r="D138">
            <v>40.1</v>
          </cell>
          <cell r="E138">
            <v>5.57</v>
          </cell>
        </row>
        <row r="139">
          <cell r="A139" t="str">
            <v>F0102077037</v>
          </cell>
          <cell r="B139" t="str">
            <v>后拉手固定块</v>
          </cell>
          <cell r="C139" t="str">
            <v>只</v>
          </cell>
          <cell r="D139">
            <v>1.73</v>
          </cell>
          <cell r="E139">
            <v>0.24</v>
          </cell>
        </row>
        <row r="140">
          <cell r="A140" t="str">
            <v>F0102077036</v>
          </cell>
          <cell r="B140" t="str">
            <v>坐垫底板</v>
          </cell>
          <cell r="C140" t="str">
            <v>只</v>
          </cell>
          <cell r="D140">
            <v>47.12</v>
          </cell>
          <cell r="E140">
            <v>6.54</v>
          </cell>
        </row>
        <row r="141">
          <cell r="A141" t="str">
            <v>F0102045016</v>
          </cell>
          <cell r="B141" t="str">
            <v>后罩</v>
          </cell>
          <cell r="C141" t="str">
            <v>只</v>
          </cell>
          <cell r="D141">
            <v>136.37</v>
          </cell>
          <cell r="E141">
            <v>18.94</v>
          </cell>
        </row>
        <row r="142">
          <cell r="A142" t="str">
            <v>F0102045011</v>
          </cell>
          <cell r="B142" t="str">
            <v>电控检修盖</v>
          </cell>
          <cell r="C142" t="str">
            <v>只</v>
          </cell>
          <cell r="D142">
            <v>19.34</v>
          </cell>
          <cell r="E142">
            <v>2.69</v>
          </cell>
        </row>
        <row r="143">
          <cell r="A143" t="str">
            <v>F0102045012</v>
          </cell>
          <cell r="B143" t="str">
            <v>球仓保护垫</v>
          </cell>
          <cell r="C143" t="str">
            <v>只</v>
          </cell>
          <cell r="D143">
            <v>29.51</v>
          </cell>
          <cell r="E143">
            <v>4.1</v>
          </cell>
        </row>
        <row r="144">
          <cell r="A144" t="str">
            <v>F0102045013</v>
          </cell>
          <cell r="B144" t="str">
            <v>后轮罩</v>
          </cell>
          <cell r="C144" t="str">
            <v>只</v>
          </cell>
          <cell r="D144">
            <v>14.25</v>
          </cell>
          <cell r="E144">
            <v>1.98</v>
          </cell>
        </row>
        <row r="145">
          <cell r="A145" t="str">
            <v>F0102045010</v>
          </cell>
          <cell r="B145" t="str">
            <v>后侧护板  </v>
          </cell>
          <cell r="C145" t="str">
            <v>只</v>
          </cell>
          <cell r="D145">
            <v>7.12</v>
          </cell>
          <cell r="E145">
            <v>0.99</v>
          </cell>
        </row>
        <row r="146">
          <cell r="A146" t="str">
            <v>F0102045017</v>
          </cell>
          <cell r="B146" t="str">
            <v>后保险杠</v>
          </cell>
          <cell r="C146" t="str">
            <v>只</v>
          </cell>
          <cell r="D146">
            <v>32.06</v>
          </cell>
          <cell r="E146">
            <v>4.45</v>
          </cell>
        </row>
        <row r="147">
          <cell r="A147" t="str">
            <v>F0102045062</v>
          </cell>
          <cell r="B147" t="str">
            <v>后保堵盖</v>
          </cell>
          <cell r="C147" t="str">
            <v>只</v>
          </cell>
          <cell r="D147">
            <v>0.04</v>
          </cell>
          <cell r="E147">
            <v>0.01</v>
          </cell>
        </row>
        <row r="148">
          <cell r="A148" t="str">
            <v>F0102045063</v>
          </cell>
          <cell r="B148" t="str">
            <v>侧护板堵盖</v>
          </cell>
          <cell r="C148" t="str">
            <v>只</v>
          </cell>
          <cell r="D148">
            <v>0.04</v>
          </cell>
          <cell r="E148">
            <v>0.01</v>
          </cell>
        </row>
        <row r="149">
          <cell r="A149" t="str">
            <v>F0102084003</v>
          </cell>
          <cell r="B149" t="str">
            <v>6座注塑顶棚</v>
          </cell>
          <cell r="C149" t="str">
            <v>只</v>
          </cell>
          <cell r="D149">
            <v>423.5</v>
          </cell>
          <cell r="E149">
            <v>58.82</v>
          </cell>
        </row>
        <row r="150">
          <cell r="A150" t="str">
            <v>F0102081009</v>
          </cell>
          <cell r="B150" t="str">
            <v>翻转座椅底座</v>
          </cell>
          <cell r="C150" t="str">
            <v>套</v>
          </cell>
          <cell r="D150">
            <v>75.92</v>
          </cell>
          <cell r="E150">
            <v>10.54</v>
          </cell>
        </row>
        <row r="151">
          <cell r="A151" t="str">
            <v>F0102081010</v>
          </cell>
          <cell r="B151" t="str">
            <v>坐垫翻板</v>
          </cell>
          <cell r="C151" t="str">
            <v>件</v>
          </cell>
          <cell r="D151">
            <v>53.63</v>
          </cell>
          <cell r="E151">
            <v>7.45</v>
          </cell>
        </row>
        <row r="152">
          <cell r="A152" t="str">
            <v>F0102081011</v>
          </cell>
          <cell r="B152" t="str">
            <v>翻转合页</v>
          </cell>
          <cell r="C152" t="str">
            <v>件</v>
          </cell>
          <cell r="D152">
            <v>0.51</v>
          </cell>
          <cell r="E152">
            <v>0.07</v>
          </cell>
        </row>
        <row r="153">
          <cell r="A153" t="str">
            <v>F0102081013</v>
          </cell>
          <cell r="B153" t="str">
            <v>翻转座椅扶手</v>
          </cell>
          <cell r="C153" t="str">
            <v>件</v>
          </cell>
          <cell r="D153">
            <v>84.42</v>
          </cell>
          <cell r="E153">
            <v>11.73</v>
          </cell>
        </row>
        <row r="154">
          <cell r="A154" t="str">
            <v>F0102081014</v>
          </cell>
          <cell r="B154" t="str">
            <v>冰桶盖</v>
          </cell>
          <cell r="C154" t="str">
            <v>件</v>
          </cell>
          <cell r="D154">
            <v>18.32</v>
          </cell>
          <cell r="E154">
            <v>2.54</v>
          </cell>
        </row>
        <row r="155">
          <cell r="A155" t="str">
            <v>F0102081015</v>
          </cell>
          <cell r="B155" t="str">
            <v>冰桶</v>
          </cell>
          <cell r="C155" t="str">
            <v>件</v>
          </cell>
          <cell r="D155">
            <v>67.07</v>
          </cell>
          <cell r="E155">
            <v>9.32</v>
          </cell>
        </row>
        <row r="156">
          <cell r="A156" t="str">
            <v>F0102081016</v>
          </cell>
          <cell r="B156" t="str">
            <v>拉簧锁</v>
          </cell>
          <cell r="C156" t="str">
            <v>件</v>
          </cell>
          <cell r="D156">
            <v>5.99</v>
          </cell>
          <cell r="E156">
            <v>0.83</v>
          </cell>
        </row>
        <row r="157">
          <cell r="A157" t="str">
            <v>F0102081017</v>
          </cell>
          <cell r="B157" t="str">
            <v>翻转座椅踏板</v>
          </cell>
          <cell r="C157" t="str">
            <v>件</v>
          </cell>
          <cell r="D157">
            <v>87.22</v>
          </cell>
          <cell r="E157">
            <v>12.11</v>
          </cell>
        </row>
        <row r="158">
          <cell r="A158" t="str">
            <v>F0102081018</v>
          </cell>
          <cell r="B158" t="str">
            <v>翻转座椅堵盖</v>
          </cell>
          <cell r="C158" t="str">
            <v>件</v>
          </cell>
          <cell r="D158">
            <v>0.05</v>
          </cell>
          <cell r="E158">
            <v>0.01</v>
          </cell>
        </row>
        <row r="159">
          <cell r="A159" t="str">
            <v>F0103020024</v>
          </cell>
          <cell r="B159" t="str">
            <v>左前挡泥板/J款球车</v>
          </cell>
          <cell r="C159" t="str">
            <v>件</v>
          </cell>
          <cell r="D159">
            <v>33.38</v>
          </cell>
          <cell r="E159">
            <v>4.64</v>
          </cell>
        </row>
        <row r="160">
          <cell r="A160" t="str">
            <v>F0103020025</v>
          </cell>
          <cell r="B160" t="str">
            <v>右前挡泥板/J款球车</v>
          </cell>
          <cell r="C160" t="str">
            <v>件</v>
          </cell>
          <cell r="D160">
            <v>33.38</v>
          </cell>
          <cell r="E160">
            <v>4.64</v>
          </cell>
        </row>
        <row r="161">
          <cell r="A161" t="str">
            <v>F0102063028</v>
          </cell>
          <cell r="B161" t="str">
            <v>后罩挡水板-左</v>
          </cell>
          <cell r="C161" t="str">
            <v>件</v>
          </cell>
          <cell r="D161">
            <v>7.12</v>
          </cell>
          <cell r="E161">
            <v>0.99</v>
          </cell>
        </row>
        <row r="162">
          <cell r="A162" t="str">
            <v>F0102063029</v>
          </cell>
          <cell r="B162" t="str">
            <v>后罩挡水板-右</v>
          </cell>
          <cell r="C162" t="str">
            <v>件</v>
          </cell>
          <cell r="D162">
            <v>7.12</v>
          </cell>
          <cell r="E162">
            <v>0.99</v>
          </cell>
        </row>
        <row r="163">
          <cell r="A163" t="str">
            <v>F0102063040</v>
          </cell>
          <cell r="B163" t="str">
            <v>左前轮眉</v>
          </cell>
          <cell r="C163" t="str">
            <v>件</v>
          </cell>
          <cell r="D163">
            <v>2.75</v>
          </cell>
          <cell r="E163">
            <v>0.38</v>
          </cell>
        </row>
        <row r="164">
          <cell r="A164" t="str">
            <v>F0102063041</v>
          </cell>
          <cell r="B164" t="str">
            <v>右前轮眉</v>
          </cell>
          <cell r="C164" t="str">
            <v>件</v>
          </cell>
          <cell r="D164">
            <v>2.85</v>
          </cell>
          <cell r="E164">
            <v>0.4</v>
          </cell>
        </row>
        <row r="165">
          <cell r="A165" t="str">
            <v>F0102063042</v>
          </cell>
          <cell r="B165" t="str">
            <v>左后轮眉</v>
          </cell>
          <cell r="C165" t="str">
            <v>件</v>
          </cell>
          <cell r="D165">
            <v>5.09</v>
          </cell>
          <cell r="E165">
            <v>0.71</v>
          </cell>
        </row>
        <row r="166">
          <cell r="A166" t="str">
            <v>F0102063043</v>
          </cell>
          <cell r="B166" t="str">
            <v>右后轮眉</v>
          </cell>
          <cell r="C166" t="str">
            <v>件</v>
          </cell>
          <cell r="D166">
            <v>5.09</v>
          </cell>
          <cell r="E166">
            <v>0.71</v>
          </cell>
        </row>
        <row r="167">
          <cell r="A167" t="str">
            <v>F0102077043</v>
          </cell>
          <cell r="B167" t="str">
            <v>后牌照边框</v>
          </cell>
          <cell r="C167" t="str">
            <v>件</v>
          </cell>
          <cell r="D167">
            <v>2.14</v>
          </cell>
          <cell r="E167">
            <v>0.3</v>
          </cell>
        </row>
        <row r="168">
          <cell r="A168" t="str">
            <v>F0102081012</v>
          </cell>
          <cell r="B168" t="str">
            <v>翻转合页轴</v>
          </cell>
          <cell r="C168" t="str">
            <v>根</v>
          </cell>
          <cell r="D168">
            <v>11.13</v>
          </cell>
          <cell r="E168">
            <v>1.55</v>
          </cell>
        </row>
        <row r="169">
          <cell r="A169" t="str">
            <v>F0309001107</v>
          </cell>
          <cell r="B169" t="str">
            <v>右侧组合开关罩/BTL</v>
          </cell>
          <cell r="C169" t="str">
            <v>件</v>
          </cell>
          <cell r="D169">
            <v>1.27</v>
          </cell>
          <cell r="E169">
            <v>0.18</v>
          </cell>
        </row>
        <row r="170">
          <cell r="A170" t="str">
            <v>F0204004052</v>
          </cell>
          <cell r="B170" t="str">
            <v>转向下轴</v>
          </cell>
          <cell r="C170" t="str">
            <v>件</v>
          </cell>
          <cell r="D170">
            <v>63.05</v>
          </cell>
          <cell r="E170">
            <v>8.76</v>
          </cell>
        </row>
        <row r="171">
          <cell r="A171" t="str">
            <v>F0204003025</v>
          </cell>
          <cell r="B171" t="str">
            <v>方向机总成 </v>
          </cell>
          <cell r="C171" t="str">
            <v>件</v>
          </cell>
          <cell r="D171">
            <v>182.52</v>
          </cell>
          <cell r="E171">
            <v>25.35</v>
          </cell>
        </row>
        <row r="172">
          <cell r="A172" t="str">
            <v>F0303002008</v>
          </cell>
          <cell r="B172" t="str">
            <v>铸铝大踏板加速器</v>
          </cell>
          <cell r="C172" t="str">
            <v>件</v>
          </cell>
          <cell r="D172">
            <v>363.3</v>
          </cell>
          <cell r="E172">
            <v>50.46</v>
          </cell>
        </row>
        <row r="173">
          <cell r="A173" t="str">
            <v>F0103035090</v>
          </cell>
          <cell r="B173" t="str">
            <v>加速踏板胶套</v>
          </cell>
          <cell r="C173" t="str">
            <v>件</v>
          </cell>
          <cell r="D173">
            <v>3.26</v>
          </cell>
          <cell r="E173">
            <v>0.45</v>
          </cell>
        </row>
        <row r="174">
          <cell r="A174" t="str">
            <v>F0103035091</v>
          </cell>
          <cell r="B174" t="str">
            <v>制动踏板胶套</v>
          </cell>
          <cell r="C174" t="str">
            <v>件</v>
          </cell>
          <cell r="D174">
            <v>5.24</v>
          </cell>
          <cell r="E174">
            <v>0.73</v>
          </cell>
        </row>
        <row r="175">
          <cell r="A175" t="str">
            <v>D2201005</v>
          </cell>
          <cell r="B175" t="str">
            <v>刹车油壶</v>
          </cell>
          <cell r="C175" t="str">
            <v>件</v>
          </cell>
          <cell r="D175">
            <v>5.82</v>
          </cell>
          <cell r="E175">
            <v>0.81</v>
          </cell>
        </row>
        <row r="176">
          <cell r="A176" t="str">
            <v>F0103035092</v>
          </cell>
          <cell r="B176" t="str">
            <v>油壶密封垫</v>
          </cell>
          <cell r="C176" t="str">
            <v>件</v>
          </cell>
          <cell r="D176">
            <v>0.33</v>
          </cell>
          <cell r="E176">
            <v>0.05</v>
          </cell>
        </row>
        <row r="177">
          <cell r="A177" t="str">
            <v>F0203003104</v>
          </cell>
          <cell r="B177" t="str">
            <v>刹车总泵（南京金江）</v>
          </cell>
          <cell r="C177" t="str">
            <v>件</v>
          </cell>
          <cell r="D177">
            <v>74.52</v>
          </cell>
          <cell r="E177">
            <v>10.35</v>
          </cell>
        </row>
        <row r="178">
          <cell r="A178" t="str">
            <v>F0203007010</v>
          </cell>
          <cell r="B178" t="str">
            <v>制动软管/L520 一头直一头L</v>
          </cell>
          <cell r="C178" t="str">
            <v>根</v>
          </cell>
          <cell r="D178">
            <v>15.84</v>
          </cell>
          <cell r="E178">
            <v>2.2</v>
          </cell>
        </row>
        <row r="179">
          <cell r="A179" t="str">
            <v>F0203006045</v>
          </cell>
          <cell r="B179" t="str">
            <v>成型制动油管-左后</v>
          </cell>
          <cell r="C179" t="str">
            <v>根</v>
          </cell>
          <cell r="D179">
            <v>8.71</v>
          </cell>
          <cell r="E179">
            <v>1.21</v>
          </cell>
        </row>
        <row r="180">
          <cell r="A180" t="str">
            <v>F0203006046</v>
          </cell>
          <cell r="B180" t="str">
            <v>成型制动油管-右后</v>
          </cell>
          <cell r="C180" t="str">
            <v>根</v>
          </cell>
          <cell r="D180">
            <v>8.71</v>
          </cell>
          <cell r="E180">
            <v>1.21</v>
          </cell>
        </row>
        <row r="181">
          <cell r="A181" t="str">
            <v>F0203006044</v>
          </cell>
          <cell r="B181" t="str">
            <v>成型制动油管-中后</v>
          </cell>
          <cell r="C181" t="str">
            <v>根</v>
          </cell>
          <cell r="D181">
            <v>11.47</v>
          </cell>
          <cell r="E181">
            <v>1.59</v>
          </cell>
        </row>
        <row r="182">
          <cell r="A182" t="str">
            <v>D1901015</v>
          </cell>
          <cell r="B182" t="str">
            <v>三通接头</v>
          </cell>
          <cell r="C182" t="str">
            <v>只</v>
          </cell>
          <cell r="D182">
            <v>6.75</v>
          </cell>
          <cell r="E182">
            <v>0.94</v>
          </cell>
        </row>
        <row r="183">
          <cell r="A183" t="str">
            <v>F0203006047</v>
          </cell>
          <cell r="B183" t="str">
            <v>成型制动油管-中前</v>
          </cell>
          <cell r="C183" t="str">
            <v>根</v>
          </cell>
          <cell r="D183">
            <v>11.96</v>
          </cell>
          <cell r="E183">
            <v>1.66</v>
          </cell>
        </row>
        <row r="184">
          <cell r="A184" t="str">
            <v>F0203006048</v>
          </cell>
          <cell r="B184" t="str">
            <v>成型制动油管-左前</v>
          </cell>
          <cell r="C184" t="str">
            <v>根</v>
          </cell>
          <cell r="D184">
            <v>4.65</v>
          </cell>
          <cell r="E184">
            <v>0.65</v>
          </cell>
        </row>
        <row r="185">
          <cell r="A185" t="str">
            <v>F0203006049</v>
          </cell>
          <cell r="B185" t="str">
            <v>成型制动油管-右前</v>
          </cell>
          <cell r="C185" t="str">
            <v>根</v>
          </cell>
          <cell r="D185">
            <v>4.65</v>
          </cell>
          <cell r="E185">
            <v>0.65</v>
          </cell>
        </row>
        <row r="186">
          <cell r="A186" t="str">
            <v>F0203007009</v>
          </cell>
          <cell r="B186" t="str">
            <v>制动软管/L460 一头直一头L</v>
          </cell>
          <cell r="C186" t="str">
            <v>根</v>
          </cell>
          <cell r="D186">
            <v>16.07</v>
          </cell>
          <cell r="E186">
            <v>2.23</v>
          </cell>
        </row>
        <row r="187">
          <cell r="A187" t="str">
            <v>D1901013</v>
          </cell>
          <cell r="B187" t="str">
            <v>空芯螺栓</v>
          </cell>
          <cell r="C187" t="str">
            <v>只</v>
          </cell>
          <cell r="D187">
            <v>1.03</v>
          </cell>
          <cell r="E187">
            <v>0.14</v>
          </cell>
        </row>
        <row r="188">
          <cell r="A188" t="str">
            <v>Y0211045</v>
          </cell>
          <cell r="B188" t="str">
            <v>组合垫圈</v>
          </cell>
          <cell r="C188" t="str">
            <v>只</v>
          </cell>
          <cell r="D188">
            <v>0.4</v>
          </cell>
          <cell r="E188">
            <v>0.06</v>
          </cell>
        </row>
        <row r="189">
          <cell r="A189" t="str">
            <v>F0102077042</v>
          </cell>
          <cell r="B189" t="str">
            <v>前标</v>
          </cell>
          <cell r="C189" t="str">
            <v>件</v>
          </cell>
          <cell r="D189">
            <v>10.13</v>
          </cell>
          <cell r="E189">
            <v>1.41</v>
          </cell>
        </row>
        <row r="190">
          <cell r="A190" t="str">
            <v>F0102077014</v>
          </cell>
          <cell r="B190" t="str">
            <v>前立柱胶塞 左</v>
          </cell>
          <cell r="C190" t="str">
            <v>只</v>
          </cell>
          <cell r="D190">
            <v>6.99</v>
          </cell>
          <cell r="E190">
            <v>0.97</v>
          </cell>
        </row>
        <row r="191">
          <cell r="A191" t="str">
            <v>F0102077015</v>
          </cell>
          <cell r="B191" t="str">
            <v>前立柱胶塞 右</v>
          </cell>
          <cell r="C191" t="str">
            <v>只</v>
          </cell>
          <cell r="D191">
            <v>6.99</v>
          </cell>
          <cell r="E191">
            <v>0.97</v>
          </cell>
        </row>
        <row r="192">
          <cell r="A192" t="str">
            <v>F0102063033</v>
          </cell>
          <cell r="B192" t="str">
            <v>左立柱护套堵盖</v>
          </cell>
          <cell r="C192" t="str">
            <v>只</v>
          </cell>
          <cell r="D192">
            <v>0.73</v>
          </cell>
          <cell r="E192">
            <v>0.1</v>
          </cell>
        </row>
        <row r="193">
          <cell r="A193" t="str">
            <v>F0102063034</v>
          </cell>
          <cell r="B193" t="str">
            <v>右立柱护套堵盖</v>
          </cell>
          <cell r="C193" t="str">
            <v>只</v>
          </cell>
          <cell r="D193">
            <v>0.91</v>
          </cell>
          <cell r="E193">
            <v>0.13</v>
          </cell>
        </row>
        <row r="194">
          <cell r="A194" t="str">
            <v>F0103003085</v>
          </cell>
          <cell r="B194" t="str">
            <v>仪表台储物盒门锁</v>
          </cell>
          <cell r="C194" t="str">
            <v>件</v>
          </cell>
          <cell r="D194">
            <v>22.47</v>
          </cell>
          <cell r="E194">
            <v>3.12</v>
          </cell>
        </row>
        <row r="195">
          <cell r="A195" t="str">
            <v>F0103024057</v>
          </cell>
          <cell r="B195" t="str">
            <v>杂物盒盖铰链/J款</v>
          </cell>
          <cell r="C195" t="str">
            <v>件</v>
          </cell>
          <cell r="D195">
            <v>5.46</v>
          </cell>
          <cell r="E195">
            <v>0.76</v>
          </cell>
        </row>
        <row r="196">
          <cell r="A196" t="str">
            <v>F0103035087</v>
          </cell>
          <cell r="B196" t="str">
            <v>无线充手机防护垫</v>
          </cell>
          <cell r="C196" t="str">
            <v>件</v>
          </cell>
          <cell r="D196">
            <v>5.24</v>
          </cell>
          <cell r="E196">
            <v>0.73</v>
          </cell>
        </row>
        <row r="197">
          <cell r="A197" t="str">
            <v>F0103027116</v>
          </cell>
          <cell r="B197" t="str">
            <v>4座j款成型地板革/ACTIV EV</v>
          </cell>
          <cell r="C197" t="str">
            <v>片</v>
          </cell>
          <cell r="D197">
            <v>326.04</v>
          </cell>
          <cell r="E197">
            <v>45.28</v>
          </cell>
        </row>
        <row r="198">
          <cell r="A198" t="str">
            <v>F0102047025</v>
          </cell>
          <cell r="B198" t="str">
            <v>中座椅桶后堵盖</v>
          </cell>
          <cell r="C198" t="str">
            <v>只</v>
          </cell>
          <cell r="D198">
            <v>0.99</v>
          </cell>
          <cell r="E198">
            <v>0.14</v>
          </cell>
        </row>
        <row r="199">
          <cell r="A199" t="str">
            <v>F0102077038</v>
          </cell>
          <cell r="B199" t="str">
            <v>后拉手</v>
          </cell>
          <cell r="C199" t="str">
            <v>件</v>
          </cell>
          <cell r="D199">
            <v>20.96</v>
          </cell>
          <cell r="E199">
            <v>2.91</v>
          </cell>
        </row>
        <row r="200">
          <cell r="A200" t="str">
            <v>F0103015040</v>
          </cell>
          <cell r="B200" t="str">
            <v>坐垫铰链</v>
          </cell>
          <cell r="C200" t="str">
            <v>只</v>
          </cell>
          <cell r="D200">
            <v>6.64</v>
          </cell>
          <cell r="E200">
            <v>0.92</v>
          </cell>
        </row>
        <row r="201">
          <cell r="A201" t="str">
            <v>F0103015006</v>
          </cell>
          <cell r="B201" t="str">
            <v>座椅塑料扣钉</v>
          </cell>
          <cell r="C201" t="str">
            <v>套</v>
          </cell>
          <cell r="D201">
            <v>4.66</v>
          </cell>
          <cell r="E201">
            <v>0.65</v>
          </cell>
        </row>
        <row r="202">
          <cell r="A202" t="str">
            <v>F0103035084</v>
          </cell>
          <cell r="B202" t="str">
            <v>侧护板垫块</v>
          </cell>
          <cell r="C202" t="str">
            <v>只</v>
          </cell>
          <cell r="D202">
            <v>0.98</v>
          </cell>
          <cell r="E202">
            <v>0.14</v>
          </cell>
        </row>
        <row r="203">
          <cell r="A203" t="str">
            <v>F0103035085</v>
          </cell>
          <cell r="B203" t="str">
            <v>侧护板堵盖1</v>
          </cell>
          <cell r="C203" t="str">
            <v>只</v>
          </cell>
          <cell r="D203">
            <v>0.54</v>
          </cell>
          <cell r="E203">
            <v>0.08</v>
          </cell>
        </row>
        <row r="204">
          <cell r="A204" t="str">
            <v>F0103035086</v>
          </cell>
          <cell r="B204" t="str">
            <v>侧护板堵盖2</v>
          </cell>
          <cell r="C204" t="str">
            <v>只</v>
          </cell>
          <cell r="D204">
            <v>0.54</v>
          </cell>
          <cell r="E204">
            <v>0.08</v>
          </cell>
        </row>
        <row r="205">
          <cell r="A205" t="str">
            <v>F0102040033</v>
          </cell>
          <cell r="B205" t="str">
            <v>方管橡胶堵盖</v>
          </cell>
          <cell r="C205" t="str">
            <v>只</v>
          </cell>
          <cell r="D205">
            <v>0.23</v>
          </cell>
          <cell r="E205">
            <v>0.03</v>
          </cell>
        </row>
        <row r="206">
          <cell r="A206" t="str">
            <v>Y0403254</v>
          </cell>
          <cell r="B206" t="str">
            <v>前移窗限位块</v>
          </cell>
          <cell r="C206" t="str">
            <v>件</v>
          </cell>
          <cell r="D206">
            <v>1.65</v>
          </cell>
          <cell r="E206">
            <v>0.23</v>
          </cell>
        </row>
        <row r="207">
          <cell r="A207" t="str">
            <v>F0103025019</v>
          </cell>
          <cell r="B207" t="str">
            <v>顶棚拉手</v>
          </cell>
          <cell r="C207" t="str">
            <v>只</v>
          </cell>
          <cell r="D207">
            <v>3.36</v>
          </cell>
          <cell r="E207">
            <v>0.47</v>
          </cell>
        </row>
        <row r="208">
          <cell r="A208" t="str">
            <v>Y0403302</v>
          </cell>
          <cell r="B208" t="str">
            <v>螺母盖</v>
          </cell>
          <cell r="C208" t="str">
            <v>只</v>
          </cell>
          <cell r="D208">
            <v>0.84</v>
          </cell>
          <cell r="E208">
            <v>0.12</v>
          </cell>
        </row>
        <row r="209">
          <cell r="A209" t="str">
            <v>Y0403506</v>
          </cell>
          <cell r="B209" t="str">
            <v>冷凝器橡胶垫</v>
          </cell>
          <cell r="C209" t="str">
            <v>只</v>
          </cell>
          <cell r="D209">
            <v>1.71</v>
          </cell>
          <cell r="E209">
            <v>0.24</v>
          </cell>
        </row>
        <row r="210">
          <cell r="A210" t="str">
            <v>F0103035070</v>
          </cell>
          <cell r="B210" t="str">
            <v>橡胶垫片/外φ21.5/内φ7.5/T6.5</v>
          </cell>
          <cell r="C210" t="str">
            <v>件</v>
          </cell>
          <cell r="D210">
            <v>0.29</v>
          </cell>
          <cell r="E210">
            <v>0.04</v>
          </cell>
        </row>
        <row r="211">
          <cell r="A211" t="str">
            <v>F0102045064</v>
          </cell>
          <cell r="B211" t="str">
            <v>球童拉手固定块</v>
          </cell>
          <cell r="C211" t="str">
            <v>个</v>
          </cell>
          <cell r="D211">
            <v>5.47</v>
          </cell>
          <cell r="E211">
            <v>0.76</v>
          </cell>
        </row>
        <row r="212">
          <cell r="A212" t="str">
            <v>F0103009031</v>
          </cell>
          <cell r="B212" t="str">
            <v>J款前挡玻璃/4座/DOT</v>
          </cell>
          <cell r="C212" t="str">
            <v>套</v>
          </cell>
          <cell r="D212">
            <v>296.93</v>
          </cell>
          <cell r="E212">
            <v>41.24</v>
          </cell>
        </row>
        <row r="213">
          <cell r="A213" t="str">
            <v>F0103027117</v>
          </cell>
          <cell r="B213" t="str">
            <v>后踏板成型地板革</v>
          </cell>
          <cell r="C213" t="str">
            <v>件</v>
          </cell>
          <cell r="D213">
            <v>163.02</v>
          </cell>
          <cell r="E213">
            <v>22.64</v>
          </cell>
        </row>
        <row r="214">
          <cell r="A214" t="str">
            <v>F0103035089</v>
          </cell>
          <cell r="B214" t="str">
            <v>下冰桶胶塞</v>
          </cell>
          <cell r="C214" t="str">
            <v>只</v>
          </cell>
          <cell r="D214">
            <v>2.65</v>
          </cell>
          <cell r="E214">
            <v>0.37</v>
          </cell>
        </row>
        <row r="215">
          <cell r="A215" t="str">
            <v>F0103035093</v>
          </cell>
          <cell r="B215" t="str">
            <v>后靠背安装座缓冲胶垫</v>
          </cell>
          <cell r="C215" t="str">
            <v>件</v>
          </cell>
          <cell r="D215">
            <v>2.79</v>
          </cell>
          <cell r="E215">
            <v>0.39</v>
          </cell>
        </row>
        <row r="216">
          <cell r="A216" t="str">
            <v>F0103064016</v>
          </cell>
          <cell r="B216" t="str">
            <v>子母扣</v>
          </cell>
          <cell r="C216" t="str">
            <v>只</v>
          </cell>
          <cell r="D216">
            <v>0.29</v>
          </cell>
          <cell r="E216">
            <v>0.04</v>
          </cell>
        </row>
        <row r="217">
          <cell r="A217" t="str">
            <v>F0103017039</v>
          </cell>
          <cell r="B217" t="str">
            <v>左后视镜/带转向灯</v>
          </cell>
          <cell r="C217" t="str">
            <v>只</v>
          </cell>
          <cell r="D217">
            <v>34.23</v>
          </cell>
          <cell r="E217">
            <v>4.75</v>
          </cell>
        </row>
        <row r="218">
          <cell r="A218" t="str">
            <v>F0103017040</v>
          </cell>
          <cell r="B218" t="str">
            <v>右后视镜/带转向灯</v>
          </cell>
          <cell r="C218" t="str">
            <v>只</v>
          </cell>
          <cell r="D218">
            <v>34.23</v>
          </cell>
          <cell r="E218">
            <v>4.75</v>
          </cell>
        </row>
        <row r="219">
          <cell r="A219" t="str">
            <v>F0103013011</v>
          </cell>
          <cell r="B219" t="str">
            <v>ELR 3点式安全带</v>
          </cell>
          <cell r="C219" t="str">
            <v>根</v>
          </cell>
          <cell r="D219">
            <v>53.56</v>
          </cell>
          <cell r="E219">
            <v>7.44</v>
          </cell>
        </row>
        <row r="220">
          <cell r="A220" t="str">
            <v>F0103013014</v>
          </cell>
          <cell r="B220" t="str">
            <v>ELR 3点式安全带</v>
          </cell>
          <cell r="C220" t="str">
            <v>根</v>
          </cell>
          <cell r="D220">
            <v>53.56</v>
          </cell>
          <cell r="E220">
            <v>7.44</v>
          </cell>
        </row>
        <row r="221">
          <cell r="A221" t="str">
            <v>F0102045122</v>
          </cell>
          <cell r="B221" t="str">
            <v>后座桶EVA垫块</v>
          </cell>
          <cell r="C221" t="str">
            <v>套</v>
          </cell>
          <cell r="D221">
            <v>4.66</v>
          </cell>
          <cell r="E221">
            <v>0.65</v>
          </cell>
        </row>
        <row r="222">
          <cell r="A222" t="str">
            <v>F0199002087</v>
          </cell>
          <cell r="B222" t="str">
            <v>方向盘Logo</v>
          </cell>
          <cell r="C222" t="str">
            <v>件</v>
          </cell>
          <cell r="D222">
            <v>0.44</v>
          </cell>
          <cell r="E222">
            <v>0.06</v>
          </cell>
        </row>
        <row r="223">
          <cell r="A223" t="str">
            <v>F0103016008</v>
          </cell>
          <cell r="B223" t="str">
            <v>内后视镜</v>
          </cell>
          <cell r="C223" t="str">
            <v>件</v>
          </cell>
          <cell r="D223">
            <v>15.14</v>
          </cell>
          <cell r="E223">
            <v>2.1</v>
          </cell>
        </row>
        <row r="224">
          <cell r="A224" t="str">
            <v>F0199003177</v>
          </cell>
          <cell r="B224" t="str">
            <v>充电指示灯贴纸</v>
          </cell>
          <cell r="C224" t="str">
            <v>张</v>
          </cell>
          <cell r="D224">
            <v>0.64</v>
          </cell>
          <cell r="E224">
            <v>0.09</v>
          </cell>
        </row>
        <row r="225">
          <cell r="A225" t="str">
            <v>F0103099073</v>
          </cell>
          <cell r="B225" t="str">
            <v>反光贴</v>
          </cell>
          <cell r="C225" t="str">
            <v>张</v>
          </cell>
          <cell r="D225">
            <v>2.91</v>
          </cell>
          <cell r="E225">
            <v>0.4</v>
          </cell>
        </row>
        <row r="226">
          <cell r="A226" t="str">
            <v>F0201013007</v>
          </cell>
          <cell r="B226" t="str">
            <v>上摆臂</v>
          </cell>
          <cell r="C226" t="str">
            <v>件</v>
          </cell>
          <cell r="D226">
            <v>126.92</v>
          </cell>
          <cell r="E226">
            <v>17.63</v>
          </cell>
        </row>
        <row r="227">
          <cell r="A227" t="str">
            <v>F0201013008</v>
          </cell>
          <cell r="B227" t="str">
            <v>下摆臂左</v>
          </cell>
          <cell r="C227" t="str">
            <v>件</v>
          </cell>
          <cell r="D227">
            <v>154.87</v>
          </cell>
          <cell r="E227">
            <v>21.51</v>
          </cell>
        </row>
        <row r="228">
          <cell r="A228" t="str">
            <v>F0201013009</v>
          </cell>
          <cell r="B228" t="str">
            <v>下摆臂右</v>
          </cell>
          <cell r="C228" t="str">
            <v>件</v>
          </cell>
          <cell r="D228">
            <v>154.87</v>
          </cell>
          <cell r="E228">
            <v>21.51</v>
          </cell>
        </row>
        <row r="229">
          <cell r="A229" t="str">
            <v>F0201013010</v>
          </cell>
          <cell r="B229" t="str">
            <v>可调球壳总成</v>
          </cell>
          <cell r="C229" t="str">
            <v>件</v>
          </cell>
          <cell r="D229">
            <v>27.36</v>
          </cell>
          <cell r="E229">
            <v>3.8</v>
          </cell>
        </row>
        <row r="230">
          <cell r="A230" t="str">
            <v>F0202006036</v>
          </cell>
          <cell r="B230" t="str">
            <v>前减震器总成</v>
          </cell>
          <cell r="C230" t="str">
            <v>件</v>
          </cell>
          <cell r="D230">
            <v>90.82</v>
          </cell>
          <cell r="E230">
            <v>12.61</v>
          </cell>
        </row>
        <row r="231">
          <cell r="A231" t="str">
            <v>F0201002015</v>
          </cell>
          <cell r="B231" t="str">
            <v>前分泵固定板</v>
          </cell>
          <cell r="C231" t="str">
            <v>件</v>
          </cell>
          <cell r="D231">
            <v>13.97</v>
          </cell>
          <cell r="E231">
            <v>1.94</v>
          </cell>
        </row>
        <row r="232">
          <cell r="A232" t="str">
            <v>F0201002034</v>
          </cell>
          <cell r="B232" t="str">
            <v>前刹车卡钳 左</v>
          </cell>
          <cell r="C232" t="str">
            <v>件</v>
          </cell>
          <cell r="D232">
            <v>100.02</v>
          </cell>
          <cell r="E232">
            <v>13.89</v>
          </cell>
        </row>
        <row r="233">
          <cell r="A233" t="str">
            <v>F0201002035</v>
          </cell>
          <cell r="B233" t="str">
            <v>前刹车卡钳 右</v>
          </cell>
          <cell r="C233" t="str">
            <v>件</v>
          </cell>
          <cell r="D233">
            <v>100.02</v>
          </cell>
          <cell r="E233">
            <v>13.89</v>
          </cell>
        </row>
        <row r="234">
          <cell r="A234" t="str">
            <v>F0201002018</v>
          </cell>
          <cell r="B234" t="str">
            <v>A型碟刹轮毂轴承总成</v>
          </cell>
          <cell r="C234" t="str">
            <v>件</v>
          </cell>
          <cell r="D234">
            <v>208.43</v>
          </cell>
          <cell r="E234">
            <v>28.95</v>
          </cell>
        </row>
        <row r="235">
          <cell r="A235" t="str">
            <v>F0201011011</v>
          </cell>
          <cell r="B235" t="str">
            <v>左转向节</v>
          </cell>
          <cell r="C235" t="str">
            <v>件</v>
          </cell>
          <cell r="D235">
            <v>157.2</v>
          </cell>
          <cell r="E235">
            <v>21.83</v>
          </cell>
        </row>
        <row r="236">
          <cell r="A236" t="str">
            <v>F0201011012</v>
          </cell>
          <cell r="B236" t="str">
            <v>右转向节</v>
          </cell>
          <cell r="C236" t="str">
            <v>件</v>
          </cell>
          <cell r="D236">
            <v>157.2</v>
          </cell>
          <cell r="E236">
            <v>21.83</v>
          </cell>
        </row>
        <row r="237">
          <cell r="A237" t="str">
            <v>F0202006086</v>
          </cell>
          <cell r="B237" t="str">
            <v>后减震器</v>
          </cell>
          <cell r="C237" t="str">
            <v>根</v>
          </cell>
          <cell r="D237">
            <v>89.66</v>
          </cell>
          <cell r="E237">
            <v>12.45</v>
          </cell>
        </row>
        <row r="238">
          <cell r="A238" t="str">
            <v>F0201003115</v>
          </cell>
          <cell r="B238" t="str">
            <v>后桥总成/电磁驻车/碟刹制动器</v>
          </cell>
          <cell r="C238" t="str">
            <v>根</v>
          </cell>
          <cell r="D238">
            <v>1723.33</v>
          </cell>
          <cell r="E238">
            <v>239.35</v>
          </cell>
        </row>
        <row r="239">
          <cell r="A239" t="str">
            <v>F0201004009</v>
          </cell>
          <cell r="B239" t="str">
            <v>电磁制动器</v>
          </cell>
          <cell r="C239" t="str">
            <v>件</v>
          </cell>
          <cell r="D239">
            <v>288.78</v>
          </cell>
          <cell r="E239">
            <v>40.11</v>
          </cell>
        </row>
        <row r="240">
          <cell r="A240" t="str">
            <v>F0201013021</v>
          </cell>
          <cell r="B240" t="str">
            <v>后托臂-加重型</v>
          </cell>
          <cell r="C240" t="str">
            <v>件</v>
          </cell>
          <cell r="D240">
            <v>72.19</v>
          </cell>
          <cell r="E240">
            <v>10.03</v>
          </cell>
        </row>
        <row r="241">
          <cell r="A241" t="str">
            <v>F0201009030</v>
          </cell>
          <cell r="B241" t="str">
            <v>后稳定杆</v>
          </cell>
          <cell r="C241" t="str">
            <v>件</v>
          </cell>
          <cell r="D241">
            <v>38.43</v>
          </cell>
          <cell r="E241">
            <v>5.34</v>
          </cell>
        </row>
        <row r="242">
          <cell r="A242" t="str">
            <v>F0202009204</v>
          </cell>
          <cell r="B242" t="str">
            <v>轮胎</v>
          </cell>
          <cell r="C242" t="str">
            <v>条</v>
          </cell>
          <cell r="D242">
            <v>256.17</v>
          </cell>
          <cell r="E242">
            <v>35.58</v>
          </cell>
        </row>
        <row r="243">
          <cell r="A243" t="str">
            <v>F0204001015</v>
          </cell>
          <cell r="B243" t="str">
            <v>方向盘总成</v>
          </cell>
          <cell r="C243" t="str">
            <v>只</v>
          </cell>
          <cell r="D243">
            <v>157.2</v>
          </cell>
          <cell r="E243">
            <v>21.83</v>
          </cell>
        </row>
        <row r="244">
          <cell r="A244" t="str">
            <v>F0204002035</v>
          </cell>
          <cell r="B244" t="str">
            <v>转向轴管</v>
          </cell>
          <cell r="C244" t="str">
            <v>件</v>
          </cell>
          <cell r="D244">
            <v>95.13</v>
          </cell>
          <cell r="E244">
            <v>13.21</v>
          </cell>
        </row>
        <row r="245">
          <cell r="A245" t="str">
            <v>F0204002032</v>
          </cell>
          <cell r="B245" t="str">
            <v>转向轴管抱箍1</v>
          </cell>
          <cell r="C245" t="str">
            <v>件</v>
          </cell>
          <cell r="D245">
            <v>6.31</v>
          </cell>
          <cell r="E245">
            <v>0.88</v>
          </cell>
        </row>
        <row r="246">
          <cell r="A246" t="str">
            <v>F0204002033</v>
          </cell>
          <cell r="B246" t="str">
            <v>转向轴管抱箍2</v>
          </cell>
          <cell r="C246" t="str">
            <v>件</v>
          </cell>
          <cell r="D246">
            <v>3.49</v>
          </cell>
          <cell r="E246">
            <v>0.48</v>
          </cell>
        </row>
        <row r="247">
          <cell r="A247" t="str">
            <v>F0302002072</v>
          </cell>
          <cell r="B247" t="str">
            <v>交流电机5KW/48V/19齿/圆法兰</v>
          </cell>
          <cell r="C247" t="str">
            <v>件</v>
          </cell>
          <cell r="D247">
            <v>1571.96</v>
          </cell>
          <cell r="E247">
            <v>218.33</v>
          </cell>
        </row>
        <row r="248">
          <cell r="A248" t="str">
            <v>F0302012110</v>
          </cell>
          <cell r="B248" t="str">
            <v>锂电电控/球车/CAN/48V450A</v>
          </cell>
          <cell r="C248" t="str">
            <v>件</v>
          </cell>
          <cell r="D248">
            <v>1863.06</v>
          </cell>
          <cell r="E248">
            <v>258.76</v>
          </cell>
        </row>
        <row r="249">
          <cell r="A249" t="str">
            <v>F0301013063</v>
          </cell>
          <cell r="B249" t="str">
            <v>30600充电器</v>
          </cell>
          <cell r="C249" t="str">
            <v>套</v>
          </cell>
          <cell r="D249">
            <v>1634.84</v>
          </cell>
          <cell r="E249">
            <v>227.06</v>
          </cell>
        </row>
        <row r="250">
          <cell r="A250" t="str">
            <v>F0304001508</v>
          </cell>
          <cell r="B250" t="str">
            <v>锂电充电机通讯线</v>
          </cell>
          <cell r="C250" t="str">
            <v>套</v>
          </cell>
          <cell r="D250">
            <v>26.78</v>
          </cell>
          <cell r="E250">
            <v>3.72</v>
          </cell>
        </row>
        <row r="251">
          <cell r="A251" t="str">
            <v>F0399007002</v>
          </cell>
          <cell r="B251" t="str">
            <v>充电指示灯（锂电款）</v>
          </cell>
          <cell r="C251" t="str">
            <v>件</v>
          </cell>
          <cell r="D251">
            <v>11.64</v>
          </cell>
          <cell r="E251">
            <v>1.62</v>
          </cell>
        </row>
        <row r="252">
          <cell r="A252" t="str">
            <v>F0301014033</v>
          </cell>
          <cell r="B252" t="str">
            <v>充电插座带线总成/0.8米</v>
          </cell>
          <cell r="C252" t="str">
            <v>件</v>
          </cell>
          <cell r="D252">
            <v>58.22</v>
          </cell>
          <cell r="E252">
            <v>8.09</v>
          </cell>
        </row>
        <row r="253">
          <cell r="A253" t="str">
            <v>F0301014034</v>
          </cell>
          <cell r="B253" t="str">
            <v>充电插头带线总成/3.0米</v>
          </cell>
          <cell r="C253" t="str">
            <v>件</v>
          </cell>
          <cell r="D253">
            <v>51.82</v>
          </cell>
          <cell r="E253">
            <v>7.2</v>
          </cell>
        </row>
        <row r="254">
          <cell r="A254" t="str">
            <v>F0301014035</v>
          </cell>
          <cell r="B254" t="str">
            <v>充电机电源输出线/0.8米</v>
          </cell>
          <cell r="C254" t="str">
            <v>件</v>
          </cell>
          <cell r="D254">
            <v>28.53</v>
          </cell>
          <cell r="E254">
            <v>3.96</v>
          </cell>
        </row>
        <row r="255">
          <cell r="A255" t="str">
            <v>F0308001049</v>
          </cell>
          <cell r="B255" t="str">
            <v>左前大灯总成</v>
          </cell>
          <cell r="C255" t="str">
            <v>只</v>
          </cell>
          <cell r="D255">
            <v>197.95</v>
          </cell>
          <cell r="E255">
            <v>27.49</v>
          </cell>
        </row>
        <row r="256">
          <cell r="A256" t="str">
            <v>F0308001050</v>
          </cell>
          <cell r="B256" t="str">
            <v>右前大灯总成</v>
          </cell>
          <cell r="C256" t="str">
            <v>只</v>
          </cell>
          <cell r="D256">
            <v>197.95</v>
          </cell>
          <cell r="E256">
            <v>27.49</v>
          </cell>
        </row>
        <row r="257">
          <cell r="A257" t="str">
            <v>F0102045020</v>
          </cell>
          <cell r="B257" t="str">
            <v>左后尾灯</v>
          </cell>
          <cell r="C257" t="str">
            <v>只</v>
          </cell>
          <cell r="D257">
            <v>69.86</v>
          </cell>
          <cell r="E257">
            <v>9.7</v>
          </cell>
        </row>
        <row r="258">
          <cell r="A258" t="str">
            <v>F0102045021</v>
          </cell>
          <cell r="B258" t="str">
            <v>右后尾灯</v>
          </cell>
          <cell r="C258" t="str">
            <v>只</v>
          </cell>
          <cell r="D258">
            <v>69.86</v>
          </cell>
          <cell r="E258">
            <v>9.7</v>
          </cell>
        </row>
        <row r="259">
          <cell r="A259" t="str">
            <v>F0309001106</v>
          </cell>
          <cell r="B259" t="str">
            <v>左侧组合开关罩/BTL</v>
          </cell>
          <cell r="C259" t="str">
            <v>件</v>
          </cell>
          <cell r="D259">
            <v>9.32</v>
          </cell>
          <cell r="E259">
            <v>1.29</v>
          </cell>
        </row>
        <row r="260">
          <cell r="A260" t="str">
            <v>F0309001108</v>
          </cell>
          <cell r="B260" t="str">
            <v>组合开关/单柄</v>
          </cell>
          <cell r="C260" t="str">
            <v>件</v>
          </cell>
          <cell r="D260">
            <v>31.44</v>
          </cell>
          <cell r="E260">
            <v>4.37</v>
          </cell>
        </row>
        <row r="261">
          <cell r="A261" t="str">
            <v>F0304004045</v>
          </cell>
          <cell r="B261" t="str">
            <v>DC转换器/DC2105-48-12单</v>
          </cell>
          <cell r="C261" t="str">
            <v>件</v>
          </cell>
          <cell r="D261">
            <v>236.38</v>
          </cell>
          <cell r="E261">
            <v>32.83</v>
          </cell>
        </row>
        <row r="262">
          <cell r="A262" t="str">
            <v>F0309005002</v>
          </cell>
          <cell r="B262" t="str">
            <v>制动灯开关（带DJ7021-1.5-11插件）</v>
          </cell>
          <cell r="C262" t="str">
            <v>件</v>
          </cell>
          <cell r="D262">
            <v>12.52</v>
          </cell>
          <cell r="E262">
            <v>1.74</v>
          </cell>
        </row>
        <row r="263">
          <cell r="A263" t="str">
            <v>F0309006006</v>
          </cell>
          <cell r="B263" t="str">
            <v>旋钮换挡开关</v>
          </cell>
          <cell r="C263" t="str">
            <v>件</v>
          </cell>
          <cell r="D263">
            <v>25.62</v>
          </cell>
          <cell r="E263">
            <v>3.56</v>
          </cell>
        </row>
        <row r="264">
          <cell r="A264" t="str">
            <v>F0309004007</v>
          </cell>
          <cell r="B264" t="str">
            <v>按钮开关（双闪）/含插件/黑色</v>
          </cell>
          <cell r="C264" t="str">
            <v>件</v>
          </cell>
          <cell r="D264">
            <v>31.44</v>
          </cell>
          <cell r="E264">
            <v>4.37</v>
          </cell>
        </row>
        <row r="265">
          <cell r="A265" t="str">
            <v>F0307001040</v>
          </cell>
          <cell r="B265" t="str">
            <v>10.1寸多功能仪表中控屏/带电池</v>
          </cell>
          <cell r="C265" t="str">
            <v>件</v>
          </cell>
          <cell r="D265">
            <v>931.53</v>
          </cell>
          <cell r="E265">
            <v>129.38</v>
          </cell>
        </row>
        <row r="266">
          <cell r="A266" t="str">
            <v>F0307003025</v>
          </cell>
          <cell r="B266" t="str">
            <v>防水麦克风（MIC）</v>
          </cell>
          <cell r="C266" t="str">
            <v>件</v>
          </cell>
          <cell r="D266">
            <v>15.72</v>
          </cell>
          <cell r="E266">
            <v>2.18</v>
          </cell>
        </row>
        <row r="267">
          <cell r="A267" t="str">
            <v>F0307003027</v>
          </cell>
          <cell r="B267" t="str">
            <v>防水扬声器喇叭</v>
          </cell>
          <cell r="C267" t="str">
            <v>件</v>
          </cell>
          <cell r="D267">
            <v>34.93</v>
          </cell>
          <cell r="E267">
            <v>4.85</v>
          </cell>
        </row>
        <row r="268">
          <cell r="A268" t="str">
            <v>F0307004009</v>
          </cell>
          <cell r="B268" t="str">
            <v>扬声器网罩/八爪/黑色皮纹</v>
          </cell>
          <cell r="C268" t="str">
            <v>件</v>
          </cell>
          <cell r="D268">
            <v>3.38</v>
          </cell>
          <cell r="E268">
            <v>0.47</v>
          </cell>
        </row>
        <row r="269">
          <cell r="A269" t="str">
            <v>F0307003029</v>
          </cell>
          <cell r="B269" t="str">
            <v>蜗牛喇叭</v>
          </cell>
          <cell r="C269" t="str">
            <v>件</v>
          </cell>
          <cell r="D269">
            <v>13.97</v>
          </cell>
          <cell r="E269">
            <v>1.94</v>
          </cell>
        </row>
        <row r="270">
          <cell r="A270" t="str">
            <v>F0309002212</v>
          </cell>
          <cell r="B270" t="str">
            <v>点火锁</v>
          </cell>
          <cell r="C270" t="str">
            <v>件</v>
          </cell>
          <cell r="D270">
            <v>29.9</v>
          </cell>
          <cell r="E270">
            <v>4.15</v>
          </cell>
        </row>
        <row r="271">
          <cell r="A271" t="str">
            <v>F0309002208</v>
          </cell>
          <cell r="B271" t="str">
            <v>钮子开关带线束</v>
          </cell>
          <cell r="C271" t="str">
            <v>件</v>
          </cell>
          <cell r="D271">
            <v>22.36</v>
          </cell>
          <cell r="E271">
            <v>3.11</v>
          </cell>
        </row>
        <row r="272">
          <cell r="A272" t="str">
            <v>F0304009003</v>
          </cell>
          <cell r="B272" t="str">
            <v>倒车蜂鸣器（带DJ7021-1.5-11插件）</v>
          </cell>
          <cell r="C272" t="str">
            <v>件</v>
          </cell>
          <cell r="D272">
            <v>10.13</v>
          </cell>
          <cell r="E272">
            <v>1.41</v>
          </cell>
        </row>
        <row r="273">
          <cell r="A273" t="str">
            <v>F0304017005</v>
          </cell>
          <cell r="B273" t="str">
            <v>点烟器母座</v>
          </cell>
          <cell r="C273" t="str">
            <v>只</v>
          </cell>
          <cell r="D273">
            <v>5.82</v>
          </cell>
          <cell r="E273">
            <v>0.81</v>
          </cell>
        </row>
        <row r="274">
          <cell r="A274" t="str">
            <v>F0309013050</v>
          </cell>
          <cell r="B274" t="str">
            <v>圆孔型PD快充</v>
          </cell>
          <cell r="C274" t="str">
            <v>只</v>
          </cell>
          <cell r="D274">
            <v>29.11</v>
          </cell>
          <cell r="E274">
            <v>4.04</v>
          </cell>
        </row>
        <row r="275">
          <cell r="A275" t="str">
            <v>F0399011001</v>
          </cell>
          <cell r="B275" t="str">
            <v>无线充电器总成</v>
          </cell>
          <cell r="C275" t="str">
            <v>套</v>
          </cell>
          <cell r="D275">
            <v>91.06</v>
          </cell>
          <cell r="E275">
            <v>12.65</v>
          </cell>
        </row>
        <row r="276">
          <cell r="A276" t="str">
            <v>F0309013049</v>
          </cell>
          <cell r="B276" t="str">
            <v>USB接头母转公</v>
          </cell>
          <cell r="C276" t="str">
            <v>只</v>
          </cell>
          <cell r="D276">
            <v>25.62</v>
          </cell>
          <cell r="E276">
            <v>3.56</v>
          </cell>
        </row>
        <row r="277">
          <cell r="A277" t="str">
            <v>F0309004008</v>
          </cell>
          <cell r="B277" t="str">
            <v>按钮开关(备用电源)/蓝色指示灯</v>
          </cell>
          <cell r="C277" t="str">
            <v>件</v>
          </cell>
          <cell r="D277">
            <v>1.28</v>
          </cell>
          <cell r="E277">
            <v>0.18</v>
          </cell>
        </row>
        <row r="278">
          <cell r="A278" t="str">
            <v>F0308011004</v>
          </cell>
          <cell r="B278" t="str">
            <v>后牌照灯</v>
          </cell>
          <cell r="C278" t="str">
            <v>件</v>
          </cell>
          <cell r="D278">
            <v>15.14</v>
          </cell>
          <cell r="E278">
            <v>2.1</v>
          </cell>
        </row>
        <row r="279">
          <cell r="A279" t="str">
            <v>F02104001003</v>
          </cell>
          <cell r="B279" t="str">
            <v>制动液</v>
          </cell>
          <cell r="C279" t="str">
            <v>L</v>
          </cell>
          <cell r="D279">
            <v>17.47</v>
          </cell>
          <cell r="E279">
            <v>2.43</v>
          </cell>
        </row>
        <row r="280">
          <cell r="A280" t="str">
            <v>Y0308011</v>
          </cell>
          <cell r="B280" t="str">
            <v>齿轮油</v>
          </cell>
          <cell r="C280" t="str">
            <v>kg</v>
          </cell>
          <cell r="D280">
            <v>19.21</v>
          </cell>
          <cell r="E280">
            <v>2.67</v>
          </cell>
        </row>
        <row r="281">
          <cell r="A281" t="str">
            <v>Y0214003010</v>
          </cell>
          <cell r="B281" t="str">
            <v>扎带</v>
          </cell>
          <cell r="C281" t="str">
            <v>根</v>
          </cell>
          <cell r="D281">
            <v>0.35</v>
          </cell>
          <cell r="E281">
            <v>0.05</v>
          </cell>
        </row>
        <row r="282">
          <cell r="A282" t="str">
            <v>Y0207006021</v>
          </cell>
          <cell r="B282" t="str">
            <v>黑胶布</v>
          </cell>
          <cell r="C282" t="str">
            <v>盘</v>
          </cell>
          <cell r="D282">
            <v>2.91</v>
          </cell>
          <cell r="E282">
            <v>0.4</v>
          </cell>
        </row>
        <row r="283">
          <cell r="A283" t="str">
            <v>D2024</v>
          </cell>
          <cell r="B283" t="str">
            <v>文件袋</v>
          </cell>
          <cell r="C283" t="str">
            <v>个</v>
          </cell>
          <cell r="D283">
            <v>1.75</v>
          </cell>
          <cell r="E283">
            <v>0.24</v>
          </cell>
        </row>
        <row r="284">
          <cell r="A284" t="str">
            <v>F0199002008</v>
          </cell>
          <cell r="B284" t="str">
            <v>高尔夫铭牌</v>
          </cell>
          <cell r="C284" t="str">
            <v>个</v>
          </cell>
          <cell r="D284">
            <v>21.89</v>
          </cell>
          <cell r="E284">
            <v>3.04</v>
          </cell>
        </row>
        <row r="285">
          <cell r="A285" t="str">
            <v>D2016</v>
          </cell>
          <cell r="B285" t="str">
            <v>合格证</v>
          </cell>
          <cell r="C285" t="str">
            <v>张</v>
          </cell>
          <cell r="D285">
            <v>1.16</v>
          </cell>
          <cell r="E285">
            <v>0.16</v>
          </cell>
        </row>
        <row r="286">
          <cell r="A286" t="str">
            <v>D2023</v>
          </cell>
          <cell r="B286" t="str">
            <v>装箱单</v>
          </cell>
          <cell r="C286" t="str">
            <v>张</v>
          </cell>
          <cell r="D286">
            <v>0.58</v>
          </cell>
          <cell r="E286">
            <v>0.08</v>
          </cell>
        </row>
        <row r="287">
          <cell r="A287" t="str">
            <v>D2010</v>
          </cell>
          <cell r="B287" t="str">
            <v>保修卡</v>
          </cell>
          <cell r="C287" t="str">
            <v>本</v>
          </cell>
          <cell r="D287">
            <v>1.75</v>
          </cell>
          <cell r="E287">
            <v>0.24</v>
          </cell>
        </row>
        <row r="288">
          <cell r="A288" t="str">
            <v>D2022</v>
          </cell>
          <cell r="B288" t="str">
            <v>电池维护指南</v>
          </cell>
          <cell r="C288" t="str">
            <v>本</v>
          </cell>
          <cell r="D288">
            <v>6.4</v>
          </cell>
          <cell r="E288">
            <v>0.89</v>
          </cell>
        </row>
        <row r="289">
          <cell r="A289" t="str">
            <v>Y0309001005</v>
          </cell>
          <cell r="B289" t="str">
            <v>306胶</v>
          </cell>
          <cell r="C289" t="str">
            <v>支</v>
          </cell>
          <cell r="D289">
            <v>29.11</v>
          </cell>
          <cell r="E289">
            <v>4.04</v>
          </cell>
        </row>
        <row r="290">
          <cell r="A290" t="str">
            <v>F0304001502</v>
          </cell>
          <cell r="B290" t="str">
            <v>WH2047K  4座球车锂电线束</v>
          </cell>
          <cell r="C290" t="str">
            <v>套</v>
          </cell>
          <cell r="D290">
            <v>532.92</v>
          </cell>
          <cell r="E290">
            <v>74.02</v>
          </cell>
        </row>
        <row r="291">
          <cell r="A291" t="str">
            <v>F0304016016</v>
          </cell>
          <cell r="B291" t="str">
            <v>保险盒/10路/含闪光器/含继电器</v>
          </cell>
          <cell r="C291" t="str">
            <v>件</v>
          </cell>
          <cell r="D291">
            <v>63.27</v>
          </cell>
          <cell r="E291">
            <v>8.79</v>
          </cell>
        </row>
        <row r="292">
          <cell r="A292" t="str">
            <v>F0304002228</v>
          </cell>
          <cell r="B292" t="str">
            <v>动力线总成/Li-ion</v>
          </cell>
          <cell r="C292" t="str">
            <v>套</v>
          </cell>
          <cell r="D292">
            <v>294.25</v>
          </cell>
          <cell r="E292">
            <v>40.87</v>
          </cell>
        </row>
        <row r="293">
          <cell r="A293" t="str">
            <v>F0304001503</v>
          </cell>
          <cell r="B293" t="str">
            <v>按钮开关连接线</v>
          </cell>
          <cell r="C293" t="str">
            <v>件</v>
          </cell>
          <cell r="D293">
            <v>13.54</v>
          </cell>
          <cell r="E293">
            <v>1.88</v>
          </cell>
        </row>
        <row r="294">
          <cell r="A294" t="str">
            <v>F0304001463</v>
          </cell>
          <cell r="B294" t="str">
            <v>后牌照灯转接线</v>
          </cell>
          <cell r="C294" t="str">
            <v>套</v>
          </cell>
          <cell r="D294">
            <v>10.62</v>
          </cell>
          <cell r="E294">
            <v>1.48</v>
          </cell>
        </row>
        <row r="295">
          <cell r="A295" t="str">
            <v>F0202010217</v>
          </cell>
          <cell r="B295" t="str">
            <v>铝轮惘</v>
          </cell>
          <cell r="C295" t="str">
            <v>件</v>
          </cell>
          <cell r="D295">
            <v>234.51</v>
          </cell>
          <cell r="E295">
            <v>32.57</v>
          </cell>
        </row>
        <row r="296">
          <cell r="A296" t="str">
            <v>F0103014290</v>
          </cell>
          <cell r="B296" t="str">
            <v>豪华靠背</v>
          </cell>
          <cell r="C296" t="str">
            <v>件</v>
          </cell>
          <cell r="D296">
            <v>442.48</v>
          </cell>
          <cell r="E296">
            <v>61.46</v>
          </cell>
        </row>
        <row r="297">
          <cell r="A297" t="str">
            <v>F0103014291</v>
          </cell>
          <cell r="B297" t="str">
            <v>豪华靠背</v>
          </cell>
          <cell r="C297" t="str">
            <v>件</v>
          </cell>
          <cell r="D297">
            <v>371.68</v>
          </cell>
          <cell r="E297">
            <v>51.62</v>
          </cell>
        </row>
        <row r="298">
          <cell r="A298" t="str">
            <v>F0103014289</v>
          </cell>
          <cell r="B298" t="str">
            <v>豪华中桶坐垫</v>
          </cell>
          <cell r="C298" t="str">
            <v>件</v>
          </cell>
          <cell r="D298">
            <v>219.47</v>
          </cell>
          <cell r="E298">
            <v>30.48</v>
          </cell>
        </row>
        <row r="299">
          <cell r="A299" t="str">
            <v>Y0410024021039</v>
          </cell>
          <cell r="B299" t="str">
            <v>上悬臂安装支架</v>
          </cell>
          <cell r="C299" t="str">
            <v>件</v>
          </cell>
          <cell r="D299">
            <v>1.65</v>
          </cell>
          <cell r="E299">
            <v>0.23</v>
          </cell>
        </row>
        <row r="300">
          <cell r="A300" t="str">
            <v>Y0410024021373</v>
          </cell>
          <cell r="B300" t="str">
            <v>方向机前焊接支架</v>
          </cell>
          <cell r="C300" t="str">
            <v>件</v>
          </cell>
          <cell r="D300">
            <v>7.68</v>
          </cell>
          <cell r="E300">
            <v>1.07</v>
          </cell>
        </row>
        <row r="301">
          <cell r="A301" t="str">
            <v>Y0410024021374</v>
          </cell>
          <cell r="B301" t="str">
            <v>方向机后焊接支架</v>
          </cell>
          <cell r="C301" t="str">
            <v>件</v>
          </cell>
          <cell r="D301">
            <v>4.99</v>
          </cell>
          <cell r="E301">
            <v>0.69</v>
          </cell>
        </row>
        <row r="302">
          <cell r="A302" t="str">
            <v>F0102063909</v>
          </cell>
          <cell r="B302" t="str">
            <v>下悬臂支架弯管梁（打猎车）</v>
          </cell>
          <cell r="C302" t="str">
            <v>件</v>
          </cell>
          <cell r="D302">
            <v>7.21</v>
          </cell>
          <cell r="E302">
            <v>1</v>
          </cell>
        </row>
        <row r="303">
          <cell r="A303" t="str">
            <v>Y0410024021414</v>
          </cell>
          <cell r="B303" t="str">
            <v>上悬臂支架纵梁左（打猎车）</v>
          </cell>
          <cell r="C303" t="str">
            <v>件</v>
          </cell>
          <cell r="D303">
            <v>18.13</v>
          </cell>
          <cell r="E303">
            <v>2.52</v>
          </cell>
        </row>
        <row r="304">
          <cell r="A304" t="str">
            <v>Y0410024021415</v>
          </cell>
          <cell r="B304" t="str">
            <v>上悬臂支架纵梁右（打猎车）</v>
          </cell>
          <cell r="C304" t="str">
            <v>件</v>
          </cell>
          <cell r="D304">
            <v>18.13</v>
          </cell>
          <cell r="E304">
            <v>2.52</v>
          </cell>
        </row>
        <row r="305">
          <cell r="A305" t="str">
            <v>F0102063906</v>
          </cell>
          <cell r="B305" t="str">
            <v>前弯管竖梁（J款打猎车）</v>
          </cell>
          <cell r="C305" t="str">
            <v>件</v>
          </cell>
          <cell r="D305">
            <v>4.46</v>
          </cell>
          <cell r="E305">
            <v>0.62</v>
          </cell>
        </row>
        <row r="306">
          <cell r="A306" t="str">
            <v>Y0410024021433</v>
          </cell>
          <cell r="B306" t="str">
            <v>前罩下支架（J款打猎车）</v>
          </cell>
          <cell r="C306" t="str">
            <v>件</v>
          </cell>
          <cell r="D306">
            <v>1.03</v>
          </cell>
          <cell r="E306">
            <v>0.14</v>
          </cell>
        </row>
        <row r="307">
          <cell r="A307" t="str">
            <v>Y0410024021032</v>
          </cell>
          <cell r="B307" t="str">
            <v>前加强横梁（打猎车）</v>
          </cell>
          <cell r="C307" t="str">
            <v>件</v>
          </cell>
          <cell r="D307">
            <v>3.04</v>
          </cell>
          <cell r="E307">
            <v>0.42</v>
          </cell>
        </row>
        <row r="308">
          <cell r="A308" t="str">
            <v>Y0410024021136</v>
          </cell>
          <cell r="B308" t="str">
            <v>前罩下支架横梁（打猎车）</v>
          </cell>
          <cell r="C308" t="str">
            <v>件</v>
          </cell>
          <cell r="D308">
            <v>2.26</v>
          </cell>
          <cell r="E308">
            <v>0.31</v>
          </cell>
        </row>
        <row r="309">
          <cell r="A309" t="str">
            <v>Y0410024021020</v>
          </cell>
          <cell r="B309" t="str">
            <v>前减振器支架（打猎车）</v>
          </cell>
          <cell r="C309" t="str">
            <v>件</v>
          </cell>
          <cell r="D309">
            <v>2.6</v>
          </cell>
          <cell r="E309">
            <v>0.36</v>
          </cell>
        </row>
        <row r="310">
          <cell r="A310" t="str">
            <v>Y0410024021134</v>
          </cell>
          <cell r="B310" t="str">
            <v>前减加强支架（打猎车）</v>
          </cell>
          <cell r="C310" t="str">
            <v>件</v>
          </cell>
          <cell r="D310">
            <v>0.78</v>
          </cell>
          <cell r="E310">
            <v>0.11</v>
          </cell>
        </row>
        <row r="311">
          <cell r="A311" t="str">
            <v>Y0410024021416</v>
          </cell>
          <cell r="B311" t="str">
            <v>前减支架竖梁（打猎车）</v>
          </cell>
          <cell r="C311" t="str">
            <v>件</v>
          </cell>
          <cell r="D311">
            <v>8.88</v>
          </cell>
          <cell r="E311">
            <v>1.23</v>
          </cell>
        </row>
        <row r="312">
          <cell r="A312" t="str">
            <v>Y0410024021153</v>
          </cell>
          <cell r="B312" t="str">
            <v>前三通支架（打猎车）</v>
          </cell>
          <cell r="C312" t="str">
            <v>件</v>
          </cell>
          <cell r="D312">
            <v>0.85</v>
          </cell>
          <cell r="E312">
            <v>0.12</v>
          </cell>
        </row>
        <row r="313">
          <cell r="A313" t="str">
            <v>Y0410024021036</v>
          </cell>
          <cell r="B313" t="str">
            <v>前三通支架横梁（打猎车）</v>
          </cell>
          <cell r="C313" t="str">
            <v>件</v>
          </cell>
          <cell r="D313">
            <v>2.6</v>
          </cell>
          <cell r="E313">
            <v>0.36</v>
          </cell>
        </row>
        <row r="314">
          <cell r="A314" t="str">
            <v>Y0410024021157</v>
          </cell>
          <cell r="B314" t="str">
            <v>仪表台下横梁板（打猎车）</v>
          </cell>
          <cell r="C314" t="str">
            <v>件</v>
          </cell>
          <cell r="D314">
            <v>15.61</v>
          </cell>
          <cell r="E314">
            <v>2.17</v>
          </cell>
        </row>
        <row r="315">
          <cell r="A315" t="str">
            <v>Y0410024021152</v>
          </cell>
          <cell r="B315" t="str">
            <v>后油管固定支架</v>
          </cell>
          <cell r="C315" t="str">
            <v>件</v>
          </cell>
          <cell r="D315">
            <v>0.65</v>
          </cell>
          <cell r="E315">
            <v>0.09</v>
          </cell>
        </row>
        <row r="316">
          <cell r="A316" t="str">
            <v>Y0410024021423</v>
          </cell>
          <cell r="B316" t="str">
            <v>大梁（2座打猎车）</v>
          </cell>
          <cell r="C316" t="str">
            <v>件</v>
          </cell>
          <cell r="D316">
            <v>26.25</v>
          </cell>
          <cell r="E316">
            <v>3.65</v>
          </cell>
        </row>
        <row r="317">
          <cell r="A317" t="str">
            <v>Y0410024021090</v>
          </cell>
          <cell r="B317" t="str">
            <v>侧边梁（2座车）</v>
          </cell>
          <cell r="C317" t="str">
            <v>件</v>
          </cell>
          <cell r="D317">
            <v>4.59</v>
          </cell>
          <cell r="E317">
            <v>0.64</v>
          </cell>
        </row>
        <row r="318">
          <cell r="A318" t="str">
            <v>Y0410024021024</v>
          </cell>
          <cell r="B318" t="str">
            <v>制动油壶支架</v>
          </cell>
          <cell r="C318" t="str">
            <v>件</v>
          </cell>
          <cell r="D318">
            <v>2.26</v>
          </cell>
          <cell r="E318">
            <v>0.31</v>
          </cell>
        </row>
        <row r="319">
          <cell r="A319" t="str">
            <v>Y0410024021025</v>
          </cell>
          <cell r="B319" t="str">
            <v>制动油壶支架加强板</v>
          </cell>
          <cell r="C319" t="str">
            <v>件</v>
          </cell>
          <cell r="D319">
            <v>0.74</v>
          </cell>
          <cell r="E319">
            <v>0.1</v>
          </cell>
        </row>
        <row r="320">
          <cell r="A320" t="str">
            <v>Y0410024021378</v>
          </cell>
          <cell r="B320" t="str">
            <v>后稳定杆支架焊接总成（打猎车）</v>
          </cell>
          <cell r="C320" t="str">
            <v>件</v>
          </cell>
          <cell r="D320">
            <v>36.66</v>
          </cell>
          <cell r="E320">
            <v>5.09</v>
          </cell>
        </row>
        <row r="321">
          <cell r="A321" t="str">
            <v>Y0410024021367</v>
          </cell>
          <cell r="B321" t="str">
            <v>侧踏板前安装支架总成</v>
          </cell>
          <cell r="C321" t="str">
            <v>件</v>
          </cell>
          <cell r="D321">
            <v>10.71</v>
          </cell>
          <cell r="E321">
            <v>1.49</v>
          </cell>
        </row>
        <row r="322">
          <cell r="A322" t="str">
            <v>Y0410024021366</v>
          </cell>
          <cell r="B322" t="str">
            <v>侧踏板后安装板</v>
          </cell>
          <cell r="C322" t="str">
            <v>件</v>
          </cell>
          <cell r="D322">
            <v>7.96</v>
          </cell>
          <cell r="E322">
            <v>1.11</v>
          </cell>
        </row>
        <row r="323">
          <cell r="A323" t="str">
            <v>F0102045090</v>
          </cell>
          <cell r="B323" t="str">
            <v>下底板</v>
          </cell>
          <cell r="C323" t="str">
            <v>件</v>
          </cell>
          <cell r="D323">
            <v>18.76</v>
          </cell>
          <cell r="E323">
            <v>2.61</v>
          </cell>
        </row>
        <row r="324">
          <cell r="A324" t="str">
            <v>F0102081007</v>
          </cell>
          <cell r="B324" t="str">
            <v>方向机安装支架</v>
          </cell>
          <cell r="C324" t="str">
            <v>件</v>
          </cell>
          <cell r="D324">
            <v>14.87</v>
          </cell>
          <cell r="E324">
            <v>2.07</v>
          </cell>
        </row>
        <row r="325">
          <cell r="A325" t="str">
            <v>F0102077031</v>
          </cell>
          <cell r="B325" t="str">
            <v>顶棚U形骨架</v>
          </cell>
          <cell r="C325" t="str">
            <v>只</v>
          </cell>
          <cell r="D325">
            <v>85.84</v>
          </cell>
          <cell r="E325">
            <v>11.92</v>
          </cell>
        </row>
        <row r="326">
          <cell r="A326" t="str">
            <v>F0102081034</v>
          </cell>
          <cell r="B326" t="str">
            <v>踏板骨架总成</v>
          </cell>
          <cell r="C326" t="str">
            <v>件</v>
          </cell>
          <cell r="D326">
            <v>139.72</v>
          </cell>
          <cell r="E326">
            <v>19.41</v>
          </cell>
        </row>
        <row r="327">
          <cell r="A327" t="str">
            <v>F0102077018</v>
          </cell>
          <cell r="B327" t="str">
            <v>J款铁制前保险杠</v>
          </cell>
          <cell r="C327" t="str">
            <v>件</v>
          </cell>
          <cell r="D327">
            <v>168.14</v>
          </cell>
          <cell r="E327">
            <v>23.35</v>
          </cell>
        </row>
        <row r="328">
          <cell r="A328" t="str">
            <v>F0102077021</v>
          </cell>
          <cell r="B328" t="str">
            <v>铁制侧踏板</v>
          </cell>
          <cell r="C328" t="str">
            <v>套</v>
          </cell>
          <cell r="D328">
            <v>268.18</v>
          </cell>
          <cell r="E328">
            <v>37.25</v>
          </cell>
        </row>
        <row r="329">
          <cell r="A329" t="str">
            <v>F0102077046</v>
          </cell>
          <cell r="B329" t="str">
            <v>后踏板侧踏板 左</v>
          </cell>
          <cell r="C329" t="str">
            <v>件</v>
          </cell>
          <cell r="D329">
            <v>74.79</v>
          </cell>
          <cell r="E329">
            <v>10.39</v>
          </cell>
        </row>
        <row r="330">
          <cell r="A330" t="str">
            <v>F0102077047</v>
          </cell>
          <cell r="B330" t="str">
            <v>后踏板侧踏板 右</v>
          </cell>
          <cell r="C330" t="str">
            <v>件</v>
          </cell>
          <cell r="D330">
            <v>74.79</v>
          </cell>
          <cell r="E330">
            <v>10.39</v>
          </cell>
        </row>
        <row r="331">
          <cell r="A331" t="str">
            <v>F0102077039</v>
          </cell>
          <cell r="B331" t="str">
            <v>转向轴管护罩 左</v>
          </cell>
          <cell r="C331" t="str">
            <v>件</v>
          </cell>
          <cell r="D331">
            <v>1.93</v>
          </cell>
          <cell r="E331">
            <v>0.27</v>
          </cell>
        </row>
        <row r="332">
          <cell r="A332" t="str">
            <v>F0102077040</v>
          </cell>
          <cell r="B332" t="str">
            <v>转向轴管护罩 右</v>
          </cell>
          <cell r="C332" t="str">
            <v>件</v>
          </cell>
          <cell r="D332">
            <v>3.26</v>
          </cell>
          <cell r="E332">
            <v>0.45</v>
          </cell>
        </row>
        <row r="333">
          <cell r="A333" t="str">
            <v>F0102077012</v>
          </cell>
          <cell r="B333" t="str">
            <v>左前轮眉</v>
          </cell>
          <cell r="C333" t="str">
            <v>件</v>
          </cell>
          <cell r="D333">
            <v>7.9</v>
          </cell>
          <cell r="E333">
            <v>1.1</v>
          </cell>
        </row>
        <row r="334">
          <cell r="A334" t="str">
            <v>F0102077013</v>
          </cell>
          <cell r="B334" t="str">
            <v>右前轮眉</v>
          </cell>
          <cell r="C334" t="str">
            <v>件</v>
          </cell>
          <cell r="D334">
            <v>7.9</v>
          </cell>
          <cell r="E334">
            <v>1.1</v>
          </cell>
        </row>
        <row r="335">
          <cell r="A335" t="str">
            <v>F0102045025</v>
          </cell>
          <cell r="B335" t="str">
            <v>后轮眉</v>
          </cell>
          <cell r="C335" t="str">
            <v>只</v>
          </cell>
          <cell r="D335">
            <v>9.97</v>
          </cell>
          <cell r="E335">
            <v>1.38</v>
          </cell>
        </row>
        <row r="336">
          <cell r="A336" t="str">
            <v>F0102081005</v>
          </cell>
          <cell r="B336" t="str">
            <v>4座注塑顶棚</v>
          </cell>
          <cell r="C336" t="str">
            <v>只</v>
          </cell>
          <cell r="D336">
            <v>398.58</v>
          </cell>
          <cell r="E336">
            <v>55.36</v>
          </cell>
        </row>
        <row r="337">
          <cell r="A337" t="str">
            <v>F0103020022</v>
          </cell>
          <cell r="B337" t="str">
            <v>左前挡泥板/J款打猎车</v>
          </cell>
          <cell r="C337" t="str">
            <v>件</v>
          </cell>
          <cell r="D337">
            <v>36.94</v>
          </cell>
          <cell r="E337">
            <v>5.13</v>
          </cell>
        </row>
        <row r="338">
          <cell r="A338" t="str">
            <v>F0103020023</v>
          </cell>
          <cell r="B338" t="str">
            <v>右前挡泥板/J款打猎车</v>
          </cell>
          <cell r="C338" t="str">
            <v>件</v>
          </cell>
          <cell r="D338">
            <v>36.94</v>
          </cell>
          <cell r="E338">
            <v>5.13</v>
          </cell>
        </row>
        <row r="339">
          <cell r="A339" t="str">
            <v>F0103027115</v>
          </cell>
          <cell r="B339" t="str">
            <v>2座B款成型地板革/ACTIV EV</v>
          </cell>
          <cell r="C339" t="str">
            <v>片</v>
          </cell>
          <cell r="D339">
            <v>163.02</v>
          </cell>
          <cell r="E339">
            <v>22.64</v>
          </cell>
        </row>
        <row r="340">
          <cell r="A340" t="str">
            <v>F0204004053</v>
          </cell>
          <cell r="B340" t="str">
            <v>转向下轴</v>
          </cell>
          <cell r="C340" t="str">
            <v>件</v>
          </cell>
          <cell r="D340">
            <v>63.05</v>
          </cell>
          <cell r="E340">
            <v>8.76</v>
          </cell>
        </row>
        <row r="341">
          <cell r="A341" t="str">
            <v>F0204003026</v>
          </cell>
          <cell r="B341" t="str">
            <v>方向机总成  加长</v>
          </cell>
          <cell r="C341" t="str">
            <v>件</v>
          </cell>
          <cell r="D341">
            <v>182.52</v>
          </cell>
          <cell r="E341">
            <v>25.35</v>
          </cell>
        </row>
        <row r="342">
          <cell r="A342" t="str">
            <v>F0203006039</v>
          </cell>
          <cell r="B342" t="str">
            <v>成型制动油管-中后</v>
          </cell>
          <cell r="C342" t="str">
            <v>根</v>
          </cell>
          <cell r="D342">
            <v>6.75</v>
          </cell>
          <cell r="E342">
            <v>0.94</v>
          </cell>
        </row>
        <row r="343">
          <cell r="A343" t="str">
            <v>F0203006042</v>
          </cell>
          <cell r="B343" t="str">
            <v>成型制动油管-中前</v>
          </cell>
          <cell r="C343" t="str">
            <v>根</v>
          </cell>
          <cell r="D343">
            <v>9.82</v>
          </cell>
          <cell r="E343">
            <v>1.36</v>
          </cell>
        </row>
        <row r="344">
          <cell r="A344" t="str">
            <v>F0203006043</v>
          </cell>
          <cell r="B344" t="str">
            <v>成型制动油管-前（左右）</v>
          </cell>
          <cell r="C344" t="str">
            <v>根</v>
          </cell>
          <cell r="D344">
            <v>5.02</v>
          </cell>
          <cell r="E344">
            <v>0.7</v>
          </cell>
        </row>
        <row r="345">
          <cell r="A345" t="str">
            <v>F0202006037</v>
          </cell>
          <cell r="B345" t="str">
            <v>前减震器总成 加长</v>
          </cell>
          <cell r="C345" t="str">
            <v>件</v>
          </cell>
          <cell r="D345">
            <v>91.99</v>
          </cell>
          <cell r="E345">
            <v>12.78</v>
          </cell>
        </row>
        <row r="346">
          <cell r="A346" t="str">
            <v>F0202006081</v>
          </cell>
          <cell r="B346" t="str">
            <v>后减震器</v>
          </cell>
          <cell r="C346" t="str">
            <v>根</v>
          </cell>
          <cell r="D346">
            <v>91.06</v>
          </cell>
          <cell r="E346">
            <v>12.65</v>
          </cell>
        </row>
        <row r="347">
          <cell r="A347" t="str">
            <v>F0201003114</v>
          </cell>
          <cell r="B347" t="str">
            <v>后桥总成/电磁驻车/碟刹制动器</v>
          </cell>
          <cell r="C347" t="str">
            <v>根</v>
          </cell>
          <cell r="D347">
            <v>1723.33</v>
          </cell>
          <cell r="E347">
            <v>239.35</v>
          </cell>
        </row>
        <row r="348">
          <cell r="A348" t="str">
            <v>F0202009200</v>
          </cell>
          <cell r="B348" t="str">
            <v>轮胎</v>
          </cell>
          <cell r="C348" t="str">
            <v>条</v>
          </cell>
          <cell r="D348">
            <v>256.17</v>
          </cell>
          <cell r="E348">
            <v>35.58</v>
          </cell>
        </row>
        <row r="349">
          <cell r="A349" t="str">
            <v>F0204002031</v>
          </cell>
          <cell r="B349" t="str">
            <v>转向轴管</v>
          </cell>
          <cell r="C349" t="str">
            <v>件</v>
          </cell>
          <cell r="D349">
            <v>95.13</v>
          </cell>
          <cell r="E349">
            <v>13.21</v>
          </cell>
        </row>
        <row r="350">
          <cell r="A350" t="str">
            <v>F0302012106</v>
          </cell>
          <cell r="B350" t="str">
            <v>锂电电控/打猎车/CAN/48V450A</v>
          </cell>
          <cell r="C350" t="str">
            <v>件</v>
          </cell>
          <cell r="D350">
            <v>1863.06</v>
          </cell>
          <cell r="E350">
            <v>258.76</v>
          </cell>
        </row>
        <row r="351">
          <cell r="A351" t="str">
            <v>F0304001501</v>
          </cell>
          <cell r="B351" t="str">
            <v>WH2027K  2座球车锂电线束</v>
          </cell>
          <cell r="C351" t="str">
            <v>套</v>
          </cell>
          <cell r="D351">
            <v>510</v>
          </cell>
          <cell r="E351">
            <v>70.83</v>
          </cell>
        </row>
        <row r="352">
          <cell r="A352" t="str">
            <v>Y0410024021421</v>
          </cell>
          <cell r="B352" t="str">
            <v>大梁（4座打猎车）</v>
          </cell>
          <cell r="C352" t="str">
            <v>件</v>
          </cell>
          <cell r="D352">
            <v>56.88</v>
          </cell>
          <cell r="E352">
            <v>7.9</v>
          </cell>
        </row>
        <row r="353">
          <cell r="A353" t="str">
            <v>Y0410024021368</v>
          </cell>
          <cell r="B353" t="str">
            <v>侧踏板安装支架总成</v>
          </cell>
          <cell r="C353" t="str">
            <v>件</v>
          </cell>
          <cell r="D353">
            <v>1.88</v>
          </cell>
          <cell r="E353">
            <v>0.26</v>
          </cell>
        </row>
        <row r="354">
          <cell r="A354" t="str">
            <v>F0102077022</v>
          </cell>
          <cell r="B354" t="str">
            <v>铁制侧踏板</v>
          </cell>
          <cell r="C354" t="str">
            <v>套</v>
          </cell>
          <cell r="D354">
            <v>429.12</v>
          </cell>
          <cell r="E354">
            <v>59.6</v>
          </cell>
        </row>
        <row r="355">
          <cell r="A355" t="str">
            <v>F0102081035</v>
          </cell>
          <cell r="B355" t="str">
            <v>后踏板侧踏板 左</v>
          </cell>
          <cell r="C355" t="str">
            <v>件</v>
          </cell>
          <cell r="D355">
            <v>77.5</v>
          </cell>
          <cell r="E355">
            <v>10.76</v>
          </cell>
        </row>
        <row r="356">
          <cell r="A356" t="str">
            <v>F0102081036</v>
          </cell>
          <cell r="B356" t="str">
            <v>后踏板侧踏板 右</v>
          </cell>
          <cell r="C356" t="str">
            <v>件</v>
          </cell>
          <cell r="D356">
            <v>77.5</v>
          </cell>
          <cell r="E356">
            <v>10.76</v>
          </cell>
        </row>
        <row r="357">
          <cell r="A357" t="str">
            <v>F0202006082</v>
          </cell>
          <cell r="B357" t="str">
            <v>后减震器</v>
          </cell>
          <cell r="C357" t="str">
            <v>根</v>
          </cell>
          <cell r="D357">
            <v>91.06</v>
          </cell>
          <cell r="E357">
            <v>12.65</v>
          </cell>
        </row>
        <row r="358">
          <cell r="A358" t="str">
            <v>F2104001003</v>
          </cell>
          <cell r="B358" t="str">
            <v>制动液</v>
          </cell>
          <cell r="C358" t="str">
            <v>L</v>
          </cell>
          <cell r="D358">
            <v>17.47</v>
          </cell>
          <cell r="E358">
            <v>2.43</v>
          </cell>
        </row>
        <row r="359">
          <cell r="A359" t="str">
            <v>Y0410024021428</v>
          </cell>
          <cell r="B359" t="str">
            <v>大梁左（2座球车）</v>
          </cell>
          <cell r="C359" t="str">
            <v>件</v>
          </cell>
          <cell r="D359">
            <v>31.2</v>
          </cell>
          <cell r="E359">
            <v>4.33</v>
          </cell>
        </row>
        <row r="360">
          <cell r="A360" t="str">
            <v>Y0410024021429</v>
          </cell>
          <cell r="B360" t="str">
            <v>大梁右（2座球车）</v>
          </cell>
          <cell r="C360" t="str">
            <v>件</v>
          </cell>
          <cell r="D360">
            <v>31.2</v>
          </cell>
          <cell r="E360">
            <v>4.33</v>
          </cell>
        </row>
        <row r="361">
          <cell r="A361" t="str">
            <v>F0202006085</v>
          </cell>
          <cell r="B361" t="str">
            <v>后减震器</v>
          </cell>
          <cell r="C361" t="str">
            <v>根</v>
          </cell>
          <cell r="D361">
            <v>179.32</v>
          </cell>
          <cell r="E361">
            <v>24.91</v>
          </cell>
        </row>
        <row r="362">
          <cell r="A362" t="str">
            <v>F0102063912</v>
          </cell>
          <cell r="B362" t="str">
            <v>前弯管竖梁左（G款打猎车）</v>
          </cell>
          <cell r="C362" t="str">
            <v>件</v>
          </cell>
          <cell r="D362">
            <v>8.85</v>
          </cell>
          <cell r="E362">
            <v>1.23</v>
          </cell>
        </row>
        <row r="363">
          <cell r="A363" t="str">
            <v>Y0410024021181</v>
          </cell>
          <cell r="B363" t="str">
            <v>前塑料保险杠焊接支架（G款打猎车）</v>
          </cell>
          <cell r="C363" t="str">
            <v>件</v>
          </cell>
          <cell r="D363">
            <v>2.21</v>
          </cell>
          <cell r="E363">
            <v>0.31</v>
          </cell>
        </row>
        <row r="364">
          <cell r="A364" t="str">
            <v>Y0410024021179</v>
          </cell>
          <cell r="B364" t="str">
            <v>前罩下支架（G款打猎车）</v>
          </cell>
          <cell r="C364" t="str">
            <v>件</v>
          </cell>
          <cell r="D364">
            <v>6.02</v>
          </cell>
          <cell r="E364">
            <v>0.84</v>
          </cell>
        </row>
        <row r="365">
          <cell r="A365" t="str">
            <v>Y0410024021175</v>
          </cell>
          <cell r="B365" t="str">
            <v>前立柱支架左（G款）</v>
          </cell>
          <cell r="C365" t="str">
            <v>件</v>
          </cell>
          <cell r="D365">
            <v>10.23</v>
          </cell>
          <cell r="E365">
            <v>1.42</v>
          </cell>
        </row>
        <row r="366">
          <cell r="A366" t="str">
            <v>Y0410024021176</v>
          </cell>
          <cell r="B366" t="str">
            <v>前立柱支架右（G款）</v>
          </cell>
          <cell r="C366" t="str">
            <v>件</v>
          </cell>
          <cell r="D366">
            <v>10.17</v>
          </cell>
          <cell r="E366">
            <v>1.41</v>
          </cell>
        </row>
        <row r="367">
          <cell r="A367" t="str">
            <v>Y0410024021443</v>
          </cell>
          <cell r="B367" t="str">
            <v>仪表台上弯管梁（G款）</v>
          </cell>
          <cell r="C367" t="str">
            <v>件</v>
          </cell>
          <cell r="D367">
            <v>28.32</v>
          </cell>
          <cell r="E367">
            <v>3.93</v>
          </cell>
        </row>
        <row r="368">
          <cell r="A368" t="str">
            <v>Y0410024021174</v>
          </cell>
          <cell r="B368" t="str">
            <v>仪表台上横梁板（G款）</v>
          </cell>
          <cell r="C368" t="str">
            <v>件</v>
          </cell>
          <cell r="D368">
            <v>40</v>
          </cell>
          <cell r="E368">
            <v>5.56</v>
          </cell>
        </row>
        <row r="369">
          <cell r="A369" t="str">
            <v>Y0410024021173</v>
          </cell>
          <cell r="B369" t="str">
            <v>仪表台斜侧边梁（G款）</v>
          </cell>
          <cell r="C369" t="str">
            <v>件</v>
          </cell>
          <cell r="D369">
            <v>5.67</v>
          </cell>
          <cell r="E369">
            <v>0.79</v>
          </cell>
        </row>
        <row r="370">
          <cell r="A370" t="str">
            <v>Y0410024021372</v>
          </cell>
          <cell r="B370" t="str">
            <v>转向管柱支架（F款）</v>
          </cell>
          <cell r="C370" t="str">
            <v>件</v>
          </cell>
          <cell r="D370">
            <v>22.12</v>
          </cell>
          <cell r="E370">
            <v>3.07</v>
          </cell>
        </row>
        <row r="371">
          <cell r="A371" t="str">
            <v>Y0410024021438</v>
          </cell>
          <cell r="B371" t="str">
            <v>充电机安装板（F款）</v>
          </cell>
          <cell r="C371" t="str">
            <v>件</v>
          </cell>
          <cell r="D371">
            <v>2.21</v>
          </cell>
          <cell r="E371">
            <v>0.31</v>
          </cell>
        </row>
        <row r="372">
          <cell r="A372" t="str">
            <v>Y0410024021439</v>
          </cell>
          <cell r="B372" t="str">
            <v>电控安装板（F款）</v>
          </cell>
          <cell r="C372" t="str">
            <v>件</v>
          </cell>
          <cell r="D372">
            <v>8.67</v>
          </cell>
          <cell r="E372">
            <v>1.2</v>
          </cell>
        </row>
        <row r="373">
          <cell r="A373" t="str">
            <v>Y0410024021053</v>
          </cell>
          <cell r="B373" t="str">
            <v>电控安装支架左(F款)</v>
          </cell>
          <cell r="C373" t="str">
            <v>件</v>
          </cell>
          <cell r="D373">
            <v>0.61</v>
          </cell>
          <cell r="E373">
            <v>0.08</v>
          </cell>
        </row>
        <row r="374">
          <cell r="A374" t="str">
            <v>Y0410024021052</v>
          </cell>
          <cell r="B374" t="str">
            <v>电控安装支架右(F款)</v>
          </cell>
          <cell r="C374" t="str">
            <v>件</v>
          </cell>
          <cell r="D374">
            <v>0.35</v>
          </cell>
          <cell r="E374">
            <v>0.05</v>
          </cell>
        </row>
        <row r="375">
          <cell r="A375" t="str">
            <v>Y0410024021441</v>
          </cell>
          <cell r="B375" t="str">
            <v>前座椅桶安装板（F款4座车）</v>
          </cell>
          <cell r="C375" t="str">
            <v>件</v>
          </cell>
          <cell r="D375">
            <v>2.57</v>
          </cell>
          <cell r="E375">
            <v>0.36</v>
          </cell>
        </row>
        <row r="376">
          <cell r="A376" t="str">
            <v>Y0410024021442</v>
          </cell>
          <cell r="B376" t="str">
            <v>前座椅中纵梁（F款4座车）</v>
          </cell>
          <cell r="C376" t="str">
            <v>件</v>
          </cell>
          <cell r="D376">
            <v>12.57</v>
          </cell>
          <cell r="E376">
            <v>1.75</v>
          </cell>
        </row>
        <row r="377">
          <cell r="A377" t="str">
            <v>F0102045130</v>
          </cell>
          <cell r="B377" t="str">
            <v>侧踏板安装支架</v>
          </cell>
          <cell r="C377" t="str">
            <v>件</v>
          </cell>
          <cell r="D377">
            <v>0.87</v>
          </cell>
          <cell r="E377">
            <v>0.12</v>
          </cell>
        </row>
        <row r="378">
          <cell r="A378" t="str">
            <v>F0102078029</v>
          </cell>
          <cell r="B378" t="str">
            <v>锂电池框</v>
          </cell>
          <cell r="C378" t="str">
            <v>件</v>
          </cell>
          <cell r="D378">
            <v>79.65</v>
          </cell>
          <cell r="E378">
            <v>11.06</v>
          </cell>
        </row>
        <row r="379">
          <cell r="A379" t="str">
            <v>F0102047029</v>
          </cell>
          <cell r="B379" t="str">
            <v>下底板</v>
          </cell>
          <cell r="C379" t="str">
            <v>件</v>
          </cell>
          <cell r="D379">
            <v>45.58</v>
          </cell>
          <cell r="E379">
            <v>6.33</v>
          </cell>
        </row>
        <row r="380">
          <cell r="A380" t="str">
            <v>F0102073026</v>
          </cell>
          <cell r="B380" t="str">
            <v>前保支架</v>
          </cell>
          <cell r="C380" t="str">
            <v>套</v>
          </cell>
          <cell r="D380">
            <v>1.8</v>
          </cell>
          <cell r="E380">
            <v>0.25</v>
          </cell>
        </row>
        <row r="381">
          <cell r="A381" t="str">
            <v>F0102073028</v>
          </cell>
          <cell r="B381" t="str">
            <v>伞桶支架</v>
          </cell>
          <cell r="C381" t="str">
            <v>件</v>
          </cell>
          <cell r="D381">
            <v>2.67</v>
          </cell>
          <cell r="E381">
            <v>0.37</v>
          </cell>
        </row>
        <row r="382">
          <cell r="A382" t="str">
            <v>F0102074011</v>
          </cell>
          <cell r="B382" t="str">
            <v>中桶靠背支架 左</v>
          </cell>
          <cell r="C382" t="str">
            <v>件</v>
          </cell>
          <cell r="D382">
            <v>50.09</v>
          </cell>
          <cell r="E382">
            <v>6.96</v>
          </cell>
        </row>
        <row r="383">
          <cell r="A383" t="str">
            <v>F0102074012</v>
          </cell>
          <cell r="B383" t="str">
            <v>中桶靠背支架 右</v>
          </cell>
          <cell r="C383" t="str">
            <v>件</v>
          </cell>
          <cell r="D383">
            <v>50.09</v>
          </cell>
          <cell r="E383">
            <v>6.96</v>
          </cell>
        </row>
        <row r="384">
          <cell r="A384" t="str">
            <v>F0102064022</v>
          </cell>
          <cell r="B384" t="str">
            <v>顶棚U形骨架（后支架后移70，顶下降140）</v>
          </cell>
          <cell r="C384" t="str">
            <v>件</v>
          </cell>
          <cell r="D384">
            <v>92.92</v>
          </cell>
          <cell r="E384">
            <v>12.91</v>
          </cell>
        </row>
        <row r="385">
          <cell r="A385" t="str">
            <v>F0102074022</v>
          </cell>
          <cell r="B385" t="str">
            <v>顶棚前支架</v>
          </cell>
          <cell r="C385" t="str">
            <v>件</v>
          </cell>
          <cell r="D385">
            <v>35.4</v>
          </cell>
          <cell r="E385">
            <v>4.92</v>
          </cell>
        </row>
        <row r="386">
          <cell r="A386" t="str">
            <v>F0102047103</v>
          </cell>
          <cell r="B386" t="str">
            <v>顶棚后支撑 左（配声霸线卡）</v>
          </cell>
          <cell r="C386" t="str">
            <v>件</v>
          </cell>
          <cell r="D386">
            <v>17.7</v>
          </cell>
          <cell r="E386">
            <v>2.46</v>
          </cell>
        </row>
        <row r="387">
          <cell r="A387" t="str">
            <v>F0102047104</v>
          </cell>
          <cell r="B387" t="str">
            <v>顶棚后支撑 右（配声霸线卡）</v>
          </cell>
          <cell r="C387" t="str">
            <v>件</v>
          </cell>
          <cell r="D387">
            <v>17.7</v>
          </cell>
          <cell r="E387">
            <v>2.46</v>
          </cell>
        </row>
        <row r="388">
          <cell r="A388" t="str">
            <v>F0102064021</v>
          </cell>
          <cell r="B388" t="str">
            <v>声霸支架</v>
          </cell>
          <cell r="C388" t="str">
            <v>件</v>
          </cell>
          <cell r="D388">
            <v>14.16</v>
          </cell>
          <cell r="E388">
            <v>1.97</v>
          </cell>
        </row>
        <row r="389">
          <cell r="A389" t="str">
            <v>F0102047023</v>
          </cell>
          <cell r="B389" t="str">
            <v>球童拉手</v>
          </cell>
          <cell r="C389" t="str">
            <v>件</v>
          </cell>
          <cell r="D389">
            <v>8.58</v>
          </cell>
          <cell r="E389">
            <v>1.19</v>
          </cell>
        </row>
        <row r="390">
          <cell r="A390" t="str">
            <v>F0102075003</v>
          </cell>
          <cell r="B390" t="str">
            <v>顶棚加强梁</v>
          </cell>
          <cell r="C390" t="str">
            <v>件</v>
          </cell>
          <cell r="D390">
            <v>17.1</v>
          </cell>
          <cell r="E390">
            <v>2.38</v>
          </cell>
        </row>
        <row r="391">
          <cell r="A391" t="str">
            <v>F0102074015</v>
          </cell>
          <cell r="B391" t="str">
            <v>前靠背支架 左</v>
          </cell>
          <cell r="C391" t="str">
            <v>件</v>
          </cell>
          <cell r="D391">
            <v>4.62</v>
          </cell>
          <cell r="E391">
            <v>0.64</v>
          </cell>
        </row>
        <row r="392">
          <cell r="A392" t="str">
            <v>F0102074016</v>
          </cell>
          <cell r="B392" t="str">
            <v>前靠背支架 右</v>
          </cell>
          <cell r="C392" t="str">
            <v>件</v>
          </cell>
          <cell r="D392">
            <v>4.73</v>
          </cell>
          <cell r="E392">
            <v>0.66</v>
          </cell>
        </row>
        <row r="393">
          <cell r="A393" t="str">
            <v>F0102074017</v>
          </cell>
          <cell r="B393" t="str">
            <v>后靠背支架 左</v>
          </cell>
          <cell r="C393" t="str">
            <v>件</v>
          </cell>
          <cell r="D393">
            <v>6.86</v>
          </cell>
          <cell r="E393">
            <v>0.95</v>
          </cell>
        </row>
        <row r="394">
          <cell r="A394" t="str">
            <v>F0102074018</v>
          </cell>
          <cell r="B394" t="str">
            <v>后靠背支架 右</v>
          </cell>
          <cell r="C394" t="str">
            <v>件</v>
          </cell>
          <cell r="D394">
            <v>6.86</v>
          </cell>
          <cell r="E394">
            <v>0.95</v>
          </cell>
        </row>
        <row r="395">
          <cell r="A395" t="str">
            <v>F0102074013</v>
          </cell>
          <cell r="B395" t="str">
            <v>后靠背安装座 左</v>
          </cell>
          <cell r="C395" t="str">
            <v>件</v>
          </cell>
          <cell r="D395">
            <v>27.64</v>
          </cell>
          <cell r="E395">
            <v>3.84</v>
          </cell>
        </row>
        <row r="396">
          <cell r="A396" t="str">
            <v>F0102074014</v>
          </cell>
          <cell r="B396" t="str">
            <v>后靠背安装座 右</v>
          </cell>
          <cell r="C396" t="str">
            <v>件</v>
          </cell>
          <cell r="D396">
            <v>27.64</v>
          </cell>
          <cell r="E396">
            <v>3.84</v>
          </cell>
        </row>
        <row r="397">
          <cell r="A397" t="str">
            <v>F0102074019</v>
          </cell>
          <cell r="B397" t="str">
            <v>后扶手带牌照灯支架</v>
          </cell>
          <cell r="C397" t="str">
            <v>件</v>
          </cell>
          <cell r="D397">
            <v>56.18</v>
          </cell>
          <cell r="E397">
            <v>7.8</v>
          </cell>
        </row>
        <row r="398">
          <cell r="A398" t="str">
            <v>F0102073016</v>
          </cell>
          <cell r="B398" t="str">
            <v>前保险杠/G款打猎车/</v>
          </cell>
          <cell r="C398" t="str">
            <v>件</v>
          </cell>
          <cell r="D398">
            <v>149.6</v>
          </cell>
          <cell r="E398">
            <v>20.78</v>
          </cell>
        </row>
        <row r="399">
          <cell r="A399" t="str">
            <v>F0102074008</v>
          </cell>
          <cell r="B399" t="str">
            <v>铁制侧踏板 左</v>
          </cell>
          <cell r="C399" t="str">
            <v>套</v>
          </cell>
          <cell r="D399">
            <v>212.39</v>
          </cell>
          <cell r="E399">
            <v>29.5</v>
          </cell>
        </row>
        <row r="400">
          <cell r="A400" t="str">
            <v>F0102074009</v>
          </cell>
          <cell r="B400" t="str">
            <v>铁制侧踏板 右</v>
          </cell>
          <cell r="C400" t="str">
            <v>套</v>
          </cell>
          <cell r="D400">
            <v>212.39</v>
          </cell>
          <cell r="E400">
            <v>29.5</v>
          </cell>
        </row>
        <row r="401">
          <cell r="A401" t="str">
            <v>F0102074010</v>
          </cell>
          <cell r="B401" t="str">
            <v>铁制侧踏板连接支架</v>
          </cell>
          <cell r="C401" t="str">
            <v>套</v>
          </cell>
          <cell r="D401">
            <v>18.85</v>
          </cell>
          <cell r="E401">
            <v>2.62</v>
          </cell>
        </row>
        <row r="402">
          <cell r="A402" t="str">
            <v>F0102074020</v>
          </cell>
          <cell r="B402" t="str">
            <v>后踏板侧踏板 左</v>
          </cell>
          <cell r="C402" t="str">
            <v>件</v>
          </cell>
          <cell r="D402">
            <v>50.18</v>
          </cell>
          <cell r="E402">
            <v>6.97</v>
          </cell>
        </row>
        <row r="403">
          <cell r="A403" t="str">
            <v>F0102074021</v>
          </cell>
          <cell r="B403" t="str">
            <v>后踏板侧踏板 右</v>
          </cell>
          <cell r="C403" t="str">
            <v>件</v>
          </cell>
          <cell r="D403">
            <v>50.18</v>
          </cell>
          <cell r="E403">
            <v>6.97</v>
          </cell>
        </row>
        <row r="404">
          <cell r="A404" t="str">
            <v>F0102045133</v>
          </cell>
          <cell r="B404" t="str">
            <v>氛围灯支架</v>
          </cell>
          <cell r="C404" t="str">
            <v>件</v>
          </cell>
          <cell r="D404">
            <v>3.99</v>
          </cell>
          <cell r="E404">
            <v>0.55</v>
          </cell>
        </row>
        <row r="405">
          <cell r="A405" t="str">
            <v>F0102045142</v>
          </cell>
          <cell r="B405" t="str">
            <v>低音炮支架</v>
          </cell>
          <cell r="C405" t="str">
            <v>套</v>
          </cell>
          <cell r="D405">
            <v>3.85</v>
          </cell>
          <cell r="E405">
            <v>0.53</v>
          </cell>
        </row>
        <row r="406">
          <cell r="A406" t="str">
            <v>F0102076035</v>
          </cell>
          <cell r="B406" t="str">
            <v>充电机支架</v>
          </cell>
          <cell r="C406" t="str">
            <v>件</v>
          </cell>
          <cell r="D406">
            <v>14.18</v>
          </cell>
          <cell r="E406">
            <v>1.97</v>
          </cell>
        </row>
        <row r="407">
          <cell r="A407" t="str">
            <v>F0102047031</v>
          </cell>
          <cell r="B407" t="str">
            <v>非隔离DC安装支架</v>
          </cell>
          <cell r="C407" t="str">
            <v>件</v>
          </cell>
          <cell r="D407">
            <v>0.69</v>
          </cell>
          <cell r="E407">
            <v>0.1</v>
          </cell>
        </row>
        <row r="408">
          <cell r="A408" t="str">
            <v>F0102074023</v>
          </cell>
          <cell r="B408" t="str">
            <v>转向轴管护罩 左</v>
          </cell>
          <cell r="C408" t="str">
            <v>件</v>
          </cell>
          <cell r="D408">
            <v>1.02</v>
          </cell>
          <cell r="E408">
            <v>0.14</v>
          </cell>
        </row>
        <row r="409">
          <cell r="A409" t="str">
            <v>F0102074024</v>
          </cell>
          <cell r="B409" t="str">
            <v>转向轴管护罩 右</v>
          </cell>
          <cell r="C409" t="str">
            <v>件</v>
          </cell>
          <cell r="D409">
            <v>1.02</v>
          </cell>
          <cell r="E409">
            <v>0.14</v>
          </cell>
        </row>
        <row r="410">
          <cell r="A410" t="str">
            <v>F0102073001</v>
          </cell>
          <cell r="B410" t="str">
            <v>前罩</v>
          </cell>
          <cell r="C410" t="str">
            <v>只</v>
          </cell>
          <cell r="D410">
            <v>77.35</v>
          </cell>
          <cell r="E410">
            <v>10.74</v>
          </cell>
        </row>
        <row r="411">
          <cell r="A411" t="str">
            <v>F0102073014</v>
          </cell>
          <cell r="B411" t="str">
            <v>左前轮眉/打猎车</v>
          </cell>
          <cell r="C411" t="str">
            <v>件</v>
          </cell>
          <cell r="D411">
            <v>11.83</v>
          </cell>
          <cell r="E411">
            <v>1.64</v>
          </cell>
        </row>
        <row r="412">
          <cell r="A412" t="str">
            <v>F0102073015</v>
          </cell>
          <cell r="B412" t="str">
            <v>右前轮眉/打猎车</v>
          </cell>
          <cell r="C412" t="str">
            <v>件</v>
          </cell>
          <cell r="D412">
            <v>11.83</v>
          </cell>
          <cell r="E412">
            <v>1.64</v>
          </cell>
        </row>
        <row r="413">
          <cell r="A413" t="str">
            <v>F0102073002</v>
          </cell>
          <cell r="B413" t="str">
            <v>前保险杠</v>
          </cell>
          <cell r="C413" t="str">
            <v>只</v>
          </cell>
          <cell r="D413">
            <v>12.57</v>
          </cell>
          <cell r="E413">
            <v>1.75</v>
          </cell>
        </row>
        <row r="414">
          <cell r="A414" t="str">
            <v>F0102073823</v>
          </cell>
          <cell r="B414" t="str">
            <v>G款仪表台/碳纤维</v>
          </cell>
          <cell r="C414" t="str">
            <v>件</v>
          </cell>
          <cell r="D414">
            <v>225.09</v>
          </cell>
          <cell r="E414">
            <v>31.26</v>
          </cell>
        </row>
        <row r="415">
          <cell r="A415" t="str">
            <v>F0102073033</v>
          </cell>
          <cell r="B415" t="str">
            <v>仪表台</v>
          </cell>
          <cell r="C415" t="str">
            <v>件</v>
          </cell>
          <cell r="D415">
            <v>55.97</v>
          </cell>
          <cell r="E415">
            <v>7.77</v>
          </cell>
        </row>
        <row r="416">
          <cell r="A416" t="str">
            <v>F0102073034</v>
          </cell>
          <cell r="B416" t="str">
            <v>左杂物盒</v>
          </cell>
          <cell r="C416" t="str">
            <v>件</v>
          </cell>
          <cell r="D416">
            <v>8.26</v>
          </cell>
          <cell r="E416">
            <v>1.15</v>
          </cell>
        </row>
        <row r="417">
          <cell r="A417" t="str">
            <v>F0102073035</v>
          </cell>
          <cell r="B417" t="str">
            <v>右杂物盒</v>
          </cell>
          <cell r="C417" t="str">
            <v>件</v>
          </cell>
          <cell r="D417">
            <v>8.26</v>
          </cell>
          <cell r="E417">
            <v>1.15</v>
          </cell>
        </row>
        <row r="418">
          <cell r="A418" t="str">
            <v>F0102073824</v>
          </cell>
          <cell r="B418" t="str">
            <v>G款左杂物盒盖/碳纤维</v>
          </cell>
          <cell r="C418" t="str">
            <v>件</v>
          </cell>
          <cell r="D418">
            <v>30.43</v>
          </cell>
          <cell r="E418">
            <v>4.23</v>
          </cell>
        </row>
        <row r="419">
          <cell r="A419" t="str">
            <v>F0102073036</v>
          </cell>
          <cell r="B419" t="str">
            <v>左杂物盒盖</v>
          </cell>
          <cell r="C419" t="str">
            <v>件</v>
          </cell>
          <cell r="D419">
            <v>3.05</v>
          </cell>
          <cell r="E419">
            <v>0.42</v>
          </cell>
        </row>
        <row r="420">
          <cell r="A420" t="str">
            <v>F0102073825</v>
          </cell>
          <cell r="B420" t="str">
            <v>G款右杂物盒盖/碳纤维</v>
          </cell>
          <cell r="C420" t="str">
            <v>件</v>
          </cell>
          <cell r="D420">
            <v>30.43</v>
          </cell>
          <cell r="E420">
            <v>4.23</v>
          </cell>
        </row>
        <row r="421">
          <cell r="A421" t="str">
            <v>F0102073037</v>
          </cell>
          <cell r="B421" t="str">
            <v>右杂物盒盖</v>
          </cell>
          <cell r="C421" t="str">
            <v>件</v>
          </cell>
          <cell r="D421">
            <v>3.05</v>
          </cell>
          <cell r="E421">
            <v>0.42</v>
          </cell>
        </row>
        <row r="422">
          <cell r="A422" t="str">
            <v>F0102074801</v>
          </cell>
          <cell r="B422" t="str">
            <v>液晶屏座/碳纤维</v>
          </cell>
          <cell r="C422" t="str">
            <v>件</v>
          </cell>
          <cell r="D422">
            <v>36.25</v>
          </cell>
          <cell r="E422">
            <v>5.03</v>
          </cell>
        </row>
        <row r="423">
          <cell r="A423" t="str">
            <v>F0102074027</v>
          </cell>
          <cell r="B423" t="str">
            <v>液晶屏座</v>
          </cell>
          <cell r="C423" t="str">
            <v>件</v>
          </cell>
          <cell r="D423">
            <v>3.46</v>
          </cell>
          <cell r="E423">
            <v>0.48</v>
          </cell>
        </row>
        <row r="424">
          <cell r="A424" t="str">
            <v>F0102074028</v>
          </cell>
          <cell r="B424" t="str">
            <v>液晶屏座过渡支架左</v>
          </cell>
          <cell r="C424" t="str">
            <v>件</v>
          </cell>
          <cell r="D424">
            <v>0.51</v>
          </cell>
          <cell r="E424">
            <v>0.07</v>
          </cell>
        </row>
        <row r="425">
          <cell r="A425" t="str">
            <v>F0102074029</v>
          </cell>
          <cell r="B425" t="str">
            <v>液晶屏座过渡支架右</v>
          </cell>
          <cell r="C425" t="str">
            <v>件</v>
          </cell>
          <cell r="D425">
            <v>0.51</v>
          </cell>
          <cell r="E425">
            <v>0.07</v>
          </cell>
        </row>
        <row r="426">
          <cell r="A426" t="str">
            <v>F0102074521</v>
          </cell>
          <cell r="B426" t="str">
            <v>中控开关面板/碳纤维</v>
          </cell>
          <cell r="C426" t="str">
            <v>件</v>
          </cell>
          <cell r="D426">
            <v>29.31</v>
          </cell>
          <cell r="E426">
            <v>4.07</v>
          </cell>
        </row>
        <row r="427">
          <cell r="A427" t="str">
            <v>F0102074025</v>
          </cell>
          <cell r="B427" t="str">
            <v>中控开关面板</v>
          </cell>
          <cell r="C427" t="str">
            <v>件</v>
          </cell>
          <cell r="D427">
            <v>1.93</v>
          </cell>
          <cell r="E427">
            <v>0.27</v>
          </cell>
        </row>
        <row r="428">
          <cell r="A428" t="str">
            <v>F0102073010</v>
          </cell>
          <cell r="B428" t="str">
            <v>附件电器座</v>
          </cell>
          <cell r="C428" t="str">
            <v>件</v>
          </cell>
          <cell r="D428">
            <v>6.64</v>
          </cell>
          <cell r="E428">
            <v>0.92</v>
          </cell>
        </row>
        <row r="429">
          <cell r="A429" t="str">
            <v>F0102063804</v>
          </cell>
          <cell r="B429" t="str">
            <v>D款左杯托/碳纤维</v>
          </cell>
          <cell r="C429" t="str">
            <v>只</v>
          </cell>
          <cell r="D429">
            <v>30.28</v>
          </cell>
          <cell r="E429">
            <v>4.21</v>
          </cell>
        </row>
        <row r="430">
          <cell r="A430" t="str">
            <v>F0102063805</v>
          </cell>
          <cell r="B430" t="str">
            <v>D款右杯托/碳纤维</v>
          </cell>
          <cell r="C430" t="str">
            <v>只</v>
          </cell>
          <cell r="D430">
            <v>30.28</v>
          </cell>
          <cell r="E430">
            <v>4.21</v>
          </cell>
        </row>
        <row r="431">
          <cell r="A431" t="str">
            <v>F0102049702</v>
          </cell>
          <cell r="B431" t="str">
            <v>C款喇叭罩/碳纤维</v>
          </cell>
          <cell r="C431" t="str">
            <v>只</v>
          </cell>
          <cell r="D431">
            <v>17.16</v>
          </cell>
          <cell r="E431">
            <v>2.38</v>
          </cell>
        </row>
        <row r="432">
          <cell r="A432" t="str">
            <v>F0102074026</v>
          </cell>
          <cell r="B432" t="str">
            <v>转向管柱护套</v>
          </cell>
          <cell r="C432" t="str">
            <v>只</v>
          </cell>
          <cell r="D432">
            <v>4.48</v>
          </cell>
          <cell r="E432">
            <v>0.62</v>
          </cell>
        </row>
        <row r="433">
          <cell r="A433" t="str">
            <v>F0102073817</v>
          </cell>
          <cell r="B433" t="str">
            <v>G款伞桶/面板碳纤维</v>
          </cell>
          <cell r="C433" t="str">
            <v>套</v>
          </cell>
          <cell r="D433">
            <v>17.21</v>
          </cell>
          <cell r="E433">
            <v>2.39</v>
          </cell>
        </row>
        <row r="434">
          <cell r="A434" t="str">
            <v>F0102073019</v>
          </cell>
          <cell r="B434" t="str">
            <v>伞桶</v>
          </cell>
          <cell r="C434" t="str">
            <v>套</v>
          </cell>
          <cell r="D434">
            <v>6.28</v>
          </cell>
          <cell r="E434">
            <v>0.87</v>
          </cell>
        </row>
        <row r="435">
          <cell r="A435" t="str">
            <v>F0103014330</v>
          </cell>
          <cell r="B435" t="str">
            <v>豪华靠背罩</v>
          </cell>
          <cell r="C435" t="str">
            <v>只</v>
          </cell>
          <cell r="D435">
            <v>39.79</v>
          </cell>
          <cell r="E435">
            <v>5.53</v>
          </cell>
        </row>
        <row r="436">
          <cell r="A436" t="str">
            <v>F0102073011</v>
          </cell>
          <cell r="B436" t="str">
            <v>中网</v>
          </cell>
          <cell r="C436" t="str">
            <v>只</v>
          </cell>
          <cell r="D436">
            <v>14.17</v>
          </cell>
          <cell r="E436">
            <v>1.97</v>
          </cell>
        </row>
        <row r="437">
          <cell r="A437" t="str">
            <v>F0102048003</v>
          </cell>
          <cell r="B437" t="str">
            <v>顶棚</v>
          </cell>
          <cell r="C437" t="str">
            <v>只</v>
          </cell>
          <cell r="D437">
            <v>487.88</v>
          </cell>
          <cell r="E437">
            <v>67.76</v>
          </cell>
        </row>
        <row r="438">
          <cell r="A438" t="str">
            <v>F0103020014</v>
          </cell>
          <cell r="B438" t="str">
            <v>左前挡泥板/G款打猎车</v>
          </cell>
          <cell r="C438" t="str">
            <v>件</v>
          </cell>
          <cell r="D438">
            <v>35.77</v>
          </cell>
          <cell r="E438">
            <v>4.97</v>
          </cell>
        </row>
        <row r="439">
          <cell r="A439" t="str">
            <v>F0103020015</v>
          </cell>
          <cell r="B439" t="str">
            <v>右前挡泥板/G款打猎车</v>
          </cell>
          <cell r="C439" t="str">
            <v>件</v>
          </cell>
          <cell r="D439">
            <v>35.77</v>
          </cell>
          <cell r="E439">
            <v>4.97</v>
          </cell>
        </row>
        <row r="440">
          <cell r="A440" t="str">
            <v>F0309001109</v>
          </cell>
          <cell r="B440" t="str">
            <v>组合开关罩 左</v>
          </cell>
          <cell r="C440" t="str">
            <v>件</v>
          </cell>
          <cell r="D440">
            <v>4.58</v>
          </cell>
          <cell r="E440">
            <v>0.64</v>
          </cell>
        </row>
        <row r="441">
          <cell r="A441" t="str">
            <v>F0309001110</v>
          </cell>
          <cell r="B441" t="str">
            <v>组合开关罩 右</v>
          </cell>
          <cell r="C441" t="str">
            <v>件</v>
          </cell>
          <cell r="D441">
            <v>3.66</v>
          </cell>
          <cell r="E441">
            <v>0.51</v>
          </cell>
        </row>
        <row r="442">
          <cell r="A442" t="str">
            <v>F0309001111</v>
          </cell>
          <cell r="B442" t="str">
            <v>组合开关罩上盖</v>
          </cell>
          <cell r="C442" t="str">
            <v>件</v>
          </cell>
          <cell r="D442">
            <v>0.92</v>
          </cell>
          <cell r="E442">
            <v>0.13</v>
          </cell>
        </row>
        <row r="443">
          <cell r="A443" t="str">
            <v>F0201002016</v>
          </cell>
          <cell r="B443" t="str">
            <v>前刹车卡钳 左</v>
          </cell>
          <cell r="C443" t="str">
            <v>件</v>
          </cell>
          <cell r="D443">
            <v>100.02</v>
          </cell>
          <cell r="E443">
            <v>13.89</v>
          </cell>
        </row>
        <row r="444">
          <cell r="A444" t="str">
            <v>F0201002017</v>
          </cell>
          <cell r="B444" t="str">
            <v>前刹车卡钳 右</v>
          </cell>
          <cell r="C444" t="str">
            <v>件</v>
          </cell>
          <cell r="D444">
            <v>100.02</v>
          </cell>
          <cell r="E444">
            <v>13.89</v>
          </cell>
        </row>
        <row r="445">
          <cell r="A445" t="str">
            <v>F0201003107</v>
          </cell>
          <cell r="B445" t="str">
            <v>后桥总成/电磁驻车/碟刹制动器</v>
          </cell>
          <cell r="C445" t="str">
            <v>套</v>
          </cell>
          <cell r="D445">
            <v>1566.14</v>
          </cell>
          <cell r="E445">
            <v>217.52</v>
          </cell>
        </row>
        <row r="446">
          <cell r="A446" t="str">
            <v>F0204001011.5</v>
          </cell>
          <cell r="B446" t="str">
            <v>特色方向盘/款式见图片</v>
          </cell>
          <cell r="C446" t="str">
            <v>只</v>
          </cell>
          <cell r="D446">
            <v>87.33</v>
          </cell>
          <cell r="E446">
            <v>12.13</v>
          </cell>
        </row>
        <row r="447">
          <cell r="A447" t="str">
            <v>F0204001012</v>
          </cell>
          <cell r="B447" t="str">
            <v>特色方向盘底座</v>
          </cell>
          <cell r="C447" t="str">
            <v>只</v>
          </cell>
          <cell r="D447">
            <v>48.91</v>
          </cell>
          <cell r="E447">
            <v>6.79</v>
          </cell>
        </row>
        <row r="448">
          <cell r="A448" t="str">
            <v>F0204002043</v>
          </cell>
          <cell r="B448" t="str">
            <v>转向轴管</v>
          </cell>
          <cell r="C448" t="str">
            <v>件</v>
          </cell>
          <cell r="D448">
            <v>104.8</v>
          </cell>
          <cell r="E448">
            <v>14.56</v>
          </cell>
        </row>
        <row r="449">
          <cell r="A449" t="str">
            <v>F0204004038</v>
          </cell>
          <cell r="B449" t="str">
            <v>转向下轴-加长</v>
          </cell>
          <cell r="C449" t="str">
            <v>件</v>
          </cell>
          <cell r="D449">
            <v>63.05</v>
          </cell>
          <cell r="E449">
            <v>8.76</v>
          </cell>
        </row>
        <row r="450">
          <cell r="A450" t="str">
            <v>F0303002007</v>
          </cell>
          <cell r="B450" t="str">
            <v>铸铝大踏板加速器</v>
          </cell>
          <cell r="C450" t="str">
            <v>件</v>
          </cell>
          <cell r="D450">
            <v>363.3</v>
          </cell>
          <cell r="E450">
            <v>50.46</v>
          </cell>
        </row>
        <row r="451">
          <cell r="A451" t="str">
            <v>F0203007008</v>
          </cell>
          <cell r="B451" t="str">
            <v>制动软管/L510 一头直一头L</v>
          </cell>
          <cell r="C451" t="str">
            <v>根</v>
          </cell>
          <cell r="D451">
            <v>16.07</v>
          </cell>
          <cell r="E451">
            <v>2.23</v>
          </cell>
        </row>
        <row r="452">
          <cell r="A452" t="str">
            <v>F0102073024</v>
          </cell>
          <cell r="B452" t="str">
            <v>前立柱胶塞 左</v>
          </cell>
          <cell r="C452" t="str">
            <v>只</v>
          </cell>
          <cell r="D452">
            <v>1.75</v>
          </cell>
          <cell r="E452">
            <v>0.24</v>
          </cell>
        </row>
        <row r="453">
          <cell r="A453" t="str">
            <v>F0102073025</v>
          </cell>
          <cell r="B453" t="str">
            <v>前立柱胶塞 右</v>
          </cell>
          <cell r="C453" t="str">
            <v>只</v>
          </cell>
          <cell r="D453">
            <v>1.75</v>
          </cell>
          <cell r="E453">
            <v>0.24</v>
          </cell>
        </row>
        <row r="454">
          <cell r="A454" t="str">
            <v>F0103099060</v>
          </cell>
          <cell r="B454" t="str">
            <v>雨伞/毒液</v>
          </cell>
          <cell r="C454" t="str">
            <v>把</v>
          </cell>
          <cell r="D454">
            <v>47.97</v>
          </cell>
          <cell r="E454">
            <v>6.66</v>
          </cell>
        </row>
        <row r="455">
          <cell r="A455" t="str">
            <v>F0103099061</v>
          </cell>
          <cell r="B455" t="str">
            <v>雨伞护套/毒液</v>
          </cell>
          <cell r="C455" t="str">
            <v>件</v>
          </cell>
          <cell r="D455">
            <v>25.15</v>
          </cell>
          <cell r="E455">
            <v>3.49</v>
          </cell>
        </row>
        <row r="456">
          <cell r="A456" t="str">
            <v>F0203013010</v>
          </cell>
          <cell r="B456" t="str">
            <v>不锈钢卡箍/50-70-9mm宽</v>
          </cell>
          <cell r="C456" t="str">
            <v>件</v>
          </cell>
          <cell r="D456">
            <v>2.42</v>
          </cell>
          <cell r="E456">
            <v>0.34</v>
          </cell>
        </row>
        <row r="457">
          <cell r="A457" t="str">
            <v>F0103099057</v>
          </cell>
          <cell r="B457" t="str">
            <v>塑料重型反弹器黑色</v>
          </cell>
          <cell r="C457" t="str">
            <v>只</v>
          </cell>
          <cell r="D457">
            <v>8.15</v>
          </cell>
          <cell r="E457">
            <v>1.13</v>
          </cell>
        </row>
        <row r="458">
          <cell r="A458" t="str">
            <v>F0103027105</v>
          </cell>
          <cell r="B458" t="str">
            <v>4座D款成型地板革/毒液</v>
          </cell>
          <cell r="C458" t="str">
            <v>片</v>
          </cell>
          <cell r="D458">
            <v>326.04</v>
          </cell>
          <cell r="E458">
            <v>45.28</v>
          </cell>
        </row>
        <row r="459">
          <cell r="A459" t="str">
            <v>F0103038001</v>
          </cell>
          <cell r="B459" t="str">
            <v>尼龙衬套1</v>
          </cell>
          <cell r="C459" t="str">
            <v>件</v>
          </cell>
          <cell r="D459">
            <v>1.86</v>
          </cell>
          <cell r="E459">
            <v>0.26</v>
          </cell>
        </row>
        <row r="460">
          <cell r="A460" t="str">
            <v>F0103038002</v>
          </cell>
          <cell r="B460" t="str">
            <v>尼龙衬套2</v>
          </cell>
          <cell r="C460" t="str">
            <v>件</v>
          </cell>
          <cell r="D460">
            <v>1.63</v>
          </cell>
          <cell r="E460">
            <v>0.23</v>
          </cell>
        </row>
        <row r="461">
          <cell r="A461" t="str">
            <v>F0103038003</v>
          </cell>
          <cell r="B461" t="str">
            <v>尼龙衬套3</v>
          </cell>
          <cell r="C461" t="str">
            <v>件</v>
          </cell>
          <cell r="D461">
            <v>1.51</v>
          </cell>
          <cell r="E461">
            <v>0.21</v>
          </cell>
        </row>
        <row r="462">
          <cell r="A462" t="str">
            <v>F0103009044</v>
          </cell>
          <cell r="B462" t="str">
            <v>合页前挡玻璃上片</v>
          </cell>
          <cell r="C462" t="str">
            <v>件</v>
          </cell>
          <cell r="D462">
            <v>114.11</v>
          </cell>
          <cell r="E462">
            <v>15.85</v>
          </cell>
        </row>
        <row r="463">
          <cell r="A463" t="str">
            <v>F0103009045</v>
          </cell>
          <cell r="B463" t="str">
            <v>合页前挡玻璃下片</v>
          </cell>
          <cell r="C463" t="str">
            <v>件</v>
          </cell>
          <cell r="D463">
            <v>154.87</v>
          </cell>
          <cell r="E463">
            <v>21.51</v>
          </cell>
        </row>
        <row r="464">
          <cell r="A464" t="str">
            <v>F0103009039</v>
          </cell>
          <cell r="B464" t="str">
            <v>合页铰链1左</v>
          </cell>
          <cell r="C464" t="str">
            <v>件</v>
          </cell>
          <cell r="D464">
            <v>2.69</v>
          </cell>
          <cell r="E464">
            <v>0.37</v>
          </cell>
        </row>
        <row r="465">
          <cell r="A465" t="str">
            <v>F0103009040</v>
          </cell>
          <cell r="B465" t="str">
            <v>合页铰链2左</v>
          </cell>
          <cell r="C465" t="str">
            <v>件</v>
          </cell>
          <cell r="D465">
            <v>2.22</v>
          </cell>
          <cell r="E465">
            <v>0.31</v>
          </cell>
        </row>
        <row r="466">
          <cell r="A466" t="str">
            <v>F0103009041</v>
          </cell>
          <cell r="B466" t="str">
            <v>合页铰链1右</v>
          </cell>
          <cell r="C466" t="str">
            <v>件</v>
          </cell>
          <cell r="D466">
            <v>2.69</v>
          </cell>
          <cell r="E466">
            <v>0.37</v>
          </cell>
        </row>
        <row r="467">
          <cell r="A467" t="str">
            <v>F0103009042</v>
          </cell>
          <cell r="B467" t="str">
            <v>合页铰链2右</v>
          </cell>
          <cell r="C467" t="str">
            <v>件</v>
          </cell>
          <cell r="D467">
            <v>2.22</v>
          </cell>
          <cell r="E467">
            <v>0.31</v>
          </cell>
        </row>
        <row r="468">
          <cell r="A468" t="str">
            <v>F0103009043</v>
          </cell>
          <cell r="B468" t="str">
            <v>玻璃合页销轴</v>
          </cell>
          <cell r="C468" t="str">
            <v>件</v>
          </cell>
          <cell r="D468">
            <v>0.42</v>
          </cell>
          <cell r="E468">
            <v>0.06</v>
          </cell>
        </row>
        <row r="469">
          <cell r="A469" t="str">
            <v>F0102081037</v>
          </cell>
          <cell r="B469" t="str">
            <v>长排翻转合页总成</v>
          </cell>
          <cell r="C469" t="str">
            <v>套</v>
          </cell>
          <cell r="D469">
            <v>64.97</v>
          </cell>
          <cell r="E469">
            <v>9.02</v>
          </cell>
        </row>
        <row r="470">
          <cell r="A470" t="str">
            <v>F0103017037</v>
          </cell>
          <cell r="B470" t="str">
            <v>左后视镜/带转向灯</v>
          </cell>
          <cell r="C470" t="str">
            <v>只</v>
          </cell>
          <cell r="D470">
            <v>33.77</v>
          </cell>
          <cell r="E470">
            <v>4.69</v>
          </cell>
        </row>
        <row r="471">
          <cell r="A471" t="str">
            <v>F0103017038</v>
          </cell>
          <cell r="B471" t="str">
            <v>右后视镜/带转向灯</v>
          </cell>
          <cell r="C471" t="str">
            <v>只</v>
          </cell>
          <cell r="D471">
            <v>33.77</v>
          </cell>
          <cell r="E471">
            <v>4.69</v>
          </cell>
        </row>
        <row r="472">
          <cell r="A472" t="str">
            <v>F0103054002</v>
          </cell>
          <cell r="B472" t="str">
            <v>二合一水杯架（可拆卸）</v>
          </cell>
          <cell r="C472" t="str">
            <v>件</v>
          </cell>
          <cell r="D472">
            <v>25.62</v>
          </cell>
          <cell r="E472">
            <v>3.56</v>
          </cell>
        </row>
        <row r="473">
          <cell r="A473" t="str">
            <v>F0199002030</v>
          </cell>
          <cell r="B473" t="str">
            <v>点火锁钥匙Logo</v>
          </cell>
          <cell r="C473" t="str">
            <v>件</v>
          </cell>
          <cell r="D473">
            <v>0.12</v>
          </cell>
          <cell r="E473">
            <v>0.02</v>
          </cell>
        </row>
        <row r="474">
          <cell r="A474" t="str">
            <v>F0199002029</v>
          </cell>
          <cell r="B474" t="str">
            <v>方向盘Logo</v>
          </cell>
          <cell r="C474" t="str">
            <v>件</v>
          </cell>
          <cell r="D474">
            <v>0.44</v>
          </cell>
          <cell r="E474">
            <v>0.06</v>
          </cell>
        </row>
        <row r="475">
          <cell r="A475" t="str">
            <v>F0199002033</v>
          </cell>
          <cell r="B475" t="str">
            <v>VENOM-EV前标</v>
          </cell>
          <cell r="C475" t="str">
            <v>件</v>
          </cell>
          <cell r="D475">
            <v>9.66</v>
          </cell>
          <cell r="E475">
            <v>1.34</v>
          </cell>
        </row>
        <row r="476">
          <cell r="A476" t="str">
            <v>F0199002037</v>
          </cell>
          <cell r="B476" t="str">
            <v>蛇头侧标</v>
          </cell>
          <cell r="C476" t="str">
            <v>件</v>
          </cell>
          <cell r="D476">
            <v>2.33</v>
          </cell>
          <cell r="E476">
            <v>0.32</v>
          </cell>
        </row>
        <row r="477">
          <cell r="A477" t="str">
            <v>F0199002031</v>
          </cell>
          <cell r="B477" t="str">
            <v>铝牌《丝印，开孔)</v>
          </cell>
          <cell r="C477" t="str">
            <v>块</v>
          </cell>
          <cell r="D477">
            <v>5.59</v>
          </cell>
          <cell r="E477">
            <v>0.78</v>
          </cell>
        </row>
        <row r="478">
          <cell r="A478" t="str">
            <v>F0103016007</v>
          </cell>
          <cell r="B478" t="str">
            <v>凸面内视镜</v>
          </cell>
          <cell r="C478" t="str">
            <v>件</v>
          </cell>
          <cell r="D478">
            <v>38.43</v>
          </cell>
          <cell r="E478">
            <v>5.34</v>
          </cell>
        </row>
        <row r="479">
          <cell r="A479" t="str">
            <v>F0302002067</v>
          </cell>
          <cell r="B479" t="str">
            <v>交流电机5KW/48V/19齿/圆法兰</v>
          </cell>
          <cell r="C479" t="str">
            <v>件</v>
          </cell>
          <cell r="D479">
            <v>1513.74</v>
          </cell>
          <cell r="E479">
            <v>210.24</v>
          </cell>
        </row>
        <row r="480">
          <cell r="A480" t="str">
            <v>F0302012123</v>
          </cell>
          <cell r="B480" t="str">
            <v>锂电电控/打猎车/锂电池/CAN/新版</v>
          </cell>
          <cell r="C480" t="str">
            <v>件</v>
          </cell>
          <cell r="D480">
            <v>1397.3</v>
          </cell>
          <cell r="E480">
            <v>194.07</v>
          </cell>
        </row>
        <row r="481">
          <cell r="A481" t="str">
            <v>F0301014026</v>
          </cell>
          <cell r="B481" t="str">
            <v>防水充电插座带线总成/0.8米</v>
          </cell>
          <cell r="C481" t="str">
            <v>件</v>
          </cell>
          <cell r="D481">
            <v>36.1</v>
          </cell>
          <cell r="E481">
            <v>5.01</v>
          </cell>
        </row>
        <row r="482">
          <cell r="A482" t="str">
            <v>F0301014027</v>
          </cell>
          <cell r="B482" t="str">
            <v>防水充电插头带线总成/2.5米</v>
          </cell>
          <cell r="C482" t="str">
            <v>件</v>
          </cell>
          <cell r="D482">
            <v>47.74</v>
          </cell>
          <cell r="E482">
            <v>6.63</v>
          </cell>
        </row>
        <row r="483">
          <cell r="A483" t="str">
            <v>F0308001043</v>
          </cell>
          <cell r="B483" t="str">
            <v>左前大灯总成</v>
          </cell>
          <cell r="C483" t="str">
            <v>件</v>
          </cell>
          <cell r="D483">
            <v>153.7</v>
          </cell>
          <cell r="E483">
            <v>21.35</v>
          </cell>
        </row>
        <row r="484">
          <cell r="A484" t="str">
            <v>F0308001044</v>
          </cell>
          <cell r="B484" t="str">
            <v>右前大灯总成</v>
          </cell>
          <cell r="C484" t="str">
            <v>件</v>
          </cell>
          <cell r="D484">
            <v>153.7</v>
          </cell>
          <cell r="E484">
            <v>21.35</v>
          </cell>
        </row>
        <row r="485">
          <cell r="A485" t="str">
            <v>F0308009016</v>
          </cell>
          <cell r="B485" t="str">
            <v>贯穿灯</v>
          </cell>
          <cell r="C485" t="str">
            <v>件</v>
          </cell>
          <cell r="D485">
            <v>76.85</v>
          </cell>
          <cell r="E485">
            <v>10.67</v>
          </cell>
        </row>
        <row r="486">
          <cell r="A486" t="str">
            <v>F0309001112</v>
          </cell>
          <cell r="B486" t="str">
            <v>组合开关/单柄/带转向回位</v>
          </cell>
          <cell r="C486" t="str">
            <v>件</v>
          </cell>
          <cell r="D486">
            <v>33.77</v>
          </cell>
          <cell r="E486">
            <v>4.69</v>
          </cell>
        </row>
        <row r="487">
          <cell r="A487" t="str">
            <v>F0304004046</v>
          </cell>
          <cell r="B487" t="str">
            <v>DC转换器/非隔离48V转13V300W</v>
          </cell>
          <cell r="C487" t="str">
            <v>件</v>
          </cell>
          <cell r="D487">
            <v>128.09</v>
          </cell>
          <cell r="E487">
            <v>17.79</v>
          </cell>
        </row>
        <row r="488">
          <cell r="A488" t="str">
            <v>F0307003030</v>
          </cell>
          <cell r="B488" t="str">
            <v>6*8寸超薄有源低音炮</v>
          </cell>
          <cell r="C488" t="str">
            <v>件</v>
          </cell>
          <cell r="D488">
            <v>317.3</v>
          </cell>
          <cell r="E488">
            <v>44.07</v>
          </cell>
        </row>
        <row r="489">
          <cell r="A489" t="str">
            <v>F0307003031</v>
          </cell>
          <cell r="B489" t="str">
            <v>6*8寸超薄有源低音炮音频线</v>
          </cell>
          <cell r="C489" t="str">
            <v>件</v>
          </cell>
          <cell r="D489">
            <v>5.82</v>
          </cell>
          <cell r="E489">
            <v>0.81</v>
          </cell>
        </row>
        <row r="490">
          <cell r="A490" t="str">
            <v>F0309004004</v>
          </cell>
          <cell r="B490" t="str">
            <v>按钮开关（双闪）/含插件</v>
          </cell>
          <cell r="C490" t="str">
            <v>件</v>
          </cell>
          <cell r="D490">
            <v>31.44</v>
          </cell>
          <cell r="E490">
            <v>4.37</v>
          </cell>
        </row>
        <row r="491">
          <cell r="A491" t="str">
            <v>F0307001044</v>
          </cell>
          <cell r="B491" t="str">
            <v>10.1寸多功能仪表中控屏/带电池</v>
          </cell>
          <cell r="C491" t="str">
            <v>件</v>
          </cell>
          <cell r="D491">
            <v>812.76</v>
          </cell>
          <cell r="E491">
            <v>112.88</v>
          </cell>
        </row>
        <row r="492">
          <cell r="A492" t="str">
            <v>F0308035012</v>
          </cell>
          <cell r="B492" t="str">
            <v>整车氛围灯总成（不含喇叭罩电镀件、导光件和座椅靠背灯）4+2座球车（毒液专供）</v>
          </cell>
          <cell r="C492" t="str">
            <v>套</v>
          </cell>
          <cell r="D492">
            <v>640.43</v>
          </cell>
          <cell r="E492">
            <v>88.95</v>
          </cell>
        </row>
        <row r="493">
          <cell r="A493" t="str">
            <v>F0308035007</v>
          </cell>
          <cell r="B493" t="str">
            <v>座椅靠背氛围灯灯条</v>
          </cell>
          <cell r="C493" t="str">
            <v>件</v>
          </cell>
          <cell r="D493">
            <v>40.75</v>
          </cell>
          <cell r="E493">
            <v>5.66</v>
          </cell>
        </row>
        <row r="494">
          <cell r="A494" t="str">
            <v>F0307004007</v>
          </cell>
          <cell r="B494" t="str">
            <v>扬声器网罩/带氛围灯</v>
          </cell>
          <cell r="C494" t="str">
            <v>件</v>
          </cell>
          <cell r="D494">
            <v>40.75</v>
          </cell>
          <cell r="E494">
            <v>5.66</v>
          </cell>
        </row>
        <row r="495">
          <cell r="A495" t="str">
            <v>F0307003018</v>
          </cell>
          <cell r="B495" t="str">
            <v>蜗牛喇叭</v>
          </cell>
          <cell r="C495" t="str">
            <v>件</v>
          </cell>
          <cell r="D495">
            <v>13.97</v>
          </cell>
          <cell r="E495">
            <v>1.94</v>
          </cell>
        </row>
        <row r="496">
          <cell r="A496" t="str">
            <v>F0309002214</v>
          </cell>
          <cell r="B496" t="str">
            <v>一键启动系统总成（支持苹果和安卓NFC)</v>
          </cell>
          <cell r="C496" t="str">
            <v>套</v>
          </cell>
          <cell r="D496">
            <v>200.28</v>
          </cell>
          <cell r="E496">
            <v>27.82</v>
          </cell>
        </row>
        <row r="497">
          <cell r="A497" t="str">
            <v>F0308034003</v>
          </cell>
          <cell r="B497" t="str">
            <v>车载时钟( 黑色全夜光）</v>
          </cell>
          <cell r="C497" t="str">
            <v>只</v>
          </cell>
          <cell r="D497">
            <v>20.96</v>
          </cell>
          <cell r="E497">
            <v>2.91</v>
          </cell>
        </row>
        <row r="498">
          <cell r="A498" t="str">
            <v>F0308011003</v>
          </cell>
          <cell r="B498" t="str">
            <v>后牌照灯</v>
          </cell>
          <cell r="C498" t="str">
            <v>件</v>
          </cell>
          <cell r="D498">
            <v>22.71</v>
          </cell>
          <cell r="E498">
            <v>3.15</v>
          </cell>
        </row>
        <row r="499">
          <cell r="A499" t="str">
            <v>F0307007006</v>
          </cell>
          <cell r="B499" t="str">
            <v>声霸音频线</v>
          </cell>
          <cell r="C499" t="str">
            <v>件</v>
          </cell>
          <cell r="D499">
            <v>32.6</v>
          </cell>
          <cell r="E499">
            <v>4.53</v>
          </cell>
        </row>
        <row r="500">
          <cell r="A500" t="str">
            <v>Y0403057</v>
          </cell>
          <cell r="B500" t="str">
            <v>护线圈 1</v>
          </cell>
          <cell r="C500" t="str">
            <v>件</v>
          </cell>
          <cell r="D500">
            <v>1.02</v>
          </cell>
          <cell r="E500">
            <v>0.14</v>
          </cell>
        </row>
        <row r="501">
          <cell r="A501" t="str">
            <v>Y0302002003</v>
          </cell>
          <cell r="B501" t="str">
            <v>波纹管(塑料PAAD10)</v>
          </cell>
          <cell r="C501" t="str">
            <v>M</v>
          </cell>
          <cell r="D501">
            <v>0.67</v>
          </cell>
          <cell r="E501">
            <v>0.09</v>
          </cell>
        </row>
        <row r="502">
          <cell r="A502" t="str">
            <v>F2119000010</v>
          </cell>
          <cell r="B502" t="str">
            <v>螺旋扎带</v>
          </cell>
          <cell r="C502" t="str">
            <v>根</v>
          </cell>
          <cell r="D502">
            <v>0.29</v>
          </cell>
          <cell r="E502">
            <v>0.04</v>
          </cell>
        </row>
        <row r="503">
          <cell r="A503" t="str">
            <v>F0307007015</v>
          </cell>
          <cell r="B503" t="str">
            <v>音频线（1RCA公转2RCA母）</v>
          </cell>
          <cell r="C503" t="str">
            <v>件</v>
          </cell>
          <cell r="D503">
            <v>19.33</v>
          </cell>
          <cell r="E503">
            <v>2.68</v>
          </cell>
        </row>
        <row r="504">
          <cell r="A504" t="str">
            <v>F0103014327</v>
          </cell>
          <cell r="B504" t="str">
            <v>豪华靠背</v>
          </cell>
          <cell r="C504" t="str">
            <v>件</v>
          </cell>
          <cell r="D504">
            <v>447.79</v>
          </cell>
          <cell r="E504">
            <v>62.19</v>
          </cell>
        </row>
        <row r="505">
          <cell r="A505" t="str">
            <v>F0103014328</v>
          </cell>
          <cell r="B505" t="str">
            <v>豪华靠背</v>
          </cell>
          <cell r="C505" t="str">
            <v>件</v>
          </cell>
          <cell r="D505">
            <v>376.99</v>
          </cell>
          <cell r="E505">
            <v>52.36</v>
          </cell>
        </row>
        <row r="506">
          <cell r="A506" t="str">
            <v>F0103014326</v>
          </cell>
          <cell r="B506" t="str">
            <v>豪华坐垫</v>
          </cell>
          <cell r="C506" t="str">
            <v>件</v>
          </cell>
          <cell r="D506">
            <v>224.78</v>
          </cell>
          <cell r="E506">
            <v>31.22</v>
          </cell>
        </row>
        <row r="507">
          <cell r="A507" t="str">
            <v>F0103014325</v>
          </cell>
          <cell r="B507" t="str">
            <v>豪华中桶坐垫</v>
          </cell>
          <cell r="C507" t="str">
            <v>件</v>
          </cell>
          <cell r="D507">
            <v>219.47</v>
          </cell>
          <cell r="E507">
            <v>30.48</v>
          </cell>
        </row>
        <row r="508">
          <cell r="A508" t="str">
            <v>F0103014324</v>
          </cell>
          <cell r="B508" t="str">
            <v>豪华翻转坐垫</v>
          </cell>
          <cell r="C508" t="str">
            <v>件</v>
          </cell>
          <cell r="D508">
            <v>191.15</v>
          </cell>
          <cell r="E508">
            <v>26.55</v>
          </cell>
        </row>
        <row r="509">
          <cell r="A509" t="str">
            <v>F0304001449</v>
          </cell>
          <cell r="B509" t="str">
            <v>低音炮转接线</v>
          </cell>
          <cell r="C509" t="str">
            <v>件</v>
          </cell>
          <cell r="D509">
            <v>15.41</v>
          </cell>
          <cell r="E509">
            <v>2.14</v>
          </cell>
        </row>
        <row r="510">
          <cell r="A510" t="str">
            <v>F0304001556</v>
          </cell>
          <cell r="B510" t="str">
            <v>WH2045K   4座球车ECO锂电线束(含闪光器）</v>
          </cell>
          <cell r="C510" t="str">
            <v>套</v>
          </cell>
          <cell r="D510">
            <v>467.52</v>
          </cell>
          <cell r="E510">
            <v>64.93</v>
          </cell>
        </row>
        <row r="511">
          <cell r="A511" t="str">
            <v>F0304002198</v>
          </cell>
          <cell r="B511" t="str">
            <v>动力线总成(适配赣锋锂电）</v>
          </cell>
          <cell r="C511" t="str">
            <v>套</v>
          </cell>
          <cell r="D511">
            <v>163.46</v>
          </cell>
          <cell r="E511">
            <v>22.7</v>
          </cell>
        </row>
        <row r="512">
          <cell r="A512" t="str">
            <v>F0304001444</v>
          </cell>
          <cell r="B512" t="str">
            <v>氛围灯线束</v>
          </cell>
          <cell r="C512" t="str">
            <v>套</v>
          </cell>
          <cell r="D512">
            <v>16.19</v>
          </cell>
          <cell r="E512">
            <v>2.25</v>
          </cell>
        </row>
        <row r="513">
          <cell r="A513" t="str">
            <v>F0102077050</v>
          </cell>
          <cell r="B513" t="str">
            <v>2座牌照灯支架</v>
          </cell>
          <cell r="C513">
            <v>0</v>
          </cell>
          <cell r="D513">
            <v>22.1238938053097</v>
          </cell>
          <cell r="E513">
            <v>3.07</v>
          </cell>
        </row>
        <row r="514">
          <cell r="A514" t="str">
            <v>F0102045050</v>
          </cell>
          <cell r="B514" t="str">
            <v>靠背支架2029-傲威</v>
          </cell>
          <cell r="C514">
            <v>0</v>
          </cell>
          <cell r="D514">
            <v>51.9336283185841</v>
          </cell>
          <cell r="E514">
            <v>7.21</v>
          </cell>
        </row>
        <row r="515">
          <cell r="A515" t="str">
            <v>F0102045051</v>
          </cell>
          <cell r="B515" t="str">
            <v>电池框</v>
          </cell>
          <cell r="C515">
            <v>0</v>
          </cell>
          <cell r="D515">
            <v>65.0442477876106</v>
          </cell>
          <cell r="E515">
            <v>9.03</v>
          </cell>
        </row>
        <row r="516">
          <cell r="A516" t="str">
            <v>F0102045077</v>
          </cell>
          <cell r="B516" t="str">
            <v>后踏板支架1</v>
          </cell>
          <cell r="C516">
            <v>0</v>
          </cell>
          <cell r="D516">
            <v>54.3769911504425</v>
          </cell>
          <cell r="E516">
            <v>7.55</v>
          </cell>
        </row>
        <row r="517">
          <cell r="A517" t="str">
            <v>F0102045078</v>
          </cell>
          <cell r="B517" t="str">
            <v>后踏板支架2</v>
          </cell>
          <cell r="C517">
            <v>0</v>
          </cell>
          <cell r="D517">
            <v>42.3741592920354</v>
          </cell>
          <cell r="E517">
            <v>5.89</v>
          </cell>
        </row>
        <row r="518">
          <cell r="A518" t="str">
            <v>F0102045107</v>
          </cell>
          <cell r="B518" t="str">
            <v>后座框后连接支架/后移</v>
          </cell>
          <cell r="C518">
            <v>0</v>
          </cell>
          <cell r="D518">
            <v>52.5575221238938</v>
          </cell>
          <cell r="E518">
            <v>7.3</v>
          </cell>
        </row>
        <row r="519">
          <cell r="A519" t="str">
            <v>F0102045108</v>
          </cell>
          <cell r="B519" t="str">
            <v>后扶手/后移70</v>
          </cell>
          <cell r="C519">
            <v>0</v>
          </cell>
          <cell r="D519">
            <v>48.3929203539823</v>
          </cell>
          <cell r="E519">
            <v>6.72</v>
          </cell>
        </row>
        <row r="520">
          <cell r="A520" t="str">
            <v>F0102078007</v>
          </cell>
          <cell r="B520" t="str">
            <v>前保险杠/Y款</v>
          </cell>
          <cell r="C520">
            <v>0</v>
          </cell>
          <cell r="D520">
            <v>146.309734513274</v>
          </cell>
          <cell r="E520">
            <v>20.32</v>
          </cell>
        </row>
        <row r="521">
          <cell r="A521" t="str">
            <v>F0102076021</v>
          </cell>
          <cell r="B521" t="str">
            <v>前站板</v>
          </cell>
          <cell r="C521">
            <v>0</v>
          </cell>
          <cell r="D521">
            <v>14.6017699115044</v>
          </cell>
          <cell r="E521">
            <v>2.03</v>
          </cell>
        </row>
        <row r="522">
          <cell r="A522" t="str">
            <v>F0102078005</v>
          </cell>
          <cell r="B522" t="str">
            <v>塑料前保支架 左</v>
          </cell>
          <cell r="C522">
            <v>0</v>
          </cell>
          <cell r="D522">
            <v>2.20353982300885</v>
          </cell>
          <cell r="E522">
            <v>0.31</v>
          </cell>
        </row>
        <row r="523">
          <cell r="A523" t="str">
            <v>F0102078006</v>
          </cell>
          <cell r="B523" t="str">
            <v>塑料前保支架 右</v>
          </cell>
          <cell r="C523">
            <v>0</v>
          </cell>
          <cell r="D523">
            <v>2.20353982300885</v>
          </cell>
          <cell r="E523">
            <v>0.31</v>
          </cell>
        </row>
        <row r="524">
          <cell r="A524" t="str">
            <v>F0102047038</v>
          </cell>
          <cell r="B524" t="str">
            <v>顶棚U形骨架</v>
          </cell>
          <cell r="C524">
            <v>0</v>
          </cell>
          <cell r="D524">
            <v>62.6637168141593</v>
          </cell>
          <cell r="E524">
            <v>8.7</v>
          </cell>
        </row>
        <row r="525">
          <cell r="A525" t="str">
            <v>F0102047055</v>
          </cell>
          <cell r="B525" t="str">
            <v>顶棚前支架（下降140、配前置物篮）</v>
          </cell>
          <cell r="C525">
            <v>0</v>
          </cell>
          <cell r="D525">
            <v>31.5550442477876</v>
          </cell>
          <cell r="E525">
            <v>4.38</v>
          </cell>
        </row>
        <row r="526">
          <cell r="A526" t="str">
            <v>F0102047039</v>
          </cell>
          <cell r="B526" t="str">
            <v>顶棚后支架/降低</v>
          </cell>
          <cell r="C526">
            <v>0</v>
          </cell>
          <cell r="D526">
            <v>11.5026548672566</v>
          </cell>
          <cell r="E526">
            <v>1.6</v>
          </cell>
        </row>
        <row r="527">
          <cell r="A527" t="str">
            <v>F0102045105</v>
          </cell>
          <cell r="B527" t="str">
            <v>后座框前连接支架/后移</v>
          </cell>
          <cell r="C527">
            <v>0</v>
          </cell>
          <cell r="D527">
            <v>11.7079646017699</v>
          </cell>
          <cell r="E527">
            <v>1.63</v>
          </cell>
        </row>
        <row r="528">
          <cell r="A528" t="str">
            <v>F0102045071</v>
          </cell>
          <cell r="B528" t="str">
            <v>后座框前横梁支架</v>
          </cell>
          <cell r="C528">
            <v>0</v>
          </cell>
          <cell r="D528">
            <v>17.8548672566372</v>
          </cell>
          <cell r="E528">
            <v>2.48</v>
          </cell>
        </row>
        <row r="529">
          <cell r="A529" t="str">
            <v>F0102045106</v>
          </cell>
          <cell r="B529" t="str">
            <v>后座框后横梁支架/后移</v>
          </cell>
          <cell r="C529">
            <v>0</v>
          </cell>
          <cell r="D529">
            <v>12.2752212389381</v>
          </cell>
          <cell r="E529">
            <v>1.7</v>
          </cell>
        </row>
        <row r="530">
          <cell r="A530" t="str">
            <v>F0102078008</v>
          </cell>
          <cell r="B530" t="str">
            <v>翻转座椅加强骨架</v>
          </cell>
          <cell r="C530">
            <v>0</v>
          </cell>
          <cell r="D530">
            <v>29.6902654867257</v>
          </cell>
          <cell r="E530">
            <v>4.12</v>
          </cell>
        </row>
        <row r="531">
          <cell r="A531" t="str">
            <v>F0102078009</v>
          </cell>
          <cell r="B531" t="str">
            <v>加强翻转支架（左）</v>
          </cell>
          <cell r="C531">
            <v>0</v>
          </cell>
          <cell r="D531">
            <v>6.90265486725664</v>
          </cell>
          <cell r="E531">
            <v>0.96</v>
          </cell>
        </row>
        <row r="532">
          <cell r="A532" t="str">
            <v>F0102078010</v>
          </cell>
          <cell r="B532" t="str">
            <v>加强翻转支架（右）</v>
          </cell>
          <cell r="C532">
            <v>0</v>
          </cell>
          <cell r="D532">
            <v>6.90265486725664</v>
          </cell>
          <cell r="E532">
            <v>0.96</v>
          </cell>
        </row>
        <row r="533">
          <cell r="A533" t="str">
            <v>F0102073017</v>
          </cell>
          <cell r="B533" t="str">
            <v>后摄像头支架/小草帽</v>
          </cell>
          <cell r="C533">
            <v>0</v>
          </cell>
          <cell r="D533">
            <v>2.74336283185841</v>
          </cell>
          <cell r="E533">
            <v>0.38</v>
          </cell>
        </row>
        <row r="534">
          <cell r="A534" t="str">
            <v>F0102047089</v>
          </cell>
          <cell r="B534" t="str">
            <v>4座踏板支架</v>
          </cell>
          <cell r="C534">
            <v>0</v>
          </cell>
          <cell r="D534">
            <v>18.8495575221239</v>
          </cell>
          <cell r="E534">
            <v>2.62</v>
          </cell>
        </row>
        <row r="535">
          <cell r="A535" t="str">
            <v>F0102078011</v>
          </cell>
          <cell r="B535" t="str">
            <v>UL充电机支架</v>
          </cell>
          <cell r="C535">
            <v>0</v>
          </cell>
          <cell r="D535">
            <v>11.9469026548673</v>
          </cell>
          <cell r="E535">
            <v>1.66</v>
          </cell>
        </row>
        <row r="536">
          <cell r="A536" t="str">
            <v>Y031501302</v>
          </cell>
          <cell r="B536" t="str">
            <v>接插件PP0450104</v>
          </cell>
          <cell r="C536" t="str">
            <v>件</v>
          </cell>
          <cell r="D536">
            <v>1.48035398230088</v>
          </cell>
          <cell r="E536">
            <v>0.21</v>
          </cell>
        </row>
        <row r="537">
          <cell r="A537" t="str">
            <v>Y031501304</v>
          </cell>
          <cell r="B537" t="str">
            <v>端子PP0125201</v>
          </cell>
          <cell r="C537" t="str">
            <v>件</v>
          </cell>
          <cell r="D537">
            <v>0.117345132743363</v>
          </cell>
          <cell r="E537">
            <v>0.02</v>
          </cell>
        </row>
        <row r="538">
          <cell r="A538" t="str">
            <v>Y031501274</v>
          </cell>
          <cell r="B538" t="str">
            <v>DJ7103A-2.2-21/接插件PP0448004</v>
          </cell>
          <cell r="C538" t="str">
            <v>件</v>
          </cell>
          <cell r="D538">
            <v>1.83238938053097</v>
          </cell>
          <cell r="E538">
            <v>0.25</v>
          </cell>
        </row>
        <row r="539">
          <cell r="A539" t="str">
            <v>Y031501275</v>
          </cell>
          <cell r="B539" t="str">
            <v>卡子PP0448002</v>
          </cell>
          <cell r="C539" t="str">
            <v>件</v>
          </cell>
          <cell r="D539">
            <v>0.279823008849558</v>
          </cell>
          <cell r="E539">
            <v>0.04</v>
          </cell>
        </row>
        <row r="540">
          <cell r="A540" t="str">
            <v>Y031501333</v>
          </cell>
          <cell r="B540" t="str">
            <v>烟斗护套（红） 2.5²</v>
          </cell>
          <cell r="C540" t="str">
            <v>件</v>
          </cell>
          <cell r="D540">
            <v>2.04902654867257</v>
          </cell>
          <cell r="E540">
            <v>0.28</v>
          </cell>
        </row>
        <row r="541">
          <cell r="A541" t="str">
            <v>Y031501334</v>
          </cell>
          <cell r="B541" t="str">
            <v>烟斗护套（黑）  2.5²</v>
          </cell>
          <cell r="C541" t="str">
            <v>件</v>
          </cell>
          <cell r="D541">
            <v>2.04902654867257</v>
          </cell>
          <cell r="E541">
            <v>0.28</v>
          </cell>
        </row>
        <row r="542">
          <cell r="A542" t="str">
            <v>Y031501343</v>
          </cell>
          <cell r="B542" t="str">
            <v>DJ70310-6.3-21</v>
          </cell>
          <cell r="C542" t="str">
            <v>件</v>
          </cell>
          <cell r="D542">
            <v>2.79823008849558</v>
          </cell>
          <cell r="E542">
            <v>0.39</v>
          </cell>
        </row>
        <row r="543">
          <cell r="A543" t="str">
            <v>Y031501342</v>
          </cell>
          <cell r="B543" t="str">
            <v>DJ6212-E6.3B/端子PP0106902</v>
          </cell>
          <cell r="C543" t="str">
            <v>件</v>
          </cell>
          <cell r="D543">
            <v>0.189557522123894</v>
          </cell>
          <cell r="E543">
            <v>0.03</v>
          </cell>
        </row>
        <row r="544">
          <cell r="A544" t="str">
            <v>Y031501152</v>
          </cell>
          <cell r="B544" t="str">
            <v>DJ7021Y-8-11</v>
          </cell>
          <cell r="C544" t="str">
            <v>件</v>
          </cell>
          <cell r="D544">
            <v>2.88849557522124</v>
          </cell>
          <cell r="E544">
            <v>0.4</v>
          </cell>
        </row>
        <row r="545">
          <cell r="A545" t="str">
            <v>Y031501344</v>
          </cell>
          <cell r="B545" t="str">
            <v>DJ611-7.8B  市场件</v>
          </cell>
          <cell r="C545" t="str">
            <v>件</v>
          </cell>
          <cell r="D545">
            <v>0.225663716814159</v>
          </cell>
          <cell r="E545">
            <v>0.03</v>
          </cell>
        </row>
        <row r="546">
          <cell r="A546" t="str">
            <v>Y0315010102</v>
          </cell>
          <cell r="B546" t="str">
            <v>接插件</v>
          </cell>
          <cell r="C546" t="str">
            <v>只</v>
          </cell>
          <cell r="D546">
            <v>0.0451327433628319</v>
          </cell>
          <cell r="E546">
            <v>0.01</v>
          </cell>
        </row>
        <row r="547">
          <cell r="A547" t="str">
            <v>Y0315010080</v>
          </cell>
          <cell r="B547" t="str">
            <v>端子（THB）</v>
          </cell>
          <cell r="C547" t="str">
            <v>件</v>
          </cell>
          <cell r="D547">
            <v>0.135398230088496</v>
          </cell>
          <cell r="E547">
            <v>0.02</v>
          </cell>
        </row>
        <row r="548">
          <cell r="A548" t="str">
            <v>Y0315010049</v>
          </cell>
          <cell r="B548" t="str">
            <v>端子（THB）</v>
          </cell>
          <cell r="C548" t="str">
            <v>件</v>
          </cell>
          <cell r="D548">
            <v>0.135398230088496</v>
          </cell>
          <cell r="E548">
            <v>0.02</v>
          </cell>
        </row>
        <row r="549">
          <cell r="A549" t="str">
            <v>Y031501303</v>
          </cell>
          <cell r="B549" t="str">
            <v>接插件PP0450003</v>
          </cell>
          <cell r="C549" t="str">
            <v>件</v>
          </cell>
          <cell r="D549">
            <v>1.21858407079646</v>
          </cell>
          <cell r="E549">
            <v>0.17</v>
          </cell>
        </row>
        <row r="550">
          <cell r="A550" t="str">
            <v>Y031501340</v>
          </cell>
          <cell r="B550" t="str">
            <v>DJ7014-7.8-11/接插件PP0506301</v>
          </cell>
          <cell r="C550" t="str">
            <v>件</v>
          </cell>
          <cell r="D550">
            <v>0.866548672566372</v>
          </cell>
          <cell r="E550">
            <v>0.12</v>
          </cell>
        </row>
        <row r="551">
          <cell r="A551" t="str">
            <v>Y0315010046</v>
          </cell>
          <cell r="B551" t="str">
            <v>端子(THB)</v>
          </cell>
          <cell r="C551" t="str">
            <v>件</v>
          </cell>
          <cell r="D551">
            <v>0.153451327433628</v>
          </cell>
          <cell r="E551">
            <v>0.02</v>
          </cell>
        </row>
        <row r="552">
          <cell r="A552" t="str">
            <v>Y0315011001</v>
          </cell>
          <cell r="B552" t="str">
            <v>绿护套</v>
          </cell>
          <cell r="C552" t="str">
            <v>件</v>
          </cell>
          <cell r="D552">
            <v>0.0451327433628319</v>
          </cell>
          <cell r="E552">
            <v>0.01</v>
          </cell>
        </row>
        <row r="553">
          <cell r="A553" t="str">
            <v>Y0315010118</v>
          </cell>
          <cell r="B553" t="str">
            <v>接插件（THB）</v>
          </cell>
          <cell r="C553" t="str">
            <v>只</v>
          </cell>
          <cell r="D553">
            <v>0.189557522123894</v>
          </cell>
          <cell r="E553">
            <v>0.03</v>
          </cell>
        </row>
        <row r="554">
          <cell r="A554" t="str">
            <v>Y031501261</v>
          </cell>
          <cell r="B554" t="str">
            <v>DJ7041-1.5-21/PP0450705</v>
          </cell>
          <cell r="C554" t="str">
            <v>件</v>
          </cell>
          <cell r="D554">
            <v>1.92265486725664</v>
          </cell>
          <cell r="E554">
            <v>0.27</v>
          </cell>
        </row>
        <row r="555">
          <cell r="A555" t="str">
            <v>Y031501305</v>
          </cell>
          <cell r="B555" t="str">
            <v>端子PP0118101</v>
          </cell>
          <cell r="C555" t="str">
            <v>件</v>
          </cell>
          <cell r="D555">
            <v>0.144424778761062</v>
          </cell>
          <cell r="E555">
            <v>0.02</v>
          </cell>
        </row>
        <row r="556">
          <cell r="A556" t="str">
            <v>Y0315010026</v>
          </cell>
          <cell r="B556" t="str">
            <v>接插件（THB）</v>
          </cell>
          <cell r="C556" t="str">
            <v>件</v>
          </cell>
          <cell r="D556">
            <v>0.243716814159292</v>
          </cell>
          <cell r="E556">
            <v>0.03</v>
          </cell>
        </row>
        <row r="557">
          <cell r="A557" t="str">
            <v>Y031501100</v>
          </cell>
          <cell r="B557" t="str">
            <v>DJ7063-2.3-21</v>
          </cell>
          <cell r="C557" t="str">
            <v>件</v>
          </cell>
          <cell r="D557">
            <v>0.839469026548673</v>
          </cell>
          <cell r="E557">
            <v>0.12</v>
          </cell>
        </row>
        <row r="558">
          <cell r="A558" t="str">
            <v>Y031501101</v>
          </cell>
          <cell r="B558" t="str">
            <v>接插件（THB）PP0434802</v>
          </cell>
          <cell r="C558" t="str">
            <v>件</v>
          </cell>
          <cell r="D558">
            <v>0.29787610619469</v>
          </cell>
          <cell r="E558">
            <v>0.04</v>
          </cell>
        </row>
        <row r="559">
          <cell r="A559" t="str">
            <v>Y031501306</v>
          </cell>
          <cell r="B559" t="str">
            <v>接插件7091Y-2.3-21</v>
          </cell>
          <cell r="C559" t="str">
            <v>件</v>
          </cell>
          <cell r="D559">
            <v>1.48035398230088</v>
          </cell>
          <cell r="E559">
            <v>0.21</v>
          </cell>
        </row>
        <row r="560">
          <cell r="A560" t="str">
            <v>Y031501285</v>
          </cell>
          <cell r="B560" t="str">
            <v>DJ7161Y-2.3-21/接插件PP1513801</v>
          </cell>
          <cell r="C560" t="str">
            <v>件</v>
          </cell>
          <cell r="D560">
            <v>2.08513274336283</v>
          </cell>
          <cell r="E560">
            <v>0.29</v>
          </cell>
        </row>
        <row r="561">
          <cell r="A561" t="str">
            <v>Y031501287</v>
          </cell>
          <cell r="B561" t="str">
            <v>十六孔卡子PP1513804</v>
          </cell>
          <cell r="C561" t="str">
            <v>件</v>
          </cell>
          <cell r="D561">
            <v>0.333982300884956</v>
          </cell>
          <cell r="E561">
            <v>0.05</v>
          </cell>
        </row>
        <row r="562">
          <cell r="A562" t="str">
            <v>Y031501310</v>
          </cell>
          <cell r="B562" t="str">
            <v>端子PP0144906/DJ621-2.3</v>
          </cell>
          <cell r="C562" t="str">
            <v>件</v>
          </cell>
          <cell r="D562">
            <v>0.225663716814159</v>
          </cell>
          <cell r="E562">
            <v>0.03</v>
          </cell>
        </row>
        <row r="563">
          <cell r="A563" t="str">
            <v>Y031501283</v>
          </cell>
          <cell r="B563" t="str">
            <v>DJ621-2.3A/十六孔铜件PP0118002</v>
          </cell>
          <cell r="C563" t="str">
            <v>件</v>
          </cell>
          <cell r="D563">
            <v>0.135398230088496</v>
          </cell>
          <cell r="E563">
            <v>0.02</v>
          </cell>
        </row>
        <row r="564">
          <cell r="A564" t="str">
            <v>Y031501318</v>
          </cell>
          <cell r="B564" t="str">
            <v>DJ7061Y-2.3-11/PP0434701</v>
          </cell>
          <cell r="C564" t="str">
            <v>件</v>
          </cell>
          <cell r="D564">
            <v>0.442300884955752</v>
          </cell>
          <cell r="E564">
            <v>0.06</v>
          </cell>
        </row>
        <row r="565">
          <cell r="A565" t="str">
            <v>Y031501319</v>
          </cell>
          <cell r="B565" t="str">
            <v>卡子PP0434702</v>
          </cell>
          <cell r="C565" t="str">
            <v>件</v>
          </cell>
          <cell r="D565">
            <v>0.162477876106195</v>
          </cell>
          <cell r="E565">
            <v>0.02</v>
          </cell>
        </row>
        <row r="566">
          <cell r="A566" t="str">
            <v>Y031501288</v>
          </cell>
          <cell r="B566" t="str">
            <v>DJ613-2.3*0.6/端子PP0122404</v>
          </cell>
          <cell r="C566" t="str">
            <v>件</v>
          </cell>
          <cell r="D566">
            <v>0.135398230088496</v>
          </cell>
          <cell r="E566">
            <v>0.02</v>
          </cell>
        </row>
        <row r="567">
          <cell r="A567" t="str">
            <v>Y0315010022</v>
          </cell>
          <cell r="B567" t="str">
            <v>接插件（THB）</v>
          </cell>
          <cell r="C567" t="str">
            <v>件</v>
          </cell>
          <cell r="D567">
            <v>0.144424778761062</v>
          </cell>
          <cell r="E567">
            <v>0.02</v>
          </cell>
        </row>
        <row r="568">
          <cell r="A568" t="str">
            <v>Y0315010028</v>
          </cell>
          <cell r="B568" t="str">
            <v>接插件（THB）</v>
          </cell>
          <cell r="C568" t="str">
            <v>件</v>
          </cell>
          <cell r="D568">
            <v>0.451327433628319</v>
          </cell>
          <cell r="E568">
            <v>0.06</v>
          </cell>
        </row>
        <row r="569">
          <cell r="A569" t="str">
            <v>Y0315010078</v>
          </cell>
          <cell r="B569" t="str">
            <v>端子（THB）</v>
          </cell>
          <cell r="C569" t="str">
            <v>件</v>
          </cell>
          <cell r="D569">
            <v>0.171504424778761</v>
          </cell>
          <cell r="E569">
            <v>0.02</v>
          </cell>
        </row>
        <row r="570">
          <cell r="A570" t="str">
            <v>Y0315010091</v>
          </cell>
          <cell r="B570" t="str">
            <v>端子（THB）</v>
          </cell>
          <cell r="C570" t="str">
            <v>件</v>
          </cell>
          <cell r="D570">
            <v>0.135398230088496</v>
          </cell>
          <cell r="E570">
            <v>0.02</v>
          </cell>
        </row>
        <row r="571">
          <cell r="A571" t="str">
            <v>Y031501280</v>
          </cell>
          <cell r="B571" t="str">
            <v>DJ7103A-2.2-11/接插件PP0447901</v>
          </cell>
          <cell r="C571" t="str">
            <v>件</v>
          </cell>
          <cell r="D571">
            <v>1.1283185840708</v>
          </cell>
          <cell r="E571">
            <v>0.16</v>
          </cell>
        </row>
        <row r="572">
          <cell r="A572" t="str">
            <v>Y031501281</v>
          </cell>
          <cell r="B572" t="str">
            <v>卡子PP0447902十孔</v>
          </cell>
          <cell r="C572" t="str">
            <v>件</v>
          </cell>
          <cell r="D572">
            <v>0.234690265486726</v>
          </cell>
          <cell r="E572">
            <v>0.03</v>
          </cell>
        </row>
        <row r="573">
          <cell r="A573" t="str">
            <v>Y031501282</v>
          </cell>
          <cell r="B573" t="str">
            <v>DJ616-2.2A/铜件PP0130603</v>
          </cell>
          <cell r="C573" t="str">
            <v>件</v>
          </cell>
          <cell r="D573">
            <v>0.162477876106195</v>
          </cell>
          <cell r="E573">
            <v>0.02</v>
          </cell>
        </row>
        <row r="574">
          <cell r="A574" t="str">
            <v>Y031501276</v>
          </cell>
          <cell r="B574" t="str">
            <v>DJ625-2.2A/铜件PP0128804</v>
          </cell>
          <cell r="C574" t="str">
            <v>件</v>
          </cell>
          <cell r="D574">
            <v>0.153451327433628</v>
          </cell>
          <cell r="E574">
            <v>0.02</v>
          </cell>
        </row>
        <row r="575">
          <cell r="A575" t="str">
            <v>Y031501158</v>
          </cell>
          <cell r="B575" t="str">
            <v>DJ7081-2.3-21</v>
          </cell>
          <cell r="C575" t="str">
            <v>件</v>
          </cell>
          <cell r="D575">
            <v>0.613805309734513</v>
          </cell>
          <cell r="E575">
            <v>0.09</v>
          </cell>
        </row>
        <row r="576">
          <cell r="A576" t="str">
            <v>Y031501241</v>
          </cell>
          <cell r="B576" t="str">
            <v>母端子   770520-1</v>
          </cell>
          <cell r="C576" t="str">
            <v>件</v>
          </cell>
          <cell r="D576">
            <v>0.306902654867257</v>
          </cell>
          <cell r="E576">
            <v>0.04</v>
          </cell>
        </row>
        <row r="577">
          <cell r="A577" t="str">
            <v>Y031501339</v>
          </cell>
          <cell r="B577" t="str">
            <v>接插件PP0506405</v>
          </cell>
          <cell r="C577" t="str">
            <v>件</v>
          </cell>
          <cell r="D577">
            <v>1.26371681415929</v>
          </cell>
          <cell r="E577">
            <v>0.18</v>
          </cell>
        </row>
        <row r="578">
          <cell r="A578" t="str">
            <v>Y031501102</v>
          </cell>
          <cell r="B578" t="str">
            <v>端子</v>
          </cell>
          <cell r="C578" t="str">
            <v>件</v>
          </cell>
          <cell r="D578">
            <v>0.279823008849558</v>
          </cell>
          <cell r="E578">
            <v>0.04</v>
          </cell>
        </row>
        <row r="579">
          <cell r="A579" t="str">
            <v>Y031501337</v>
          </cell>
          <cell r="B579" t="str">
            <v>DJ431-10B/THB端子PP1100399</v>
          </cell>
          <cell r="C579" t="str">
            <v>件</v>
          </cell>
          <cell r="D579">
            <v>0.234690265486726</v>
          </cell>
          <cell r="E579">
            <v>0.03</v>
          </cell>
        </row>
        <row r="580">
          <cell r="A580" t="str">
            <v>Y031501265</v>
          </cell>
          <cell r="B580" t="str">
            <v>MOLEX  5559-4P</v>
          </cell>
          <cell r="C580" t="str">
            <v>件</v>
          </cell>
          <cell r="D580">
            <v>1.50743362831858</v>
          </cell>
          <cell r="E580">
            <v>0.21</v>
          </cell>
        </row>
        <row r="581">
          <cell r="A581" t="str">
            <v>Y0315010217</v>
          </cell>
          <cell r="B581" t="str">
            <v>AMP密封圈</v>
          </cell>
          <cell r="C581" t="str">
            <v>件</v>
          </cell>
          <cell r="D581">
            <v>1.1283185840708</v>
          </cell>
          <cell r="E581">
            <v>0.16</v>
          </cell>
        </row>
        <row r="582">
          <cell r="A582" t="str">
            <v>Y0315010119</v>
          </cell>
          <cell r="B582" t="str">
            <v>接插件（AMP）</v>
          </cell>
          <cell r="C582" t="str">
            <v>只</v>
          </cell>
          <cell r="D582">
            <v>1.11026548672566</v>
          </cell>
          <cell r="E582">
            <v>0.15</v>
          </cell>
        </row>
        <row r="583">
          <cell r="A583" t="str">
            <v>Y0315010231</v>
          </cell>
          <cell r="B583" t="str">
            <v>DJ7031-1.5-21/282087-1三孔</v>
          </cell>
          <cell r="C583" t="str">
            <v>件</v>
          </cell>
          <cell r="D583">
            <v>1.35398230088496</v>
          </cell>
          <cell r="E583">
            <v>0.19</v>
          </cell>
        </row>
        <row r="584">
          <cell r="A584" t="str">
            <v>Y031501165</v>
          </cell>
          <cell r="B584" t="str">
            <v>AMP 776164-1/AMP35孔接插</v>
          </cell>
          <cell r="C584" t="str">
            <v>件</v>
          </cell>
          <cell r="D584">
            <v>32.7401946902655</v>
          </cell>
          <cell r="E584">
            <v>4.55</v>
          </cell>
        </row>
        <row r="585">
          <cell r="A585" t="str">
            <v>Y031501096</v>
          </cell>
          <cell r="B585" t="str">
            <v>DJ7021-1.5-11/282104-1两孔</v>
          </cell>
          <cell r="C585" t="str">
            <v>件</v>
          </cell>
          <cell r="D585">
            <v>0.983893805309735</v>
          </cell>
          <cell r="E585">
            <v>0.14</v>
          </cell>
        </row>
        <row r="586">
          <cell r="A586" t="str">
            <v>Y0315008033</v>
          </cell>
          <cell r="B586" t="str">
            <v>保险片</v>
          </cell>
          <cell r="C586" t="str">
            <v>套</v>
          </cell>
          <cell r="D586">
            <v>0.234690265486726</v>
          </cell>
          <cell r="E586">
            <v>0.03</v>
          </cell>
        </row>
        <row r="587">
          <cell r="A587" t="str">
            <v>Y0315010141</v>
          </cell>
          <cell r="B587" t="str">
            <v>接插件</v>
          </cell>
          <cell r="C587">
            <v>0</v>
          </cell>
          <cell r="D587">
            <v>2.71699115044248</v>
          </cell>
          <cell r="E587">
            <v>0.38</v>
          </cell>
        </row>
        <row r="588">
          <cell r="A588" t="str">
            <v>Y031501071</v>
          </cell>
          <cell r="B588" t="str">
            <v>端子</v>
          </cell>
          <cell r="C588">
            <v>0</v>
          </cell>
          <cell r="D588">
            <v>0.225663716814159</v>
          </cell>
          <cell r="E588">
            <v>0.03</v>
          </cell>
        </row>
        <row r="589">
          <cell r="A589" t="str">
            <v>Y0315008059</v>
          </cell>
          <cell r="B589" t="str">
            <v>十路保险盒体</v>
          </cell>
          <cell r="C589">
            <v>0</v>
          </cell>
          <cell r="D589">
            <v>14.3702654867257</v>
          </cell>
          <cell r="E589">
            <v>2</v>
          </cell>
        </row>
        <row r="590">
          <cell r="A590" t="str">
            <v>Y0315008060</v>
          </cell>
          <cell r="B590" t="str">
            <v>保险盒盖</v>
          </cell>
          <cell r="C590">
            <v>0</v>
          </cell>
          <cell r="D590">
            <v>2.96070796460177</v>
          </cell>
          <cell r="E590">
            <v>0.41</v>
          </cell>
        </row>
        <row r="591">
          <cell r="A591" t="str">
            <v>Y031501072</v>
          </cell>
          <cell r="B591" t="str">
            <v>端子</v>
          </cell>
          <cell r="C591">
            <v>0</v>
          </cell>
          <cell r="D591">
            <v>0.649911504424779</v>
          </cell>
          <cell r="E591">
            <v>0.09</v>
          </cell>
        </row>
        <row r="592">
          <cell r="A592" t="str">
            <v>Y031501317</v>
          </cell>
          <cell r="B592" t="str">
            <v>锁扣PP0433702</v>
          </cell>
          <cell r="C592">
            <v>0</v>
          </cell>
          <cell r="D592">
            <v>0.279823008849558</v>
          </cell>
          <cell r="E592">
            <v>0.04</v>
          </cell>
        </row>
        <row r="593">
          <cell r="A593" t="str">
            <v>Y0315010027</v>
          </cell>
          <cell r="B593" t="str">
            <v>接插件（THB）PP0301101</v>
          </cell>
          <cell r="C593">
            <v>0</v>
          </cell>
          <cell r="D593">
            <v>0.496460176991151</v>
          </cell>
          <cell r="E593">
            <v>0.07</v>
          </cell>
        </row>
        <row r="594">
          <cell r="A594" t="str">
            <v>Y031501293</v>
          </cell>
          <cell r="B594" t="str">
            <v>端子PP0116002</v>
          </cell>
          <cell r="C594">
            <v>0</v>
          </cell>
          <cell r="D594">
            <v>0.270796460176991</v>
          </cell>
          <cell r="E594">
            <v>0.04</v>
          </cell>
        </row>
        <row r="595">
          <cell r="A595" t="str">
            <v>Y031501271</v>
          </cell>
          <cell r="B595" t="str">
            <v>接插件  爱邦</v>
          </cell>
          <cell r="C595">
            <v>0</v>
          </cell>
          <cell r="D595">
            <v>0.207610619469027</v>
          </cell>
          <cell r="E595">
            <v>0.03</v>
          </cell>
        </row>
        <row r="596">
          <cell r="A596" t="str">
            <v>Y031501270</v>
          </cell>
          <cell r="B596" t="str">
            <v>接插件  爱邦</v>
          </cell>
          <cell r="C596">
            <v>0</v>
          </cell>
          <cell r="D596">
            <v>0.19858407079646</v>
          </cell>
          <cell r="E596">
            <v>0.03</v>
          </cell>
        </row>
        <row r="597">
          <cell r="A597" t="str">
            <v>Y031501269</v>
          </cell>
          <cell r="B597" t="str">
            <v>端子  爱邦</v>
          </cell>
          <cell r="C597">
            <v>0</v>
          </cell>
          <cell r="D597">
            <v>0.0812389380530973</v>
          </cell>
          <cell r="E597">
            <v>0.01</v>
          </cell>
        </row>
        <row r="598">
          <cell r="A598" t="str">
            <v>Y0315024005</v>
          </cell>
          <cell r="B598" t="str">
            <v>继电器RF6101-12V-A</v>
          </cell>
          <cell r="C598">
            <v>0</v>
          </cell>
          <cell r="D598">
            <v>2.70796460176991</v>
          </cell>
          <cell r="E598">
            <v>0.38</v>
          </cell>
        </row>
        <row r="599">
          <cell r="A599" t="str">
            <v>Y0315024004</v>
          </cell>
          <cell r="B599" t="str">
            <v>电子闪光器ZZ1401-251B(12V)</v>
          </cell>
          <cell r="C599">
            <v>0</v>
          </cell>
          <cell r="D599">
            <v>3.88141592920354</v>
          </cell>
          <cell r="E599">
            <v>0.54</v>
          </cell>
        </row>
        <row r="600">
          <cell r="A600" t="str">
            <v>Y0315008044</v>
          </cell>
          <cell r="B600" t="str">
            <v>二极管</v>
          </cell>
          <cell r="C600">
            <v>0</v>
          </cell>
          <cell r="D600">
            <v>0.388141592920354</v>
          </cell>
          <cell r="E600">
            <v>0.05</v>
          </cell>
        </row>
        <row r="601">
          <cell r="A601" t="str">
            <v>Y0315008141</v>
          </cell>
          <cell r="B601" t="str">
            <v>ZC-912保险盒</v>
          </cell>
          <cell r="C601">
            <v>0</v>
          </cell>
          <cell r="D601">
            <v>3.88141592920354</v>
          </cell>
          <cell r="E601">
            <v>0.54</v>
          </cell>
        </row>
        <row r="602">
          <cell r="A602" t="str">
            <v>F0103015074</v>
          </cell>
          <cell r="B602" t="str">
            <v>靠背总成半成品</v>
          </cell>
          <cell r="C602" t="str">
            <v>件</v>
          </cell>
          <cell r="D602">
            <v>306</v>
          </cell>
          <cell r="E602">
            <v>42.5</v>
          </cell>
        </row>
        <row r="603">
          <cell r="A603" t="str">
            <v>F0103014287</v>
          </cell>
          <cell r="B603" t="str">
            <v>豪华坐垫</v>
          </cell>
          <cell r="C603" t="str">
            <v>件</v>
          </cell>
          <cell r="D603">
            <v>252.96</v>
          </cell>
          <cell r="E603">
            <v>35.13</v>
          </cell>
        </row>
        <row r="604">
          <cell r="A604" t="str">
            <v>F0103014288</v>
          </cell>
          <cell r="B604" t="str">
            <v>豪华翻转坐垫</v>
          </cell>
          <cell r="C604" t="str">
            <v>件</v>
          </cell>
          <cell r="D604">
            <v>252.96</v>
          </cell>
          <cell r="E604">
            <v>35.13</v>
          </cell>
        </row>
        <row r="605">
          <cell r="A605" t="str">
            <v>F0103015069</v>
          </cell>
          <cell r="B605" t="str">
            <v>靠背发泡棉</v>
          </cell>
          <cell r="C605" t="str">
            <v>件</v>
          </cell>
          <cell r="D605">
            <v>67.32</v>
          </cell>
          <cell r="E605">
            <v>9.35</v>
          </cell>
        </row>
        <row r="606">
          <cell r="A606" t="str">
            <v>F0103015071</v>
          </cell>
          <cell r="B606" t="str">
            <v>坐垫发泡棉</v>
          </cell>
          <cell r="C606" t="str">
            <v>件</v>
          </cell>
          <cell r="D606">
            <v>67.32</v>
          </cell>
          <cell r="E606">
            <v>9.35</v>
          </cell>
        </row>
        <row r="607">
          <cell r="A607" t="str">
            <v>F0103015070</v>
          </cell>
          <cell r="B607" t="str">
            <v>中桶坐垫发泡棉</v>
          </cell>
          <cell r="C607" t="str">
            <v>件</v>
          </cell>
          <cell r="D607">
            <v>70.38</v>
          </cell>
          <cell r="E607">
            <v>9.78</v>
          </cell>
        </row>
        <row r="608">
          <cell r="A608" t="str">
            <v>F0103015072</v>
          </cell>
          <cell r="B608" t="str">
            <v>翻转坐垫发泡棉</v>
          </cell>
          <cell r="C608" t="str">
            <v>件</v>
          </cell>
          <cell r="D608">
            <v>48.96</v>
          </cell>
          <cell r="E608">
            <v>6.8</v>
          </cell>
        </row>
        <row r="609">
          <cell r="A609" t="str">
            <v>F0103015077</v>
          </cell>
          <cell r="B609" t="str">
            <v>座椅包边条</v>
          </cell>
          <cell r="C609" t="str">
            <v>卷</v>
          </cell>
          <cell r="D609">
            <v>25.5</v>
          </cell>
          <cell r="E609">
            <v>3.54</v>
          </cell>
        </row>
        <row r="610">
          <cell r="A610" t="str">
            <v>F0103015076</v>
          </cell>
          <cell r="B610" t="str">
            <v>座椅蒙皮</v>
          </cell>
          <cell r="C610" t="str">
            <v>M</v>
          </cell>
          <cell r="D610">
            <v>45.9</v>
          </cell>
          <cell r="E610">
            <v>6.38</v>
          </cell>
        </row>
        <row r="611">
          <cell r="A611" t="str">
            <v>F0103015075</v>
          </cell>
          <cell r="B611" t="str">
            <v>头枕总成</v>
          </cell>
          <cell r="C611" t="str">
            <v>件</v>
          </cell>
          <cell r="D611">
            <v>52.02</v>
          </cell>
          <cell r="E611">
            <v>7.23</v>
          </cell>
        </row>
        <row r="612">
          <cell r="A612" t="str">
            <v>F0103015053</v>
          </cell>
          <cell r="B612" t="str">
            <v>扶手总成（左）</v>
          </cell>
          <cell r="C612" t="str">
            <v>件</v>
          </cell>
          <cell r="D612">
            <v>52.02</v>
          </cell>
          <cell r="E612">
            <v>7.23</v>
          </cell>
        </row>
        <row r="613">
          <cell r="A613" t="str">
            <v>F0103015054</v>
          </cell>
          <cell r="B613" t="str">
            <v>扶手总成（右）</v>
          </cell>
          <cell r="C613" t="str">
            <v>件</v>
          </cell>
          <cell r="D613">
            <v>52.02</v>
          </cell>
          <cell r="E613">
            <v>7.23</v>
          </cell>
        </row>
        <row r="614">
          <cell r="A614" t="str">
            <v>Y0315008123</v>
          </cell>
          <cell r="B614" t="str">
            <v>六孔保险盒</v>
          </cell>
          <cell r="C614" t="str">
            <v>个</v>
          </cell>
          <cell r="D614">
            <v>5.21</v>
          </cell>
          <cell r="E614">
            <v>0.72</v>
          </cell>
        </row>
        <row r="615">
          <cell r="A615" t="str">
            <v>Y031501272</v>
          </cell>
          <cell r="B615" t="str">
            <v>保险盒端子</v>
          </cell>
          <cell r="C615" t="str">
            <v>个</v>
          </cell>
          <cell r="D615">
            <v>0.35</v>
          </cell>
          <cell r="E615">
            <v>0.05</v>
          </cell>
        </row>
        <row r="616">
          <cell r="A616" t="str">
            <v>Y031501273</v>
          </cell>
          <cell r="B616" t="str">
            <v>保险盒端子</v>
          </cell>
          <cell r="C616" t="str">
            <v>个</v>
          </cell>
          <cell r="D616">
            <v>0.37</v>
          </cell>
          <cell r="E616">
            <v>0.05</v>
          </cell>
        </row>
        <row r="617">
          <cell r="A617" t="str">
            <v>Y031501309</v>
          </cell>
          <cell r="B617" t="str">
            <v>2孔插件PP0413902</v>
          </cell>
          <cell r="C617" t="str">
            <v>个</v>
          </cell>
          <cell r="D617">
            <v>0.82</v>
          </cell>
          <cell r="E617">
            <v>0.11</v>
          </cell>
        </row>
        <row r="618">
          <cell r="A618" t="str">
            <v>F0199002088</v>
          </cell>
          <cell r="B618" t="str">
            <v>ACTIV EV字母标</v>
          </cell>
          <cell r="C618" t="str">
            <v>件</v>
          </cell>
          <cell r="D618">
            <v>2.67815556590591</v>
          </cell>
          <cell r="E618">
            <v>0.37</v>
          </cell>
        </row>
        <row r="619">
          <cell r="A619" t="str">
            <v>F0199002089</v>
          </cell>
          <cell r="B619" t="str">
            <v>ACTIV EV字母标</v>
          </cell>
          <cell r="C619" t="str">
            <v>件</v>
          </cell>
          <cell r="D619">
            <v>2.67815556590591</v>
          </cell>
          <cell r="E619">
            <v>0.37</v>
          </cell>
        </row>
        <row r="620">
          <cell r="A620" t="str">
            <v>F0199002090</v>
          </cell>
          <cell r="B620" t="str">
            <v>PULSE字母标</v>
          </cell>
          <cell r="C620" t="str">
            <v>件</v>
          </cell>
          <cell r="D620">
            <v>2.44527247321844</v>
          </cell>
          <cell r="E620">
            <v>0.34</v>
          </cell>
        </row>
        <row r="621">
          <cell r="A621" t="str">
            <v>F0199002092</v>
          </cell>
          <cell r="B621" t="str">
            <v>PULSE字母标</v>
          </cell>
          <cell r="C621" t="str">
            <v>件</v>
          </cell>
          <cell r="D621">
            <v>2.44527247321844</v>
          </cell>
          <cell r="E621">
            <v>0.34</v>
          </cell>
        </row>
        <row r="622">
          <cell r="A622" t="str">
            <v>F0102045146</v>
          </cell>
          <cell r="B622" t="str">
            <v>橡胶垫片</v>
          </cell>
          <cell r="C622" t="str">
            <v>件</v>
          </cell>
          <cell r="D622">
            <v>0.420353982300885</v>
          </cell>
          <cell r="E622">
            <v>0.06</v>
          </cell>
        </row>
        <row r="623">
          <cell r="A623" t="str">
            <v>D2109</v>
          </cell>
          <cell r="B623" t="str">
            <v>烟斗橡胶套</v>
          </cell>
          <cell r="C623" t="str">
            <v>只</v>
          </cell>
          <cell r="D623">
            <v>1.26</v>
          </cell>
          <cell r="E623">
            <v>0.18</v>
          </cell>
        </row>
        <row r="624">
          <cell r="A624" t="str">
            <v>F0199003123</v>
          </cell>
          <cell r="B624" t="str">
            <v>顶棚警示标贴</v>
          </cell>
          <cell r="C624" t="str">
            <v>张</v>
          </cell>
          <cell r="D624">
            <v>0.63</v>
          </cell>
          <cell r="E624">
            <v>0.09</v>
          </cell>
        </row>
        <row r="625">
          <cell r="A625" t="str">
            <v>F0199003124</v>
          </cell>
          <cell r="B625" t="str">
            <v>侧翻承重警示标贴</v>
          </cell>
          <cell r="C625" t="str">
            <v>张</v>
          </cell>
          <cell r="D625">
            <v>0.84</v>
          </cell>
          <cell r="E625">
            <v>0.12</v>
          </cell>
        </row>
        <row r="626">
          <cell r="A626" t="str">
            <v>F0199003121</v>
          </cell>
          <cell r="B626" t="str">
            <v>充电警示标贴</v>
          </cell>
          <cell r="C626" t="str">
            <v>张</v>
          </cell>
          <cell r="D626">
            <v>0.63</v>
          </cell>
          <cell r="E626">
            <v>0.09</v>
          </cell>
        </row>
        <row r="627">
          <cell r="A627" t="str">
            <v>F0199003122</v>
          </cell>
          <cell r="B627" t="str">
            <v>胎压警示标贴</v>
          </cell>
          <cell r="C627" t="str">
            <v>张</v>
          </cell>
          <cell r="D627">
            <v>0.63</v>
          </cell>
          <cell r="E627">
            <v>0.09</v>
          </cell>
        </row>
        <row r="628">
          <cell r="A628" t="str">
            <v>F0199003120</v>
          </cell>
          <cell r="B628" t="str">
            <v>使用说明警示标贴</v>
          </cell>
          <cell r="C628" t="str">
            <v>张</v>
          </cell>
          <cell r="D628">
            <v>0.84</v>
          </cell>
          <cell r="E628">
            <v>0.12</v>
          </cell>
        </row>
        <row r="629">
          <cell r="A629" t="str">
            <v>F0199003023</v>
          </cell>
          <cell r="B629" t="str">
            <v>电磁制动开关标贴</v>
          </cell>
          <cell r="C629" t="str">
            <v>件</v>
          </cell>
          <cell r="D629">
            <v>0.16</v>
          </cell>
          <cell r="E629">
            <v>0.02</v>
          </cell>
        </row>
        <row r="630">
          <cell r="A630" t="str">
            <v>F0103066003</v>
          </cell>
          <cell r="B630" t="str">
            <v>仪表罩金属卡扣</v>
          </cell>
          <cell r="C630" t="str">
            <v>件</v>
          </cell>
          <cell r="D630">
            <v>0.5</v>
          </cell>
          <cell r="E630">
            <v>0.07</v>
          </cell>
        </row>
        <row r="631">
          <cell r="A631" t="str">
            <v>Y0320004028</v>
          </cell>
          <cell r="B631" t="str">
            <v>簧片</v>
          </cell>
          <cell r="C631" t="str">
            <v>只</v>
          </cell>
          <cell r="D631">
            <v>0.25</v>
          </cell>
          <cell r="E631">
            <v>0.03</v>
          </cell>
        </row>
        <row r="632">
          <cell r="A632" t="str">
            <v>Y0301025023</v>
          </cell>
          <cell r="B632" t="str">
            <v>钢卡卡簧（72）</v>
          </cell>
          <cell r="C632" t="str">
            <v>只</v>
          </cell>
          <cell r="D632">
            <v>0.26</v>
          </cell>
          <cell r="E632">
            <v>0.04</v>
          </cell>
        </row>
        <row r="633">
          <cell r="A633" t="str">
            <v>F0103066004</v>
          </cell>
          <cell r="B633" t="str">
            <v>M5螺纹金属卡扣</v>
          </cell>
          <cell r="C633" t="str">
            <v>只</v>
          </cell>
          <cell r="D633">
            <v>0.45</v>
          </cell>
          <cell r="E633">
            <v>0.06</v>
          </cell>
        </row>
        <row r="634">
          <cell r="A634" t="str">
            <v>Y0317009004</v>
          </cell>
          <cell r="B634" t="str">
            <v>FD30夹紧条</v>
          </cell>
          <cell r="C634" t="str">
            <v>M</v>
          </cell>
          <cell r="D634">
            <v>4.43</v>
          </cell>
          <cell r="E634">
            <v>0.62</v>
          </cell>
        </row>
        <row r="635">
          <cell r="A635" t="str">
            <v>F0103015089</v>
          </cell>
          <cell r="B635" t="str">
            <v>扶手总成(左)</v>
          </cell>
          <cell r="C635" t="str">
            <v>件</v>
          </cell>
          <cell r="D635">
            <v>53.55</v>
          </cell>
          <cell r="E635">
            <v>7.44</v>
          </cell>
        </row>
        <row r="636">
          <cell r="A636" t="str">
            <v>F0103015090</v>
          </cell>
          <cell r="B636" t="str">
            <v>扶手总成(右)</v>
          </cell>
          <cell r="C636" t="str">
            <v>件</v>
          </cell>
          <cell r="D636">
            <v>53.55</v>
          </cell>
          <cell r="E636">
            <v>7.44</v>
          </cell>
        </row>
        <row r="637">
          <cell r="A637" t="str">
            <v>F0103015088</v>
          </cell>
          <cell r="B637" t="str">
            <v>头枕总成</v>
          </cell>
          <cell r="C637" t="str">
            <v>件</v>
          </cell>
          <cell r="D637">
            <v>57.75</v>
          </cell>
          <cell r="E637">
            <v>8.02</v>
          </cell>
        </row>
        <row r="638">
          <cell r="A638" t="str">
            <v>F0103015084</v>
          </cell>
          <cell r="B638" t="str">
            <v>座椅包边条</v>
          </cell>
          <cell r="C638" t="str">
            <v>卷</v>
          </cell>
          <cell r="D638">
            <v>26.25</v>
          </cell>
          <cell r="E638">
            <v>3.65</v>
          </cell>
        </row>
        <row r="639">
          <cell r="A639" t="str">
            <v>F0103015085</v>
          </cell>
          <cell r="B639" t="str">
            <v>座椅蒙皮/NP01</v>
          </cell>
          <cell r="C639" t="str">
            <v>M</v>
          </cell>
          <cell r="D639">
            <v>47.25</v>
          </cell>
          <cell r="E639">
            <v>6.56</v>
          </cell>
        </row>
        <row r="640">
          <cell r="A640" t="str">
            <v>标准件</v>
          </cell>
          <cell r="B640" t="str">
            <v>标准件</v>
          </cell>
          <cell r="C640" t="str">
            <v>套</v>
          </cell>
          <cell r="D640">
            <v>300</v>
          </cell>
          <cell r="E640">
            <v>41.67</v>
          </cell>
        </row>
        <row r="641">
          <cell r="A641" t="str">
            <v>F0103015073</v>
          </cell>
          <cell r="B641" t="str">
            <v>翻转坐垫木板</v>
          </cell>
          <cell r="C641" t="str">
            <v>件</v>
          </cell>
          <cell r="D641">
            <v>21.42</v>
          </cell>
          <cell r="E641">
            <v>2.98</v>
          </cell>
        </row>
        <row r="642">
          <cell r="A642" t="str">
            <v>Y031501294</v>
          </cell>
          <cell r="B642" t="str">
            <v>端子PP0101681</v>
          </cell>
          <cell r="C642">
            <v>0</v>
          </cell>
          <cell r="D642">
            <v>0.22</v>
          </cell>
          <cell r="E642">
            <v>0.03</v>
          </cell>
        </row>
        <row r="643">
          <cell r="A643" t="str">
            <v>F0102087027</v>
          </cell>
          <cell r="B643" t="str">
            <v>铁制侧踏板 左</v>
          </cell>
          <cell r="C643" t="str">
            <v>件</v>
          </cell>
          <cell r="D643">
            <v>155.75</v>
          </cell>
          <cell r="E643">
            <v>21.63</v>
          </cell>
        </row>
        <row r="644">
          <cell r="A644" t="str">
            <v>F0102087028</v>
          </cell>
          <cell r="B644" t="str">
            <v>铁制侧踏板 右</v>
          </cell>
          <cell r="C644" t="str">
            <v>件</v>
          </cell>
          <cell r="D644">
            <v>155.75</v>
          </cell>
          <cell r="E644">
            <v>21.63</v>
          </cell>
        </row>
        <row r="645">
          <cell r="A645" t="str">
            <v>F0102073020</v>
          </cell>
          <cell r="B645" t="str">
            <v>车架总成/双横臂球车/2座G款</v>
          </cell>
          <cell r="C645" t="str">
            <v>件</v>
          </cell>
          <cell r="D645">
            <v>1088.5</v>
          </cell>
          <cell r="E645">
            <v>151.18</v>
          </cell>
        </row>
        <row r="646">
          <cell r="A646" t="str">
            <v>F0102073021</v>
          </cell>
          <cell r="B646" t="str">
            <v>车架总成/双横臂打猎车/2座G款</v>
          </cell>
          <cell r="C646" t="str">
            <v>件</v>
          </cell>
          <cell r="D646">
            <v>1088.5</v>
          </cell>
          <cell r="E646">
            <v>151.18</v>
          </cell>
        </row>
        <row r="647">
          <cell r="A647" t="str">
            <v>F0102074001</v>
          </cell>
          <cell r="B647" t="str">
            <v>车架总成/双横臂球车/4座G款</v>
          </cell>
          <cell r="C647" t="str">
            <v>件</v>
          </cell>
          <cell r="D647">
            <v>1247.79</v>
          </cell>
          <cell r="E647">
            <v>173.3</v>
          </cell>
        </row>
        <row r="648">
          <cell r="A648" t="str">
            <v>F0102074002</v>
          </cell>
          <cell r="B648" t="str">
            <v>车架总成/双横臂打猎车/4座G款</v>
          </cell>
          <cell r="C648" t="str">
            <v>件</v>
          </cell>
          <cell r="D648">
            <v>1247.79</v>
          </cell>
          <cell r="E648">
            <v>173.3</v>
          </cell>
        </row>
        <row r="649">
          <cell r="A649" t="str">
            <v>F0102076028</v>
          </cell>
          <cell r="B649" t="str">
            <v>车架总成/双横臂球车/2座Y款</v>
          </cell>
          <cell r="C649" t="str">
            <v>件</v>
          </cell>
          <cell r="D649">
            <v>1088.5</v>
          </cell>
          <cell r="E649">
            <v>151.18</v>
          </cell>
        </row>
        <row r="650">
          <cell r="A650" t="str">
            <v>F0102076029</v>
          </cell>
          <cell r="B650" t="str">
            <v>车架总成/双横臂打猎车/2座Y款</v>
          </cell>
          <cell r="C650" t="str">
            <v>件</v>
          </cell>
          <cell r="D650">
            <v>1088.5</v>
          </cell>
          <cell r="E650">
            <v>151.18</v>
          </cell>
        </row>
        <row r="651">
          <cell r="A651" t="str">
            <v>F0102045026</v>
          </cell>
          <cell r="B651" t="str">
            <v>普通高尔夫方向盘</v>
          </cell>
          <cell r="C651" t="str">
            <v>件</v>
          </cell>
          <cell r="D651">
            <v>65.49</v>
          </cell>
          <cell r="E651">
            <v>9.1</v>
          </cell>
        </row>
        <row r="652">
          <cell r="A652" t="str">
            <v>F3104000071</v>
          </cell>
          <cell r="B652" t="str">
            <v>J款仪表台注塑模</v>
          </cell>
          <cell r="C652" t="str">
            <v>件</v>
          </cell>
          <cell r="D652">
            <v>39159.29</v>
          </cell>
          <cell r="E652">
            <v>5438.79</v>
          </cell>
        </row>
        <row r="653">
          <cell r="A653" t="str">
            <v>F3104000111</v>
          </cell>
          <cell r="B653" t="str">
            <v>前罩注塑模</v>
          </cell>
          <cell r="C653" t="str">
            <v>件</v>
          </cell>
          <cell r="D653">
            <v>159292.04</v>
          </cell>
          <cell r="E653">
            <v>22123.89</v>
          </cell>
        </row>
        <row r="654">
          <cell r="A654" t="str">
            <v>WL-GEF-062</v>
          </cell>
          <cell r="B654" t="str">
            <v>后扶手带牌照灯支架焊接工装</v>
          </cell>
          <cell r="C654" t="str">
            <v>件</v>
          </cell>
          <cell r="D654">
            <v>1433.62831858407</v>
          </cell>
          <cell r="E654">
            <v>199.12</v>
          </cell>
        </row>
        <row r="655">
          <cell r="A655" t="str">
            <v>WL-GEF-063</v>
          </cell>
          <cell r="B655" t="str">
            <v>铁制侧踏板焊接工装 左/右</v>
          </cell>
          <cell r="C655" t="str">
            <v>件</v>
          </cell>
          <cell r="D655">
            <v>1606.19469026548</v>
          </cell>
          <cell r="E655">
            <v>223.08</v>
          </cell>
        </row>
        <row r="656">
          <cell r="A656" t="str">
            <v>WL-GEF-064</v>
          </cell>
          <cell r="B656" t="str">
            <v>后踏板侧踏板焊接工装 左/右</v>
          </cell>
          <cell r="C656" t="str">
            <v>件</v>
          </cell>
          <cell r="D656">
            <v>1433.62831858407</v>
          </cell>
          <cell r="E656">
            <v>199.12</v>
          </cell>
        </row>
        <row r="657">
          <cell r="A657" t="str">
            <v>WL-GEF-065</v>
          </cell>
          <cell r="B657" t="str">
            <v>铁制踏板焊接工装</v>
          </cell>
          <cell r="C657" t="str">
            <v>件</v>
          </cell>
          <cell r="D657">
            <v>1433.62831858407</v>
          </cell>
          <cell r="E657">
            <v>199.12</v>
          </cell>
        </row>
        <row r="658">
          <cell r="A658" t="str">
            <v>WL-GEF-066</v>
          </cell>
          <cell r="B658" t="str">
            <v>中桶靠背支架焊接工装 左/右</v>
          </cell>
          <cell r="C658" t="str">
            <v>件</v>
          </cell>
          <cell r="D658">
            <v>756.635</v>
          </cell>
          <cell r="E658">
            <v>105.09</v>
          </cell>
        </row>
        <row r="659">
          <cell r="A659" t="str">
            <v>WL-GEF-067</v>
          </cell>
          <cell r="B659" t="str">
            <v>锂电池框焊接工装</v>
          </cell>
          <cell r="C659" t="str">
            <v>件</v>
          </cell>
          <cell r="D659">
            <v>2117.25663716814</v>
          </cell>
          <cell r="E659">
            <v>294.06</v>
          </cell>
        </row>
        <row r="660">
          <cell r="A660" t="str">
            <v>WL-GEF-068</v>
          </cell>
          <cell r="B660" t="str">
            <v>前保险杠/G款打猎车焊接工装</v>
          </cell>
          <cell r="C660" t="str">
            <v>件</v>
          </cell>
          <cell r="D660">
            <v>2409.29203539823</v>
          </cell>
          <cell r="E660">
            <v>334.62</v>
          </cell>
        </row>
        <row r="661">
          <cell r="A661" t="str">
            <v>WL-GEF-069</v>
          </cell>
          <cell r="B661" t="str">
            <v>铁制踏板焊接工装 左</v>
          </cell>
          <cell r="C661" t="str">
            <v>件</v>
          </cell>
          <cell r="D661">
            <v>1825.22123893805</v>
          </cell>
          <cell r="E661">
            <v>253.5</v>
          </cell>
        </row>
        <row r="662">
          <cell r="A662" t="str">
            <v>WL-GEF-070</v>
          </cell>
          <cell r="B662" t="str">
            <v>铁制踏板焊接工装 右</v>
          </cell>
          <cell r="C662" t="str">
            <v>件</v>
          </cell>
          <cell r="D662">
            <v>1825.22123893805</v>
          </cell>
          <cell r="E662">
            <v>253.5</v>
          </cell>
        </row>
        <row r="663">
          <cell r="A663" t="str">
            <v>F0103015086</v>
          </cell>
          <cell r="B663" t="str">
            <v>座椅蒙皮/NP37</v>
          </cell>
          <cell r="C663" t="str">
            <v>M</v>
          </cell>
          <cell r="D663">
            <v>45.9</v>
          </cell>
          <cell r="E663">
            <v>6.38</v>
          </cell>
        </row>
        <row r="664">
          <cell r="A664" t="str">
            <v>F0102087030</v>
          </cell>
          <cell r="B664" t="str">
            <v>车架总成/前悬前移</v>
          </cell>
          <cell r="C664" t="str">
            <v>件</v>
          </cell>
          <cell r="D664">
            <v>1061.94690265487</v>
          </cell>
          <cell r="E664">
            <v>147.49</v>
          </cell>
        </row>
        <row r="665">
          <cell r="A665" t="str">
            <v>F0102087001</v>
          </cell>
          <cell r="B665" t="str">
            <v>车架总成</v>
          </cell>
          <cell r="C665" t="str">
            <v>台</v>
          </cell>
          <cell r="D665">
            <v>1061.94690265487</v>
          </cell>
          <cell r="E665">
            <v>147.49</v>
          </cell>
        </row>
        <row r="666">
          <cell r="A666" t="str">
            <v>F0102086001</v>
          </cell>
          <cell r="B666" t="str">
            <v>车架总成</v>
          </cell>
          <cell r="C666" t="str">
            <v>台</v>
          </cell>
          <cell r="D666">
            <v>1061.94690265487</v>
          </cell>
          <cell r="E666">
            <v>147.49</v>
          </cell>
        </row>
        <row r="667">
          <cell r="A667" t="str">
            <v>F0102086851</v>
          </cell>
          <cell r="B667" t="str">
            <v>（V1专用）前轮罩支架横梁</v>
          </cell>
          <cell r="C667" t="str">
            <v>件</v>
          </cell>
          <cell r="D667">
            <v>7.56637168141593</v>
          </cell>
          <cell r="E667">
            <v>1.05</v>
          </cell>
        </row>
        <row r="668">
          <cell r="A668" t="str">
            <v>F0102086852</v>
          </cell>
          <cell r="B668" t="str">
            <v>（V1专用）前轮罩安装支架</v>
          </cell>
          <cell r="C668" t="str">
            <v>件</v>
          </cell>
          <cell r="D668">
            <v>1.42477876106195</v>
          </cell>
          <cell r="E668">
            <v>0.2</v>
          </cell>
        </row>
        <row r="669">
          <cell r="A669" t="str">
            <v>F0102086853</v>
          </cell>
          <cell r="B669" t="str">
            <v>（V1专用）油壶支架</v>
          </cell>
          <cell r="C669" t="str">
            <v>件</v>
          </cell>
          <cell r="D669">
            <v>3.15929203539823</v>
          </cell>
          <cell r="E669">
            <v>0.44</v>
          </cell>
        </row>
        <row r="670">
          <cell r="A670" t="str">
            <v>F0102086854</v>
          </cell>
          <cell r="B670" t="str">
            <v>（V1专用）前立柱固定支架总成（左-右）</v>
          </cell>
          <cell r="C670" t="str">
            <v>件</v>
          </cell>
          <cell r="D670">
            <v>6.55752212389381</v>
          </cell>
          <cell r="E670">
            <v>0.91</v>
          </cell>
        </row>
        <row r="671">
          <cell r="A671" t="str">
            <v>F0102086855</v>
          </cell>
          <cell r="B671" t="str">
            <v>（V1专用）前圆管梁</v>
          </cell>
          <cell r="C671" t="str">
            <v>件</v>
          </cell>
          <cell r="D671">
            <v>14.8672566371681</v>
          </cell>
          <cell r="E671">
            <v>2.06</v>
          </cell>
        </row>
        <row r="672">
          <cell r="A672" t="str">
            <v>F0102086856</v>
          </cell>
          <cell r="B672" t="str">
            <v>（V1专用）前上横梁</v>
          </cell>
          <cell r="C672" t="str">
            <v>件</v>
          </cell>
          <cell r="D672">
            <v>12.8318584070796</v>
          </cell>
          <cell r="E672">
            <v>1.78</v>
          </cell>
        </row>
        <row r="673">
          <cell r="A673" t="str">
            <v>F0102086857</v>
          </cell>
          <cell r="B673" t="str">
            <v>（V1专用）手套箱左支架</v>
          </cell>
          <cell r="C673" t="str">
            <v>件</v>
          </cell>
          <cell r="D673">
            <v>1.68141592920354</v>
          </cell>
          <cell r="E673">
            <v>0.23</v>
          </cell>
        </row>
        <row r="674">
          <cell r="A674" t="str">
            <v>F0102086858</v>
          </cell>
          <cell r="B674" t="str">
            <v>（V1专用）手套箱右支架</v>
          </cell>
          <cell r="C674" t="str">
            <v>件</v>
          </cell>
          <cell r="D674">
            <v>1.51327433628319</v>
          </cell>
          <cell r="E674">
            <v>0.21</v>
          </cell>
        </row>
        <row r="675">
          <cell r="A675" t="str">
            <v>F0102087859</v>
          </cell>
          <cell r="B675" t="str">
            <v>大梁左</v>
          </cell>
          <cell r="C675" t="str">
            <v>件</v>
          </cell>
          <cell r="D675">
            <v>37.6592920353982</v>
          </cell>
          <cell r="E675">
            <v>5.23</v>
          </cell>
        </row>
        <row r="676">
          <cell r="A676" t="str">
            <v>F0102087860</v>
          </cell>
          <cell r="B676" t="str">
            <v>大梁右</v>
          </cell>
          <cell r="C676" t="str">
            <v>件</v>
          </cell>
          <cell r="D676">
            <v>37.6637168141593</v>
          </cell>
          <cell r="E676">
            <v>5.23</v>
          </cell>
        </row>
        <row r="677">
          <cell r="A677" t="str">
            <v>F0102087861</v>
          </cell>
          <cell r="B677" t="str">
            <v>大梁前横梁</v>
          </cell>
          <cell r="C677" t="str">
            <v>件</v>
          </cell>
          <cell r="D677">
            <v>2.83185840707965</v>
          </cell>
          <cell r="E677">
            <v>0.39</v>
          </cell>
        </row>
        <row r="678">
          <cell r="A678" t="str">
            <v>F0102087862</v>
          </cell>
          <cell r="B678" t="str">
            <v>大梁中横梁</v>
          </cell>
          <cell r="C678" t="str">
            <v>件</v>
          </cell>
          <cell r="D678">
            <v>7.11504424778761</v>
          </cell>
          <cell r="E678">
            <v>0.99</v>
          </cell>
        </row>
        <row r="679">
          <cell r="A679" t="str">
            <v>F0102087863</v>
          </cell>
          <cell r="B679" t="str">
            <v>大梁后横梁</v>
          </cell>
          <cell r="C679" t="str">
            <v>件</v>
          </cell>
          <cell r="D679">
            <v>7.60176991150443</v>
          </cell>
          <cell r="E679">
            <v>1.06</v>
          </cell>
        </row>
        <row r="680">
          <cell r="A680" t="str">
            <v>F0102087864</v>
          </cell>
          <cell r="B680" t="str">
            <v>前中纵梁</v>
          </cell>
          <cell r="C680" t="str">
            <v>件</v>
          </cell>
          <cell r="D680">
            <v>3.86725663716814</v>
          </cell>
          <cell r="E680">
            <v>0.54</v>
          </cell>
        </row>
        <row r="681">
          <cell r="A681" t="str">
            <v>F0102087865</v>
          </cell>
          <cell r="B681" t="str">
            <v>后中纵梁</v>
          </cell>
          <cell r="C681" t="str">
            <v>件</v>
          </cell>
          <cell r="D681">
            <v>3.02654867256637</v>
          </cell>
          <cell r="E681">
            <v>0.42</v>
          </cell>
        </row>
        <row r="682">
          <cell r="A682" t="str">
            <v>F0102087866</v>
          </cell>
          <cell r="B682" t="str">
            <v>侧护板左</v>
          </cell>
          <cell r="C682" t="str">
            <v>件</v>
          </cell>
          <cell r="D682">
            <v>17.1504424778761</v>
          </cell>
          <cell r="E682">
            <v>2.38</v>
          </cell>
        </row>
        <row r="683">
          <cell r="A683" t="str">
            <v>F0102087867</v>
          </cell>
          <cell r="B683" t="str">
            <v>侧护板右</v>
          </cell>
          <cell r="C683" t="str">
            <v>件</v>
          </cell>
          <cell r="D683">
            <v>17.1504424778761</v>
          </cell>
          <cell r="E683">
            <v>2.38</v>
          </cell>
        </row>
        <row r="684">
          <cell r="A684" t="str">
            <v>F0102087868</v>
          </cell>
          <cell r="B684" t="str">
            <v>侧护板横梁</v>
          </cell>
          <cell r="C684" t="str">
            <v>件</v>
          </cell>
          <cell r="D684">
            <v>7.16814159292035</v>
          </cell>
          <cell r="E684">
            <v>1</v>
          </cell>
        </row>
        <row r="685">
          <cell r="A685" t="str">
            <v>F0102087869</v>
          </cell>
          <cell r="B685" t="str">
            <v>中间座椅桶支架</v>
          </cell>
          <cell r="C685" t="str">
            <v>件</v>
          </cell>
          <cell r="D685">
            <v>6.38938053097345</v>
          </cell>
          <cell r="E685">
            <v>0.89</v>
          </cell>
        </row>
        <row r="686">
          <cell r="A686" t="str">
            <v>F0102087870</v>
          </cell>
          <cell r="B686" t="str">
            <v>下摆臂弯管纵梁</v>
          </cell>
          <cell r="C686" t="str">
            <v>件</v>
          </cell>
          <cell r="D686">
            <v>3.46902654867257</v>
          </cell>
          <cell r="E686">
            <v>0.48</v>
          </cell>
        </row>
        <row r="687">
          <cell r="A687" t="str">
            <v>F0102087871</v>
          </cell>
          <cell r="B687" t="str">
            <v>下悬臂安装支架</v>
          </cell>
          <cell r="C687" t="str">
            <v>件</v>
          </cell>
          <cell r="D687">
            <v>2.15929203539823</v>
          </cell>
          <cell r="E687">
            <v>0.3</v>
          </cell>
        </row>
        <row r="688">
          <cell r="A688" t="str">
            <v>F0102087872</v>
          </cell>
          <cell r="B688" t="str">
            <v>上悬臂安装支架</v>
          </cell>
          <cell r="C688" t="str">
            <v>件</v>
          </cell>
          <cell r="D688">
            <v>1.95575221238938</v>
          </cell>
          <cell r="E688">
            <v>0.27</v>
          </cell>
        </row>
        <row r="689">
          <cell r="A689" t="str">
            <v>F0102087873</v>
          </cell>
          <cell r="B689" t="str">
            <v>制动油管支架</v>
          </cell>
          <cell r="C689" t="str">
            <v>件</v>
          </cell>
          <cell r="D689">
            <v>0.442477876106195</v>
          </cell>
          <cell r="E689">
            <v>0.06</v>
          </cell>
        </row>
        <row r="690">
          <cell r="A690" t="str">
            <v>F0102087874</v>
          </cell>
          <cell r="B690" t="str">
            <v>方向机前焊接支架</v>
          </cell>
          <cell r="C690" t="str">
            <v>件</v>
          </cell>
          <cell r="D690">
            <v>7.48672566371682</v>
          </cell>
          <cell r="E690">
            <v>1.04</v>
          </cell>
        </row>
        <row r="691">
          <cell r="A691" t="str">
            <v>F0102087875</v>
          </cell>
          <cell r="B691" t="str">
            <v>方向机后焊接支架</v>
          </cell>
          <cell r="C691" t="str">
            <v>件</v>
          </cell>
          <cell r="D691">
            <v>4.72566371681416</v>
          </cell>
          <cell r="E691">
            <v>0.66</v>
          </cell>
        </row>
        <row r="692">
          <cell r="A692" t="str">
            <v>F0102087876</v>
          </cell>
          <cell r="B692" t="str">
            <v>后拖曳臂上支架</v>
          </cell>
          <cell r="C692" t="str">
            <v>件</v>
          </cell>
          <cell r="D692">
            <v>4.93805309734513</v>
          </cell>
          <cell r="E692">
            <v>0.69</v>
          </cell>
        </row>
        <row r="693">
          <cell r="A693" t="str">
            <v>F0102087877</v>
          </cell>
          <cell r="B693" t="str">
            <v>后拖曳臂上支架加强板</v>
          </cell>
          <cell r="C693" t="str">
            <v>件</v>
          </cell>
          <cell r="D693">
            <v>0.929203539823009</v>
          </cell>
          <cell r="E693">
            <v>0.13</v>
          </cell>
        </row>
        <row r="694">
          <cell r="A694" t="str">
            <v>F0102087878</v>
          </cell>
          <cell r="B694" t="str">
            <v>后拖曳臂下支架</v>
          </cell>
          <cell r="C694" t="str">
            <v>件</v>
          </cell>
          <cell r="D694">
            <v>5.71681415929204</v>
          </cell>
          <cell r="E694">
            <v>0.79</v>
          </cell>
        </row>
        <row r="695">
          <cell r="A695" t="str">
            <v>F0102087879</v>
          </cell>
          <cell r="B695" t="str">
            <v>后稳定杆支架座焊接总成</v>
          </cell>
          <cell r="C695" t="str">
            <v>件</v>
          </cell>
          <cell r="D695">
            <v>20.8495575221239</v>
          </cell>
          <cell r="E695">
            <v>2.9</v>
          </cell>
        </row>
        <row r="696">
          <cell r="A696" t="str">
            <v>F0102087880</v>
          </cell>
          <cell r="B696" t="str">
            <v>底板支架</v>
          </cell>
          <cell r="C696" t="str">
            <v>件</v>
          </cell>
          <cell r="D696">
            <v>0.601769911504425</v>
          </cell>
          <cell r="E696">
            <v>0.08</v>
          </cell>
        </row>
        <row r="697">
          <cell r="A697" t="str">
            <v>F0102087881</v>
          </cell>
          <cell r="B697" t="str">
            <v>后油管固定支架</v>
          </cell>
          <cell r="C697" t="str">
            <v>件</v>
          </cell>
          <cell r="D697">
            <v>0.707964601769912</v>
          </cell>
          <cell r="E697">
            <v>0.1</v>
          </cell>
        </row>
        <row r="698">
          <cell r="A698" t="str">
            <v>F0102087882</v>
          </cell>
          <cell r="B698" t="str">
            <v>三通支架</v>
          </cell>
          <cell r="C698" t="str">
            <v>件</v>
          </cell>
          <cell r="D698">
            <v>1.09734513274336</v>
          </cell>
          <cell r="E698">
            <v>0.15</v>
          </cell>
        </row>
        <row r="699">
          <cell r="A699" t="str">
            <v>F0102087883</v>
          </cell>
          <cell r="B699" t="str">
            <v>侧踏板底座焊接总成（左）</v>
          </cell>
          <cell r="C699" t="str">
            <v>件</v>
          </cell>
          <cell r="D699">
            <v>15.3893805309735</v>
          </cell>
          <cell r="E699">
            <v>2.14</v>
          </cell>
        </row>
        <row r="700">
          <cell r="A700" t="str">
            <v>F0102087884</v>
          </cell>
          <cell r="B700" t="str">
            <v>侧踏板底座焊接总成（右）</v>
          </cell>
          <cell r="C700" t="str">
            <v>件</v>
          </cell>
          <cell r="D700">
            <v>15.3893805309735</v>
          </cell>
          <cell r="E700">
            <v>2.14</v>
          </cell>
        </row>
        <row r="701">
          <cell r="A701" t="str">
            <v>F0102087885</v>
          </cell>
          <cell r="B701" t="str">
            <v>后三通支架焊接总成</v>
          </cell>
          <cell r="C701" t="str">
            <v>件</v>
          </cell>
          <cell r="D701">
            <v>10.5132743362832</v>
          </cell>
          <cell r="E701">
            <v>1.46</v>
          </cell>
        </row>
        <row r="702">
          <cell r="A702" t="str">
            <v>F0102087886</v>
          </cell>
          <cell r="B702" t="str">
            <v>两通支架焊接总成</v>
          </cell>
          <cell r="C702" t="str">
            <v>件</v>
          </cell>
          <cell r="D702">
            <v>7.38053097345133</v>
          </cell>
          <cell r="E702">
            <v>1.03</v>
          </cell>
        </row>
        <row r="703">
          <cell r="A703" t="str">
            <v>F0102087887</v>
          </cell>
          <cell r="B703" t="str">
            <v>后轮罩安装板</v>
          </cell>
          <cell r="C703" t="str">
            <v>件</v>
          </cell>
          <cell r="D703">
            <v>1.60176991150443</v>
          </cell>
          <cell r="E703">
            <v>0.22</v>
          </cell>
        </row>
        <row r="704">
          <cell r="A704" t="str">
            <v>F0102087888</v>
          </cell>
          <cell r="B704" t="str">
            <v>底部加强纵梁左</v>
          </cell>
          <cell r="C704" t="str">
            <v>件</v>
          </cell>
          <cell r="D704">
            <v>17.4336283185841</v>
          </cell>
          <cell r="E704">
            <v>2.42</v>
          </cell>
        </row>
        <row r="705">
          <cell r="A705" t="str">
            <v>F0102087889</v>
          </cell>
          <cell r="B705" t="str">
            <v>底部加强纵梁右</v>
          </cell>
          <cell r="C705" t="str">
            <v>件</v>
          </cell>
          <cell r="D705">
            <v>17.4336283185841</v>
          </cell>
          <cell r="E705">
            <v>2.42</v>
          </cell>
        </row>
        <row r="706">
          <cell r="A706" t="str">
            <v>F0102087890</v>
          </cell>
          <cell r="B706" t="str">
            <v>底部加强竖梁</v>
          </cell>
          <cell r="C706" t="str">
            <v>件</v>
          </cell>
          <cell r="D706">
            <v>0.366150442477876</v>
          </cell>
          <cell r="E706">
            <v>0.05</v>
          </cell>
        </row>
        <row r="707">
          <cell r="A707" t="str">
            <v>F0102087891</v>
          </cell>
          <cell r="B707" t="str">
            <v>电池框底座横梁</v>
          </cell>
          <cell r="C707" t="str">
            <v>件</v>
          </cell>
          <cell r="D707">
            <v>8.66371681415929</v>
          </cell>
          <cell r="E707">
            <v>1.2</v>
          </cell>
        </row>
        <row r="708">
          <cell r="A708" t="str">
            <v>F0102087892</v>
          </cell>
          <cell r="B708" t="str">
            <v>电池框底座纵梁</v>
          </cell>
          <cell r="C708" t="str">
            <v>件</v>
          </cell>
          <cell r="D708">
            <v>3.58407079646018</v>
          </cell>
          <cell r="E708">
            <v>0.5</v>
          </cell>
        </row>
        <row r="709">
          <cell r="A709" t="str">
            <v>F0102087893</v>
          </cell>
          <cell r="B709" t="str">
            <v>前弯管竖梁左</v>
          </cell>
          <cell r="C709" t="str">
            <v>件</v>
          </cell>
          <cell r="D709">
            <v>9.73451327433628</v>
          </cell>
          <cell r="E709">
            <v>1.35</v>
          </cell>
        </row>
        <row r="710">
          <cell r="A710" t="str">
            <v>F0102087894</v>
          </cell>
          <cell r="B710" t="str">
            <v>前弯管竖梁右</v>
          </cell>
          <cell r="C710" t="str">
            <v>件</v>
          </cell>
          <cell r="D710">
            <v>9.73451327433628</v>
          </cell>
          <cell r="E710">
            <v>1.35</v>
          </cell>
        </row>
        <row r="711">
          <cell r="A711" t="str">
            <v>F0102087895</v>
          </cell>
          <cell r="B711" t="str">
            <v>前弯管坚梁加强梁</v>
          </cell>
          <cell r="C711" t="str">
            <v>件</v>
          </cell>
          <cell r="D711">
            <v>3.36283185840708</v>
          </cell>
          <cell r="E711">
            <v>0.47</v>
          </cell>
        </row>
        <row r="712">
          <cell r="A712" t="str">
            <v>F0102087896</v>
          </cell>
          <cell r="B712" t="str">
            <v>前罩坚梁</v>
          </cell>
          <cell r="C712" t="str">
            <v>件</v>
          </cell>
          <cell r="D712">
            <v>3.81858407079646</v>
          </cell>
          <cell r="E712">
            <v>0.53</v>
          </cell>
        </row>
        <row r="713">
          <cell r="A713" t="str">
            <v>F0102087897</v>
          </cell>
          <cell r="B713" t="str">
            <v>前减安装支架</v>
          </cell>
          <cell r="C713" t="str">
            <v>件</v>
          </cell>
          <cell r="D713">
            <v>2.98230088495575</v>
          </cell>
          <cell r="E713">
            <v>0.41</v>
          </cell>
        </row>
        <row r="714">
          <cell r="A714" t="str">
            <v>F0102087898</v>
          </cell>
          <cell r="B714" t="str">
            <v>前减加强支架左</v>
          </cell>
          <cell r="C714" t="str">
            <v>件</v>
          </cell>
          <cell r="D714">
            <v>0.716814159292036</v>
          </cell>
          <cell r="E714">
            <v>0.1</v>
          </cell>
        </row>
        <row r="715">
          <cell r="A715" t="str">
            <v>F0102087899</v>
          </cell>
          <cell r="B715" t="str">
            <v>前减加强支架右</v>
          </cell>
          <cell r="C715" t="str">
            <v>件</v>
          </cell>
          <cell r="D715">
            <v>0.716814159292036</v>
          </cell>
          <cell r="E715">
            <v>0.1</v>
          </cell>
        </row>
        <row r="716">
          <cell r="A716" t="str">
            <v>F0102087900</v>
          </cell>
          <cell r="B716" t="str">
            <v>加速器支架</v>
          </cell>
          <cell r="C716" t="str">
            <v>件</v>
          </cell>
          <cell r="D716">
            <v>3.50442477876106</v>
          </cell>
          <cell r="E716">
            <v>0.49</v>
          </cell>
        </row>
        <row r="717">
          <cell r="A717" t="str">
            <v>F0102087903</v>
          </cell>
          <cell r="B717" t="str">
            <v>电喇叭安装支架</v>
          </cell>
          <cell r="C717" t="str">
            <v>件</v>
          </cell>
          <cell r="D717">
            <v>0.442477876106195</v>
          </cell>
          <cell r="E717">
            <v>0.06</v>
          </cell>
        </row>
        <row r="718">
          <cell r="A718" t="str">
            <v>F0102087904</v>
          </cell>
          <cell r="B718" t="str">
            <v>转向管柱支架</v>
          </cell>
          <cell r="C718" t="str">
            <v>件</v>
          </cell>
          <cell r="D718">
            <v>7.27433628318584</v>
          </cell>
          <cell r="E718">
            <v>1.01</v>
          </cell>
        </row>
        <row r="719">
          <cell r="A719" t="str">
            <v>F0102087907</v>
          </cell>
          <cell r="B719" t="str">
            <v>踏板支架下横梁</v>
          </cell>
          <cell r="C719" t="str">
            <v>件</v>
          </cell>
          <cell r="D719">
            <v>11.646017699115</v>
          </cell>
          <cell r="E719">
            <v>1.62</v>
          </cell>
        </row>
        <row r="720">
          <cell r="A720" t="str">
            <v>F0102087908</v>
          </cell>
          <cell r="B720" t="str">
            <v>横梁支架左</v>
          </cell>
          <cell r="C720" t="str">
            <v>件</v>
          </cell>
          <cell r="D720">
            <v>1.00884955752212</v>
          </cell>
          <cell r="E720">
            <v>0.14</v>
          </cell>
        </row>
        <row r="721">
          <cell r="A721" t="str">
            <v>F0102087909</v>
          </cell>
          <cell r="B721" t="str">
            <v>横梁支架右</v>
          </cell>
          <cell r="C721" t="str">
            <v>件</v>
          </cell>
          <cell r="D721">
            <v>1.00884955752212</v>
          </cell>
          <cell r="E721">
            <v>0.14</v>
          </cell>
        </row>
        <row r="722">
          <cell r="A722" t="str">
            <v>F0102087910</v>
          </cell>
          <cell r="B722" t="str">
            <v>上横梁下支撑梁</v>
          </cell>
          <cell r="C722" t="str">
            <v>件</v>
          </cell>
          <cell r="D722">
            <v>2.47345132743363</v>
          </cell>
          <cell r="E722">
            <v>0.34</v>
          </cell>
        </row>
        <row r="723">
          <cell r="A723" t="str">
            <v>F0102087911</v>
          </cell>
          <cell r="B723" t="str">
            <v>气弹簧支架梁焊接总成</v>
          </cell>
          <cell r="C723" t="str">
            <v>件</v>
          </cell>
          <cell r="D723">
            <v>4.24778761061947</v>
          </cell>
          <cell r="E723">
            <v>0.59</v>
          </cell>
        </row>
        <row r="724">
          <cell r="A724" t="str">
            <v>F0102087950</v>
          </cell>
          <cell r="B724" t="str">
            <v>制动总泵支架</v>
          </cell>
          <cell r="C724" t="str">
            <v>件</v>
          </cell>
          <cell r="D724">
            <v>4.75221238938053</v>
          </cell>
          <cell r="E724">
            <v>0.66</v>
          </cell>
        </row>
        <row r="725">
          <cell r="A725" t="str">
            <v>F0102087951</v>
          </cell>
          <cell r="B725" t="str">
            <v>制动踏板焊接支架</v>
          </cell>
          <cell r="C725" t="str">
            <v>件</v>
          </cell>
          <cell r="D725">
            <v>5.99115044247788</v>
          </cell>
          <cell r="E725">
            <v>0.83</v>
          </cell>
        </row>
        <row r="726">
          <cell r="A726" t="str">
            <v>F0102087912</v>
          </cell>
          <cell r="B726" t="str">
            <v>充电机安装坚梁</v>
          </cell>
          <cell r="C726" t="str">
            <v>件</v>
          </cell>
          <cell r="D726">
            <v>7.78761061946903</v>
          </cell>
          <cell r="E726">
            <v>1.08</v>
          </cell>
        </row>
        <row r="727">
          <cell r="A727" t="str">
            <v>F0102087913</v>
          </cell>
          <cell r="B727" t="str">
            <v>电控安装竖梁</v>
          </cell>
          <cell r="C727" t="str">
            <v>件</v>
          </cell>
          <cell r="D727">
            <v>1.94690265486726</v>
          </cell>
          <cell r="E727">
            <v>0.27</v>
          </cell>
        </row>
        <row r="728">
          <cell r="A728" t="str">
            <v>F0102087914</v>
          </cell>
          <cell r="B728" t="str">
            <v>电控安装支架</v>
          </cell>
          <cell r="C728" t="str">
            <v>件</v>
          </cell>
          <cell r="D728">
            <v>10.0884955752212</v>
          </cell>
          <cell r="E728">
            <v>1.4</v>
          </cell>
        </row>
        <row r="729">
          <cell r="A729" t="str">
            <v>F0102087915</v>
          </cell>
          <cell r="B729" t="str">
            <v>DC安装横梁</v>
          </cell>
          <cell r="C729" t="str">
            <v>件</v>
          </cell>
          <cell r="D729">
            <v>5.64601769911504</v>
          </cell>
          <cell r="E729">
            <v>0.78</v>
          </cell>
        </row>
        <row r="730">
          <cell r="A730" t="str">
            <v>F0102087916</v>
          </cell>
          <cell r="B730" t="str">
            <v>钮子安装支架</v>
          </cell>
          <cell r="C730" t="str">
            <v>件</v>
          </cell>
          <cell r="D730">
            <v>0.84070796460177</v>
          </cell>
          <cell r="E730">
            <v>0.12</v>
          </cell>
        </row>
        <row r="731">
          <cell r="A731" t="str">
            <v>F0102087917</v>
          </cell>
          <cell r="B731" t="str">
            <v>保险丝盒支架</v>
          </cell>
          <cell r="C731" t="str">
            <v>件</v>
          </cell>
          <cell r="D731">
            <v>7.60176991150443</v>
          </cell>
          <cell r="E731">
            <v>1.06</v>
          </cell>
        </row>
        <row r="732">
          <cell r="A732" t="str">
            <v>F0102087918</v>
          </cell>
          <cell r="B732" t="str">
            <v>后座椅桶前横梁</v>
          </cell>
          <cell r="C732" t="str">
            <v>件</v>
          </cell>
          <cell r="D732">
            <v>13.1150442477876</v>
          </cell>
          <cell r="E732">
            <v>1.82</v>
          </cell>
        </row>
        <row r="733">
          <cell r="A733" t="str">
            <v>F0102087919</v>
          </cell>
          <cell r="B733" t="str">
            <v>后座椅桶后横梁</v>
          </cell>
          <cell r="C733" t="str">
            <v>件</v>
          </cell>
          <cell r="D733">
            <v>6.30088495575221</v>
          </cell>
          <cell r="E733">
            <v>0.88</v>
          </cell>
        </row>
        <row r="734">
          <cell r="A734" t="str">
            <v>F0102087920</v>
          </cell>
          <cell r="B734" t="str">
            <v>后座椅桶下横梁</v>
          </cell>
          <cell r="C734" t="str">
            <v>件</v>
          </cell>
          <cell r="D734">
            <v>3.96460176991151</v>
          </cell>
          <cell r="E734">
            <v>0.55</v>
          </cell>
        </row>
        <row r="735">
          <cell r="A735" t="str">
            <v>F0102087921</v>
          </cell>
          <cell r="B735" t="str">
            <v>后座椅桶后竖梁</v>
          </cell>
          <cell r="C735" t="str">
            <v>件</v>
          </cell>
          <cell r="D735">
            <v>0.942477876106195</v>
          </cell>
          <cell r="E735">
            <v>0.13</v>
          </cell>
        </row>
        <row r="736">
          <cell r="A736" t="str">
            <v>F0102087922</v>
          </cell>
          <cell r="B736" t="str">
            <v>后座椅桶中竖梁</v>
          </cell>
          <cell r="C736" t="str">
            <v>件</v>
          </cell>
          <cell r="D736">
            <v>0.769911504424779</v>
          </cell>
          <cell r="E736">
            <v>0.11</v>
          </cell>
        </row>
        <row r="737">
          <cell r="A737" t="str">
            <v>F0102087923</v>
          </cell>
          <cell r="B737" t="str">
            <v>后座椅桶侧纵梁</v>
          </cell>
          <cell r="C737" t="str">
            <v>件</v>
          </cell>
          <cell r="D737">
            <v>3.54424778761062</v>
          </cell>
          <cell r="E737">
            <v>0.49</v>
          </cell>
        </row>
        <row r="738">
          <cell r="A738" t="str">
            <v>F0102087924</v>
          </cell>
          <cell r="B738" t="str">
            <v>后座椅桶上纵梁左</v>
          </cell>
          <cell r="C738" t="str">
            <v>件</v>
          </cell>
          <cell r="D738">
            <v>4.96460176991151</v>
          </cell>
          <cell r="E738">
            <v>0.69</v>
          </cell>
        </row>
        <row r="739">
          <cell r="A739" t="str">
            <v>F0102087925</v>
          </cell>
          <cell r="B739" t="str">
            <v>后座椅桶上纵梁右</v>
          </cell>
          <cell r="C739" t="str">
            <v>件</v>
          </cell>
          <cell r="D739">
            <v>4.96460176991151</v>
          </cell>
          <cell r="E739">
            <v>0.69</v>
          </cell>
        </row>
        <row r="740">
          <cell r="A740" t="str">
            <v>F0102087926</v>
          </cell>
          <cell r="B740" t="str">
            <v>后减震器支架</v>
          </cell>
          <cell r="C740" t="str">
            <v>件</v>
          </cell>
          <cell r="D740">
            <v>3.45132743362832</v>
          </cell>
          <cell r="E740">
            <v>0.48</v>
          </cell>
        </row>
        <row r="741">
          <cell r="A741" t="str">
            <v>F0102087927</v>
          </cell>
          <cell r="B741" t="str">
            <v>后减震器支架加强板</v>
          </cell>
          <cell r="C741" t="str">
            <v>件</v>
          </cell>
          <cell r="D741">
            <v>1.38053097345133</v>
          </cell>
          <cell r="E741">
            <v>0.19</v>
          </cell>
        </row>
        <row r="742">
          <cell r="A742" t="str">
            <v>F0102087928</v>
          </cell>
          <cell r="B742" t="str">
            <v>后排安全带内侧支架</v>
          </cell>
          <cell r="C742" t="str">
            <v>件</v>
          </cell>
          <cell r="D742">
            <v>3.45132743362832</v>
          </cell>
          <cell r="E742">
            <v>0.48</v>
          </cell>
        </row>
        <row r="743">
          <cell r="A743" t="str">
            <v>F0102087929</v>
          </cell>
          <cell r="B743" t="str">
            <v>安全带外侧安装块</v>
          </cell>
          <cell r="C743" t="str">
            <v>件</v>
          </cell>
          <cell r="D743">
            <v>1.17699115044248</v>
          </cell>
          <cell r="E743">
            <v>0.16</v>
          </cell>
        </row>
        <row r="744">
          <cell r="A744" t="str">
            <v>F0102087930</v>
          </cell>
          <cell r="B744" t="str">
            <v>后座椅桶后焊接支架</v>
          </cell>
          <cell r="C744" t="str">
            <v>件</v>
          </cell>
          <cell r="D744">
            <v>1.60176991150443</v>
          </cell>
          <cell r="E744">
            <v>0.22</v>
          </cell>
        </row>
        <row r="745">
          <cell r="A745" t="str">
            <v>F0102087931</v>
          </cell>
          <cell r="B745" t="str">
            <v>氛围灯开关支架</v>
          </cell>
          <cell r="C745" t="str">
            <v>件</v>
          </cell>
          <cell r="D745">
            <v>3.98230088495575</v>
          </cell>
          <cell r="E745">
            <v>0.55</v>
          </cell>
        </row>
        <row r="746">
          <cell r="A746" t="str">
            <v>F0102087952</v>
          </cell>
          <cell r="B746" t="str">
            <v>后减震器支架加强管</v>
          </cell>
          <cell r="C746" t="str">
            <v>件</v>
          </cell>
          <cell r="D746">
            <v>0.345132743362832</v>
          </cell>
          <cell r="E746">
            <v>0.05</v>
          </cell>
        </row>
        <row r="747">
          <cell r="A747" t="str">
            <v>F0102087932</v>
          </cell>
          <cell r="B747" t="str">
            <v>后底座竖梁</v>
          </cell>
          <cell r="C747" t="str">
            <v>件</v>
          </cell>
          <cell r="D747">
            <v>2.08849557522124</v>
          </cell>
          <cell r="E747">
            <v>0.29</v>
          </cell>
        </row>
        <row r="748">
          <cell r="A748" t="str">
            <v>F0102087933</v>
          </cell>
          <cell r="B748" t="str">
            <v>后底座竖梁加强板</v>
          </cell>
          <cell r="C748" t="str">
            <v>件</v>
          </cell>
          <cell r="D748">
            <v>1.95575221238938</v>
          </cell>
          <cell r="E748">
            <v>0.27</v>
          </cell>
        </row>
        <row r="749">
          <cell r="A749" t="str">
            <v>F0102087934</v>
          </cell>
          <cell r="B749" t="str">
            <v>后底座斜梁</v>
          </cell>
          <cell r="C749" t="str">
            <v>件</v>
          </cell>
          <cell r="D749">
            <v>1.83628318584071</v>
          </cell>
          <cell r="E749">
            <v>0.26</v>
          </cell>
        </row>
        <row r="750">
          <cell r="A750" t="str">
            <v>F0102087935</v>
          </cell>
          <cell r="B750" t="str">
            <v>后底座前横梁</v>
          </cell>
          <cell r="C750" t="str">
            <v>件</v>
          </cell>
          <cell r="D750">
            <v>4.76106194690266</v>
          </cell>
          <cell r="E750">
            <v>0.66</v>
          </cell>
        </row>
        <row r="751">
          <cell r="A751" t="str">
            <v>F0102087936</v>
          </cell>
          <cell r="B751" t="str">
            <v>后底座后横梁</v>
          </cell>
          <cell r="C751" t="str">
            <v>件</v>
          </cell>
          <cell r="D751">
            <v>5.03982300884956</v>
          </cell>
          <cell r="E751">
            <v>0.7</v>
          </cell>
        </row>
        <row r="752">
          <cell r="A752" t="str">
            <v>F0102087937</v>
          </cell>
          <cell r="B752" t="str">
            <v>后底座中纵梁</v>
          </cell>
          <cell r="C752" t="str">
            <v>件</v>
          </cell>
          <cell r="D752">
            <v>1.57079646017699</v>
          </cell>
          <cell r="E752">
            <v>0.22</v>
          </cell>
        </row>
        <row r="753">
          <cell r="A753" t="str">
            <v>F0102087938</v>
          </cell>
          <cell r="B753" t="str">
            <v>后底座侧纵梁</v>
          </cell>
          <cell r="C753" t="str">
            <v>件</v>
          </cell>
          <cell r="D753">
            <v>0.792035398230089</v>
          </cell>
          <cell r="E753">
            <v>0.11</v>
          </cell>
        </row>
        <row r="754">
          <cell r="A754" t="str">
            <v>F0102087939</v>
          </cell>
          <cell r="B754" t="str">
            <v>后保险杠支架</v>
          </cell>
          <cell r="C754" t="str">
            <v>件</v>
          </cell>
          <cell r="D754">
            <v>2.35398230088496</v>
          </cell>
          <cell r="E754">
            <v>0.33</v>
          </cell>
        </row>
        <row r="755">
          <cell r="A755" t="str">
            <v>F0102087940</v>
          </cell>
          <cell r="B755" t="str">
            <v>后行李箱支架</v>
          </cell>
          <cell r="C755" t="str">
            <v>件</v>
          </cell>
          <cell r="D755">
            <v>1.43362831858407</v>
          </cell>
          <cell r="E755">
            <v>0.2</v>
          </cell>
        </row>
        <row r="756">
          <cell r="A756" t="str">
            <v>F0102087941</v>
          </cell>
          <cell r="B756" t="str">
            <v>后立柱下横梁</v>
          </cell>
          <cell r="C756" t="str">
            <v>件</v>
          </cell>
          <cell r="D756">
            <v>2.08407079646018</v>
          </cell>
          <cell r="E756">
            <v>0.29</v>
          </cell>
        </row>
        <row r="757">
          <cell r="A757" t="str">
            <v>F0102087942</v>
          </cell>
          <cell r="B757" t="str">
            <v>后立柱下支架</v>
          </cell>
          <cell r="C757" t="str">
            <v>件</v>
          </cell>
          <cell r="D757">
            <v>1.72566371681416</v>
          </cell>
          <cell r="E757">
            <v>0.24</v>
          </cell>
        </row>
        <row r="758">
          <cell r="A758" t="str">
            <v>F0102087943</v>
          </cell>
          <cell r="B758" t="str">
            <v>后立柱安装板左</v>
          </cell>
          <cell r="C758" t="str">
            <v>件</v>
          </cell>
          <cell r="D758">
            <v>6.76991150442478</v>
          </cell>
          <cell r="E758">
            <v>0.94</v>
          </cell>
        </row>
        <row r="759">
          <cell r="A759" t="str">
            <v>F0102087944</v>
          </cell>
          <cell r="B759" t="str">
            <v>后立柱安装板右</v>
          </cell>
          <cell r="C759" t="str">
            <v>件</v>
          </cell>
          <cell r="D759">
            <v>6.76991150442478</v>
          </cell>
          <cell r="E759">
            <v>0.94</v>
          </cell>
        </row>
        <row r="760">
          <cell r="A760" t="str">
            <v>F0102087945</v>
          </cell>
          <cell r="B760" t="str">
            <v>后立柱安装板加强板</v>
          </cell>
          <cell r="C760" t="str">
            <v>件</v>
          </cell>
          <cell r="D760">
            <v>0.628318584070796</v>
          </cell>
          <cell r="E760">
            <v>0.09</v>
          </cell>
        </row>
        <row r="761">
          <cell r="A761" t="str">
            <v>F0102087946</v>
          </cell>
          <cell r="B761" t="str">
            <v>后摄像头支架</v>
          </cell>
          <cell r="C761" t="str">
            <v>件</v>
          </cell>
          <cell r="D761">
            <v>2.44247787610619</v>
          </cell>
          <cell r="E761">
            <v>0.34</v>
          </cell>
        </row>
        <row r="762">
          <cell r="A762" t="str">
            <v>F0102087947</v>
          </cell>
          <cell r="B762" t="str">
            <v>后牌照支架</v>
          </cell>
          <cell r="C762" t="str">
            <v>件</v>
          </cell>
          <cell r="D762">
            <v>1.97345132743363</v>
          </cell>
          <cell r="E762">
            <v>0.27</v>
          </cell>
        </row>
        <row r="763">
          <cell r="A763" t="str">
            <v>F0102087948</v>
          </cell>
          <cell r="B763" t="str">
            <v>后行李箱底部支架</v>
          </cell>
          <cell r="C763" t="str">
            <v>件</v>
          </cell>
          <cell r="D763">
            <v>2.85840707964602</v>
          </cell>
          <cell r="E763">
            <v>0.4</v>
          </cell>
        </row>
        <row r="764">
          <cell r="A764" t="str">
            <v>F0102087949</v>
          </cell>
          <cell r="B764" t="str">
            <v>后行李箱前部支架焊接总成</v>
          </cell>
          <cell r="C764" t="str">
            <v>件</v>
          </cell>
          <cell r="D764">
            <v>7.23008849557522</v>
          </cell>
          <cell r="E764">
            <v>1</v>
          </cell>
        </row>
        <row r="765">
          <cell r="A765" t="str">
            <v>F0102087953</v>
          </cell>
          <cell r="B765" t="str">
            <v>线卡</v>
          </cell>
          <cell r="C765" t="str">
            <v>件</v>
          </cell>
          <cell r="D765">
            <v>0.424778761061947</v>
          </cell>
          <cell r="E765">
            <v>0.06</v>
          </cell>
        </row>
        <row r="766">
          <cell r="A766" t="str">
            <v>F0102087963</v>
          </cell>
          <cell r="B766" t="str">
            <v>包装连接支架</v>
          </cell>
          <cell r="C766" t="str">
            <v>件</v>
          </cell>
          <cell r="D766">
            <v>0.884955752212389</v>
          </cell>
          <cell r="E766">
            <v>0.12</v>
          </cell>
        </row>
        <row r="767">
          <cell r="A767" t="str">
            <v>Y0410024027368</v>
          </cell>
          <cell r="B767" t="str">
            <v>踏板纵梁</v>
          </cell>
          <cell r="C767" t="str">
            <v>件</v>
          </cell>
          <cell r="D767">
            <v>21.6322517207473</v>
          </cell>
          <cell r="E767">
            <v>3</v>
          </cell>
        </row>
        <row r="768">
          <cell r="A768" t="str">
            <v>Y0410024027369</v>
          </cell>
          <cell r="B768" t="str">
            <v>踏板弯管</v>
          </cell>
          <cell r="C768" t="str">
            <v>件</v>
          </cell>
          <cell r="D768">
            <v>21.6322517207473</v>
          </cell>
          <cell r="E768">
            <v>3</v>
          </cell>
        </row>
        <row r="769">
          <cell r="A769" t="str">
            <v>Y0410024027370</v>
          </cell>
          <cell r="B769" t="str">
            <v>踏板前网</v>
          </cell>
          <cell r="C769" t="str">
            <v>件</v>
          </cell>
          <cell r="D769">
            <v>21.6322517207473</v>
          </cell>
          <cell r="E769">
            <v>3</v>
          </cell>
        </row>
        <row r="770">
          <cell r="A770" t="str">
            <v>Y0410024027371</v>
          </cell>
          <cell r="B770" t="str">
            <v>踏板中弯管</v>
          </cell>
          <cell r="C770" t="str">
            <v>件</v>
          </cell>
          <cell r="D770">
            <v>21.6322517207473</v>
          </cell>
          <cell r="E770">
            <v>3</v>
          </cell>
        </row>
        <row r="771">
          <cell r="A771" t="str">
            <v>Y0410024027372</v>
          </cell>
          <cell r="B771" t="str">
            <v>踏板中网 左</v>
          </cell>
          <cell r="C771" t="str">
            <v>件</v>
          </cell>
          <cell r="D771">
            <v>21.6322517207473</v>
          </cell>
          <cell r="E771">
            <v>3</v>
          </cell>
        </row>
        <row r="772">
          <cell r="A772" t="str">
            <v>Y0410024027373</v>
          </cell>
          <cell r="B772" t="str">
            <v>踏板后网</v>
          </cell>
          <cell r="C772" t="str">
            <v>件</v>
          </cell>
          <cell r="D772">
            <v>21.6322517207473</v>
          </cell>
          <cell r="E772">
            <v>3</v>
          </cell>
        </row>
        <row r="773">
          <cell r="A773" t="str">
            <v>Y0410024027374</v>
          </cell>
          <cell r="B773" t="str">
            <v>踏板横梁</v>
          </cell>
          <cell r="C773" t="str">
            <v>件</v>
          </cell>
          <cell r="D773">
            <v>21.6322517207473</v>
          </cell>
          <cell r="E773">
            <v>3</v>
          </cell>
        </row>
        <row r="774">
          <cell r="A774" t="str">
            <v>Y0410024027375</v>
          </cell>
          <cell r="B774" t="str">
            <v>固定支架</v>
          </cell>
          <cell r="C774" t="str">
            <v>件</v>
          </cell>
          <cell r="D774">
            <v>21.6322517207473</v>
          </cell>
          <cell r="E774">
            <v>3</v>
          </cell>
        </row>
        <row r="775">
          <cell r="A775" t="str">
            <v>Y0410024027376</v>
          </cell>
          <cell r="B775" t="str">
            <v>垫片</v>
          </cell>
          <cell r="C775" t="str">
            <v>件</v>
          </cell>
          <cell r="D775">
            <v>21.6322517207473</v>
          </cell>
          <cell r="E775">
            <v>3</v>
          </cell>
        </row>
        <row r="776">
          <cell r="A776" t="str">
            <v>Y0410024027362</v>
          </cell>
          <cell r="B776" t="str">
            <v>横梁</v>
          </cell>
          <cell r="C776" t="str">
            <v>件</v>
          </cell>
          <cell r="D776">
            <v>8.8495575221239</v>
          </cell>
          <cell r="E776">
            <v>1.23</v>
          </cell>
        </row>
        <row r="777">
          <cell r="A777" t="str">
            <v>Y0410024027363</v>
          </cell>
          <cell r="B777" t="str">
            <v>侧安装座</v>
          </cell>
          <cell r="C777" t="str">
            <v>件</v>
          </cell>
          <cell r="D777">
            <v>8.8495575221239</v>
          </cell>
          <cell r="E777">
            <v>1.23</v>
          </cell>
        </row>
        <row r="778">
          <cell r="A778" t="str">
            <v>Y0410024027144</v>
          </cell>
          <cell r="B778" t="str">
            <v>顶棚加强梁横管</v>
          </cell>
          <cell r="C778" t="str">
            <v>件</v>
          </cell>
          <cell r="D778">
            <v>7.20353982300885</v>
          </cell>
          <cell r="E778">
            <v>1</v>
          </cell>
        </row>
        <row r="779">
          <cell r="A779" t="str">
            <v>Y0410024027145</v>
          </cell>
          <cell r="B779" t="str">
            <v>侧安装板</v>
          </cell>
          <cell r="C779" t="str">
            <v>件</v>
          </cell>
          <cell r="D779">
            <v>7.20353982300885</v>
          </cell>
          <cell r="E779">
            <v>1</v>
          </cell>
        </row>
        <row r="780">
          <cell r="A780" t="str">
            <v>Y0410024027358</v>
          </cell>
          <cell r="B780" t="str">
            <v>牌照灯支架主体</v>
          </cell>
          <cell r="C780" t="str">
            <v>件</v>
          </cell>
          <cell r="D780">
            <v>5.53097345132742</v>
          </cell>
          <cell r="E780">
            <v>0.77</v>
          </cell>
        </row>
        <row r="781">
          <cell r="A781" t="str">
            <v>Y0410024027359</v>
          </cell>
          <cell r="B781" t="str">
            <v>牌照灯安装座</v>
          </cell>
          <cell r="C781" t="str">
            <v>件</v>
          </cell>
          <cell r="D781">
            <v>5.53097345132742</v>
          </cell>
          <cell r="E781">
            <v>0.77</v>
          </cell>
        </row>
        <row r="782">
          <cell r="A782" t="str">
            <v>Y0410024027360</v>
          </cell>
          <cell r="B782" t="str">
            <v>连接座</v>
          </cell>
          <cell r="C782" t="str">
            <v>件</v>
          </cell>
          <cell r="D782">
            <v>5.53097345132742</v>
          </cell>
          <cell r="E782">
            <v>0.77</v>
          </cell>
        </row>
        <row r="783">
          <cell r="A783" t="str">
            <v>Y0410024027361</v>
          </cell>
          <cell r="B783" t="str">
            <v>加强筋</v>
          </cell>
          <cell r="C783" t="str">
            <v>件</v>
          </cell>
          <cell r="D783">
            <v>5.53097345132742</v>
          </cell>
          <cell r="E783">
            <v>0.77</v>
          </cell>
        </row>
        <row r="784">
          <cell r="A784" t="str">
            <v>Y0410024027364</v>
          </cell>
          <cell r="B784" t="str">
            <v>球包架固定支撑</v>
          </cell>
          <cell r="C784" t="str">
            <v>件</v>
          </cell>
          <cell r="D784">
            <v>33.1858407079645</v>
          </cell>
          <cell r="E784">
            <v>4.61</v>
          </cell>
        </row>
        <row r="785">
          <cell r="A785" t="str">
            <v>Y0410024027365</v>
          </cell>
          <cell r="B785" t="str">
            <v>固定支撑加强筋</v>
          </cell>
          <cell r="C785" t="str">
            <v>件</v>
          </cell>
          <cell r="D785">
            <v>33.1858407079645</v>
          </cell>
          <cell r="E785">
            <v>4.61</v>
          </cell>
        </row>
        <row r="786">
          <cell r="A786" t="str">
            <v>Y0410024027366</v>
          </cell>
          <cell r="B786" t="str">
            <v>固定支架加强筋</v>
          </cell>
          <cell r="C786" t="str">
            <v>件</v>
          </cell>
          <cell r="D786">
            <v>33.1858407079645</v>
          </cell>
          <cell r="E786">
            <v>4.61</v>
          </cell>
        </row>
        <row r="787">
          <cell r="A787" t="str">
            <v>Y0410024027367</v>
          </cell>
          <cell r="B787" t="str">
            <v>球包架固定支架</v>
          </cell>
          <cell r="C787" t="str">
            <v>件</v>
          </cell>
          <cell r="D787">
            <v>33.1858407079645</v>
          </cell>
          <cell r="E787">
            <v>4.61</v>
          </cell>
        </row>
        <row r="788">
          <cell r="A788" t="str">
            <v>Y0410024027320</v>
          </cell>
          <cell r="B788" t="str">
            <v>中桶靠背支架</v>
          </cell>
          <cell r="C788" t="str">
            <v>件</v>
          </cell>
          <cell r="D788">
            <v>6.96902654867256</v>
          </cell>
          <cell r="E788">
            <v>0.97</v>
          </cell>
        </row>
        <row r="789">
          <cell r="A789" t="str">
            <v>Y0410024027321</v>
          </cell>
          <cell r="B789" t="str">
            <v>座椅中支撑</v>
          </cell>
          <cell r="C789" t="str">
            <v>件</v>
          </cell>
          <cell r="D789">
            <v>6.96902654867256</v>
          </cell>
          <cell r="E789">
            <v>0.97</v>
          </cell>
        </row>
        <row r="790">
          <cell r="A790" t="str">
            <v>Y0410024027322</v>
          </cell>
          <cell r="B790" t="str">
            <v>座椅上支撑</v>
          </cell>
          <cell r="C790" t="str">
            <v>件</v>
          </cell>
          <cell r="D790">
            <v>6.96902654867256</v>
          </cell>
          <cell r="E790">
            <v>0.97</v>
          </cell>
        </row>
        <row r="791">
          <cell r="A791" t="str">
            <v>Y0410024027323</v>
          </cell>
          <cell r="B791" t="str">
            <v>安全带固定支撑</v>
          </cell>
          <cell r="C791" t="str">
            <v>件</v>
          </cell>
          <cell r="D791">
            <v>6.96902654867256</v>
          </cell>
          <cell r="E791">
            <v>0.97</v>
          </cell>
        </row>
        <row r="792">
          <cell r="A792" t="str">
            <v>Y0410024027324</v>
          </cell>
          <cell r="B792" t="str">
            <v>加强筋1</v>
          </cell>
          <cell r="C792" t="str">
            <v>件</v>
          </cell>
          <cell r="D792">
            <v>6.96902654867256</v>
          </cell>
          <cell r="E792">
            <v>0.97</v>
          </cell>
        </row>
        <row r="793">
          <cell r="A793" t="str">
            <v>Y0410024027325</v>
          </cell>
          <cell r="B793" t="str">
            <v>中桶靠背支架堵盖1</v>
          </cell>
          <cell r="C793" t="str">
            <v>件</v>
          </cell>
          <cell r="D793">
            <v>6.96902654867256</v>
          </cell>
          <cell r="E793">
            <v>0.97</v>
          </cell>
        </row>
        <row r="794">
          <cell r="A794" t="str">
            <v>Y0410024027326</v>
          </cell>
          <cell r="B794" t="str">
            <v>中桶靠背支架堵盖2</v>
          </cell>
          <cell r="C794" t="str">
            <v>件</v>
          </cell>
          <cell r="D794">
            <v>6.96902654867256</v>
          </cell>
          <cell r="E794">
            <v>0.97</v>
          </cell>
        </row>
        <row r="795">
          <cell r="A795" t="str">
            <v>Y0410024027327</v>
          </cell>
          <cell r="B795" t="str">
            <v>加强筋2</v>
          </cell>
          <cell r="C795" t="str">
            <v>件</v>
          </cell>
          <cell r="D795">
            <v>6.96902654867256</v>
          </cell>
          <cell r="E795">
            <v>0.97</v>
          </cell>
        </row>
        <row r="796">
          <cell r="A796" t="str">
            <v>Y0410024027339</v>
          </cell>
          <cell r="B796" t="str">
            <v>靠背侧边固定支架</v>
          </cell>
          <cell r="C796" t="str">
            <v>件</v>
          </cell>
          <cell r="D796">
            <v>9.55752212389381</v>
          </cell>
          <cell r="E796">
            <v>1.33</v>
          </cell>
        </row>
        <row r="797">
          <cell r="A797" t="str">
            <v>Y0410024027340</v>
          </cell>
          <cell r="B797" t="str">
            <v>后排靠背支架</v>
          </cell>
          <cell r="C797" t="str">
            <v>件</v>
          </cell>
          <cell r="D797">
            <v>9.55752212389381</v>
          </cell>
          <cell r="E797">
            <v>1.33</v>
          </cell>
        </row>
        <row r="798">
          <cell r="A798" t="str">
            <v>Y0410024027341</v>
          </cell>
          <cell r="B798" t="str">
            <v>座椅下支撑</v>
          </cell>
          <cell r="C798" t="str">
            <v>件</v>
          </cell>
          <cell r="D798">
            <v>9.55752212389381</v>
          </cell>
          <cell r="E798">
            <v>1.33</v>
          </cell>
        </row>
        <row r="799">
          <cell r="A799" t="str">
            <v>Y0410024027342</v>
          </cell>
          <cell r="B799" t="str">
            <v>座椅中支撑</v>
          </cell>
          <cell r="C799" t="str">
            <v>件</v>
          </cell>
          <cell r="D799">
            <v>9.55752212389381</v>
          </cell>
          <cell r="E799">
            <v>1.33</v>
          </cell>
        </row>
        <row r="800">
          <cell r="A800" t="str">
            <v>Y0410024027343</v>
          </cell>
          <cell r="B800" t="str">
            <v>座椅上支撑</v>
          </cell>
          <cell r="C800" t="str">
            <v>件</v>
          </cell>
          <cell r="D800">
            <v>9.55752212389381</v>
          </cell>
          <cell r="E800">
            <v>1.33</v>
          </cell>
        </row>
        <row r="801">
          <cell r="A801" t="str">
            <v>Y0410024027344</v>
          </cell>
          <cell r="B801" t="str">
            <v>安全带固定支撑</v>
          </cell>
          <cell r="C801" t="str">
            <v>件</v>
          </cell>
          <cell r="D801">
            <v>9.55752212389381</v>
          </cell>
          <cell r="E801">
            <v>1.33</v>
          </cell>
        </row>
        <row r="802">
          <cell r="A802" t="str">
            <v>Y0410024027345</v>
          </cell>
          <cell r="B802" t="str">
            <v>靠背支架堵盖1</v>
          </cell>
          <cell r="C802" t="str">
            <v>件</v>
          </cell>
          <cell r="D802">
            <v>9.55752212389381</v>
          </cell>
          <cell r="E802">
            <v>1.33</v>
          </cell>
        </row>
        <row r="803">
          <cell r="A803" t="str">
            <v>Y0410024027346</v>
          </cell>
          <cell r="B803" t="str">
            <v>靠背支架堵盖2</v>
          </cell>
          <cell r="C803" t="str">
            <v>件</v>
          </cell>
          <cell r="D803">
            <v>9.55752212389381</v>
          </cell>
          <cell r="E803">
            <v>1.33</v>
          </cell>
        </row>
        <row r="804">
          <cell r="A804" t="str">
            <v>Y0410024027347</v>
          </cell>
          <cell r="B804" t="str">
            <v>座椅上支撑加强筋</v>
          </cell>
          <cell r="C804" t="str">
            <v>件</v>
          </cell>
          <cell r="D804">
            <v>9.55752212389381</v>
          </cell>
          <cell r="E804">
            <v>1.33</v>
          </cell>
        </row>
        <row r="805">
          <cell r="A805" t="str">
            <v>Y0410024027348</v>
          </cell>
          <cell r="B805" t="str">
            <v>座椅上横梁</v>
          </cell>
          <cell r="C805" t="str">
            <v>件</v>
          </cell>
          <cell r="D805">
            <v>9.55752212389381</v>
          </cell>
          <cell r="E805">
            <v>1.33</v>
          </cell>
        </row>
        <row r="806">
          <cell r="A806" t="str">
            <v>Y0410024027328</v>
          </cell>
          <cell r="B806" t="str">
            <v>前座椅桶竖梁</v>
          </cell>
          <cell r="C806" t="str">
            <v>件</v>
          </cell>
          <cell r="D806">
            <v>11.2630732099759</v>
          </cell>
          <cell r="E806">
            <v>1.56</v>
          </cell>
        </row>
        <row r="807">
          <cell r="A807" t="str">
            <v>Y0410024027329</v>
          </cell>
          <cell r="B807" t="str">
            <v>前座椅桶前横梁</v>
          </cell>
          <cell r="C807" t="str">
            <v>件</v>
          </cell>
          <cell r="D807">
            <v>11.2630732099759</v>
          </cell>
          <cell r="E807">
            <v>1.56</v>
          </cell>
        </row>
        <row r="808">
          <cell r="A808" t="str">
            <v>Y0410024027330</v>
          </cell>
          <cell r="B808" t="str">
            <v>前座椅桶纵梁</v>
          </cell>
          <cell r="C808" t="str">
            <v>件</v>
          </cell>
          <cell r="D808">
            <v>11.2630732099759</v>
          </cell>
          <cell r="E808">
            <v>1.56</v>
          </cell>
        </row>
        <row r="809">
          <cell r="A809" t="str">
            <v>Y0410024027331</v>
          </cell>
          <cell r="B809" t="str">
            <v>前座椅桶后横梁</v>
          </cell>
          <cell r="C809" t="str">
            <v>件</v>
          </cell>
          <cell r="D809">
            <v>11.2630732099759</v>
          </cell>
          <cell r="E809">
            <v>1.56</v>
          </cell>
        </row>
        <row r="810">
          <cell r="A810" t="str">
            <v>Y0410024027332</v>
          </cell>
          <cell r="B810" t="str">
            <v>前座椅桶下横梁</v>
          </cell>
          <cell r="C810" t="str">
            <v>件</v>
          </cell>
          <cell r="D810">
            <v>11.2630732099759</v>
          </cell>
          <cell r="E810">
            <v>1.56</v>
          </cell>
        </row>
        <row r="811">
          <cell r="A811" t="str">
            <v>Y0410024027333</v>
          </cell>
          <cell r="B811" t="str">
            <v>前座椅桶加强板</v>
          </cell>
          <cell r="C811" t="str">
            <v>件</v>
          </cell>
          <cell r="D811">
            <v>11.2630732099759</v>
          </cell>
          <cell r="E811">
            <v>1.56</v>
          </cell>
        </row>
        <row r="812">
          <cell r="A812" t="str">
            <v>Y0410024027334</v>
          </cell>
          <cell r="B812" t="str">
            <v>前座椅桶靠背安装板</v>
          </cell>
          <cell r="C812" t="str">
            <v>件</v>
          </cell>
          <cell r="D812">
            <v>11.2630732099759</v>
          </cell>
          <cell r="E812">
            <v>1.56</v>
          </cell>
        </row>
        <row r="813">
          <cell r="A813" t="str">
            <v>Y0410024027335</v>
          </cell>
          <cell r="B813" t="str">
            <v>前排安全带内侧支架</v>
          </cell>
          <cell r="C813" t="str">
            <v>件</v>
          </cell>
          <cell r="D813">
            <v>11.2630732099759</v>
          </cell>
          <cell r="E813">
            <v>1.56</v>
          </cell>
        </row>
        <row r="814">
          <cell r="A814" t="str">
            <v>Y0410024027336</v>
          </cell>
          <cell r="B814" t="str">
            <v>安全带外侧安装块</v>
          </cell>
          <cell r="C814" t="str">
            <v>件</v>
          </cell>
          <cell r="D814">
            <v>11.2630732099759</v>
          </cell>
          <cell r="E814">
            <v>1.56</v>
          </cell>
        </row>
        <row r="815">
          <cell r="A815" t="str">
            <v>Y0410024027337</v>
          </cell>
          <cell r="B815" t="str">
            <v>前排座椅球窝支架 左</v>
          </cell>
          <cell r="C815" t="str">
            <v>件</v>
          </cell>
          <cell r="D815">
            <v>11.2630732099759</v>
          </cell>
          <cell r="E815">
            <v>1.56</v>
          </cell>
        </row>
        <row r="816">
          <cell r="A816" t="str">
            <v>Y0410024027338</v>
          </cell>
          <cell r="B816" t="str">
            <v>前排座椅球窝支架 右</v>
          </cell>
          <cell r="C816" t="str">
            <v>件</v>
          </cell>
          <cell r="D816">
            <v>11.2630732099759</v>
          </cell>
          <cell r="E816">
            <v>1.56</v>
          </cell>
        </row>
        <row r="817">
          <cell r="A817" t="str">
            <v>F0102087851</v>
          </cell>
          <cell r="B817" t="str">
            <v>油壶支架</v>
          </cell>
          <cell r="C817" t="str">
            <v>件</v>
          </cell>
          <cell r="D817">
            <v>3.86725663716814</v>
          </cell>
          <cell r="E817">
            <v>0.54</v>
          </cell>
        </row>
        <row r="818">
          <cell r="A818" t="str">
            <v>F0102087852</v>
          </cell>
          <cell r="B818" t="str">
            <v>前立柱固定支架总成左</v>
          </cell>
          <cell r="C818" t="str">
            <v>件</v>
          </cell>
          <cell r="D818">
            <v>7.56637168141593</v>
          </cell>
          <cell r="E818">
            <v>1.05</v>
          </cell>
        </row>
        <row r="819">
          <cell r="A819" t="str">
            <v>F0102087853</v>
          </cell>
          <cell r="B819" t="str">
            <v>前立柱固定支架总成右</v>
          </cell>
          <cell r="C819" t="str">
            <v>件</v>
          </cell>
          <cell r="D819">
            <v>7.56637168141593</v>
          </cell>
          <cell r="E819">
            <v>1.05</v>
          </cell>
        </row>
        <row r="820">
          <cell r="A820" t="str">
            <v>F0102087854</v>
          </cell>
          <cell r="B820" t="str">
            <v>前圆管梁</v>
          </cell>
          <cell r="C820" t="str">
            <v>件</v>
          </cell>
          <cell r="D820">
            <v>14.8672566371681</v>
          </cell>
          <cell r="E820">
            <v>2.06</v>
          </cell>
        </row>
        <row r="821">
          <cell r="A821" t="str">
            <v>F0102087855</v>
          </cell>
          <cell r="B821" t="str">
            <v>前上横梁</v>
          </cell>
          <cell r="C821" t="str">
            <v>件</v>
          </cell>
          <cell r="D821">
            <v>12.5044247787611</v>
          </cell>
          <cell r="E821">
            <v>1.74</v>
          </cell>
        </row>
        <row r="822">
          <cell r="A822" t="str">
            <v>F0102087856</v>
          </cell>
          <cell r="B822" t="str">
            <v>手套箱左支架</v>
          </cell>
          <cell r="C822" t="str">
            <v>件</v>
          </cell>
          <cell r="D822">
            <v>2.53097345132743</v>
          </cell>
          <cell r="E822">
            <v>0.35</v>
          </cell>
        </row>
        <row r="823">
          <cell r="A823" t="str">
            <v>F0102087857</v>
          </cell>
          <cell r="B823" t="str">
            <v>手套箱右支架</v>
          </cell>
          <cell r="C823" t="str">
            <v>件</v>
          </cell>
          <cell r="D823">
            <v>3.36283185840708</v>
          </cell>
          <cell r="E823">
            <v>0.47</v>
          </cell>
        </row>
        <row r="824">
          <cell r="A824" t="str">
            <v>F0102087858</v>
          </cell>
          <cell r="B824" t="str">
            <v>前轮罩支架横梁</v>
          </cell>
          <cell r="C824" t="str">
            <v>件</v>
          </cell>
          <cell r="D824">
            <v>3.23893805309735</v>
          </cell>
          <cell r="E824">
            <v>0.45</v>
          </cell>
        </row>
        <row r="825">
          <cell r="A825" t="str">
            <v>F2101041013</v>
          </cell>
          <cell r="B825" t="str">
            <v>8.8级不锈钢六角螺栓</v>
          </cell>
          <cell r="C825" t="str">
            <v>件</v>
          </cell>
          <cell r="D825">
            <v>0.1925</v>
          </cell>
          <cell r="E825">
            <v>0.03</v>
          </cell>
        </row>
        <row r="826">
          <cell r="A826" t="str">
            <v>Y0301014024</v>
          </cell>
          <cell r="B826" t="str">
            <v>8.8级不锈钢六角螺栓</v>
          </cell>
          <cell r="C826" t="str">
            <v>件</v>
          </cell>
          <cell r="D826">
            <v>0.2146</v>
          </cell>
          <cell r="E826">
            <v>0.03</v>
          </cell>
        </row>
        <row r="827">
          <cell r="A827" t="str">
            <v>Y0301014001</v>
          </cell>
          <cell r="B827" t="str">
            <v>8.8级不锈钢六角螺栓</v>
          </cell>
          <cell r="C827" t="str">
            <v>件</v>
          </cell>
          <cell r="D827">
            <v>0.3711</v>
          </cell>
          <cell r="E827">
            <v>0.05</v>
          </cell>
        </row>
        <row r="828">
          <cell r="A828" t="str">
            <v>Y0301014029</v>
          </cell>
          <cell r="B828" t="str">
            <v>8.8级不锈钢六角螺栓</v>
          </cell>
          <cell r="C828" t="str">
            <v>件</v>
          </cell>
          <cell r="D828">
            <v>0.3711</v>
          </cell>
          <cell r="E828">
            <v>0.05</v>
          </cell>
        </row>
        <row r="829">
          <cell r="A829" t="str">
            <v>F2101041015</v>
          </cell>
          <cell r="B829" t="str">
            <v>8.8级不锈钢六角螺栓</v>
          </cell>
          <cell r="C829" t="str">
            <v>件</v>
          </cell>
          <cell r="D829">
            <v>0.325</v>
          </cell>
          <cell r="E829">
            <v>0.05</v>
          </cell>
        </row>
        <row r="830">
          <cell r="A830" t="str">
            <v>Y0301014003</v>
          </cell>
          <cell r="B830" t="str">
            <v>8.8级不锈钢六角螺栓</v>
          </cell>
          <cell r="C830" t="str">
            <v>件</v>
          </cell>
          <cell r="D830">
            <v>0.4861</v>
          </cell>
          <cell r="E830">
            <v>0.07</v>
          </cell>
        </row>
        <row r="831">
          <cell r="A831" t="str">
            <v>Y0301010020</v>
          </cell>
          <cell r="B831" t="str">
            <v>8.8级六角螺栓（镀彩锌、全牙）</v>
          </cell>
          <cell r="C831" t="str">
            <v>件</v>
          </cell>
          <cell r="D831">
            <v>0.1157</v>
          </cell>
          <cell r="E831">
            <v>0.02</v>
          </cell>
        </row>
        <row r="832">
          <cell r="A832" t="str">
            <v>Y0301014004</v>
          </cell>
          <cell r="B832" t="str">
            <v>8.8级不锈钢六角螺栓</v>
          </cell>
          <cell r="C832" t="str">
            <v>件</v>
          </cell>
          <cell r="D832">
            <v>0.4563</v>
          </cell>
          <cell r="E832">
            <v>0.06</v>
          </cell>
        </row>
        <row r="833">
          <cell r="A833" t="str">
            <v>Y0301010021</v>
          </cell>
          <cell r="B833" t="str">
            <v>8.8级六角螺栓（镀彩锌、全牙）</v>
          </cell>
          <cell r="C833" t="str">
            <v>件</v>
          </cell>
          <cell r="D833">
            <v>0.1285</v>
          </cell>
          <cell r="E833">
            <v>0.02</v>
          </cell>
        </row>
        <row r="834">
          <cell r="A834" t="str">
            <v>Y0301010022</v>
          </cell>
          <cell r="B834" t="str">
            <v>8.8级六角螺栓（镀彩锌、全牙）</v>
          </cell>
          <cell r="C834" t="str">
            <v>件</v>
          </cell>
          <cell r="D834">
            <v>0.1392</v>
          </cell>
          <cell r="E834">
            <v>0.02</v>
          </cell>
        </row>
        <row r="835">
          <cell r="A835" t="str">
            <v>Y0301014006</v>
          </cell>
          <cell r="B835" t="str">
            <v>8.8级不锈钢六角螺栓</v>
          </cell>
          <cell r="C835" t="str">
            <v>件</v>
          </cell>
          <cell r="D835">
            <v>0.5235</v>
          </cell>
          <cell r="E835">
            <v>0.07</v>
          </cell>
        </row>
        <row r="836">
          <cell r="A836" t="str">
            <v>Y0301014007</v>
          </cell>
          <cell r="B836" t="str">
            <v>8.8级不锈钢六角螺栓</v>
          </cell>
          <cell r="C836" t="str">
            <v>件</v>
          </cell>
          <cell r="D836">
            <v>0.5019</v>
          </cell>
          <cell r="E836">
            <v>0.07</v>
          </cell>
        </row>
        <row r="837">
          <cell r="A837" t="str">
            <v>Y0301010024</v>
          </cell>
          <cell r="B837" t="str">
            <v>8.8级六角螺栓（镀彩锌、全牙）</v>
          </cell>
          <cell r="C837" t="str">
            <v>件</v>
          </cell>
          <cell r="D837">
            <v>0.1944</v>
          </cell>
          <cell r="E837">
            <v>0.03</v>
          </cell>
        </row>
        <row r="838">
          <cell r="A838" t="str">
            <v>Y0301014025</v>
          </cell>
          <cell r="B838" t="str">
            <v>8.8级不锈钢六角螺栓</v>
          </cell>
          <cell r="C838" t="str">
            <v>件</v>
          </cell>
          <cell r="D838">
            <v>0.5522</v>
          </cell>
          <cell r="E838">
            <v>0.08</v>
          </cell>
        </row>
        <row r="839">
          <cell r="A839" t="str">
            <v>F2101041018</v>
          </cell>
          <cell r="B839" t="str">
            <v>8.8级不锈钢六角螺栓</v>
          </cell>
          <cell r="C839" t="str">
            <v>件</v>
          </cell>
          <cell r="D839">
            <v>0.6229</v>
          </cell>
          <cell r="E839">
            <v>0.09</v>
          </cell>
        </row>
        <row r="840">
          <cell r="A840" t="str">
            <v>Y0301014028</v>
          </cell>
          <cell r="B840" t="str">
            <v>8.8级不锈钢六角螺栓</v>
          </cell>
          <cell r="C840" t="str">
            <v>件</v>
          </cell>
          <cell r="D840">
            <v>0.8813</v>
          </cell>
          <cell r="E840">
            <v>0.12</v>
          </cell>
        </row>
        <row r="841">
          <cell r="A841" t="str">
            <v>F2101041030</v>
          </cell>
          <cell r="B841" t="str">
            <v>8.8级不锈钢六角螺栓</v>
          </cell>
          <cell r="C841" t="str">
            <v>件</v>
          </cell>
          <cell r="D841">
            <v>1.15</v>
          </cell>
          <cell r="E841">
            <v>0.16</v>
          </cell>
        </row>
        <row r="842">
          <cell r="A842" t="str">
            <v>F2101041053</v>
          </cell>
          <cell r="B842" t="str">
            <v>8.8级不锈钢六角螺栓</v>
          </cell>
          <cell r="C842" t="str">
            <v>件</v>
          </cell>
          <cell r="D842">
            <v>1.85</v>
          </cell>
          <cell r="E842">
            <v>0.26</v>
          </cell>
        </row>
        <row r="843">
          <cell r="A843" t="str">
            <v>F2101018010</v>
          </cell>
          <cell r="B843" t="str">
            <v>8.8级六角螺栓（镀彩锌、全牙）</v>
          </cell>
          <cell r="C843" t="str">
            <v>件</v>
          </cell>
          <cell r="D843">
            <v>0.3585</v>
          </cell>
          <cell r="E843">
            <v>0.05</v>
          </cell>
        </row>
        <row r="844">
          <cell r="A844" t="str">
            <v>Y0301010040</v>
          </cell>
          <cell r="B844" t="str">
            <v>8.8级六角螺栓（镀彩锌、全牙）</v>
          </cell>
          <cell r="C844" t="str">
            <v>件</v>
          </cell>
          <cell r="D844">
            <v>0.3877</v>
          </cell>
          <cell r="E844">
            <v>0.05</v>
          </cell>
        </row>
        <row r="845">
          <cell r="A845" t="str">
            <v>Y0301010057</v>
          </cell>
          <cell r="B845" t="str">
            <v>8.8级六角螺栓（镀彩锌、全牙）</v>
          </cell>
          <cell r="C845" t="str">
            <v>件</v>
          </cell>
          <cell r="D845">
            <v>0.6129</v>
          </cell>
          <cell r="E845">
            <v>0.09</v>
          </cell>
        </row>
        <row r="846">
          <cell r="A846" t="str">
            <v>F2101041036</v>
          </cell>
          <cell r="B846" t="str">
            <v>8.8级六角螺栓（镀彩锌、半牙）</v>
          </cell>
          <cell r="C846" t="str">
            <v>件</v>
          </cell>
          <cell r="D846">
            <v>0.5748</v>
          </cell>
          <cell r="E846">
            <v>0.08</v>
          </cell>
        </row>
        <row r="847">
          <cell r="A847" t="str">
            <v>Y0301010061</v>
          </cell>
          <cell r="B847" t="str">
            <v>8.8级六角螺栓（镀彩锌、半牙）</v>
          </cell>
          <cell r="C847" t="str">
            <v>件</v>
          </cell>
          <cell r="D847">
            <v>1.0494</v>
          </cell>
          <cell r="E847">
            <v>0.15</v>
          </cell>
        </row>
        <row r="848">
          <cell r="A848" t="str">
            <v>Y0301010062</v>
          </cell>
          <cell r="B848" t="str">
            <v>8.8级六角螺栓（镀彩锌、半牙）</v>
          </cell>
          <cell r="C848" t="str">
            <v>件</v>
          </cell>
          <cell r="D848">
            <v>1.0136</v>
          </cell>
          <cell r="E848">
            <v>0.14</v>
          </cell>
        </row>
        <row r="849">
          <cell r="A849" t="str">
            <v>Y0301013006</v>
          </cell>
          <cell r="B849" t="str">
            <v>8.8级六角法兰螺栓</v>
          </cell>
          <cell r="C849" t="str">
            <v>件</v>
          </cell>
          <cell r="D849">
            <v>0.109</v>
          </cell>
          <cell r="E849">
            <v>0.02</v>
          </cell>
        </row>
        <row r="850">
          <cell r="A850" t="str">
            <v>F2101043112</v>
          </cell>
          <cell r="B850" t="str">
            <v>10.9级六角法兰螺栓（三价五彩）</v>
          </cell>
          <cell r="C850" t="str">
            <v>件</v>
          </cell>
          <cell r="D850">
            <v>0.285</v>
          </cell>
          <cell r="E850">
            <v>0.04</v>
          </cell>
        </row>
        <row r="851">
          <cell r="A851" t="str">
            <v>F2101043042</v>
          </cell>
          <cell r="B851" t="str">
            <v>8.8级六角法兰螺栓</v>
          </cell>
          <cell r="C851" t="str">
            <v>件</v>
          </cell>
          <cell r="D851">
            <v>0.2455</v>
          </cell>
          <cell r="E851">
            <v>0.03</v>
          </cell>
        </row>
        <row r="852">
          <cell r="A852" t="str">
            <v>Y0301013015</v>
          </cell>
          <cell r="B852" t="str">
            <v>8.8级六角法兰螺栓</v>
          </cell>
          <cell r="C852" t="str">
            <v>件</v>
          </cell>
          <cell r="D852">
            <v>0.35</v>
          </cell>
          <cell r="E852">
            <v>0.05</v>
          </cell>
        </row>
        <row r="853">
          <cell r="A853" t="str">
            <v>Y0301013024</v>
          </cell>
          <cell r="B853" t="str">
            <v>8.8级六角法兰螺栓</v>
          </cell>
          <cell r="C853" t="str">
            <v>件</v>
          </cell>
          <cell r="D853">
            <v>0.42</v>
          </cell>
          <cell r="E853">
            <v>0.06</v>
          </cell>
        </row>
        <row r="854">
          <cell r="A854" t="str">
            <v>Y0301021016</v>
          </cell>
          <cell r="B854" t="str">
            <v>不锈钢弹簧垫圈</v>
          </cell>
          <cell r="C854" t="str">
            <v>件</v>
          </cell>
          <cell r="D854">
            <v>0.0355</v>
          </cell>
          <cell r="E854">
            <v>0.01</v>
          </cell>
        </row>
        <row r="855">
          <cell r="A855" t="str">
            <v>Y0301021014</v>
          </cell>
          <cell r="B855" t="str">
            <v>不锈钢弹簧垫圈</v>
          </cell>
          <cell r="C855" t="str">
            <v>件</v>
          </cell>
          <cell r="D855">
            <v>0.049</v>
          </cell>
          <cell r="E855">
            <v>0.01</v>
          </cell>
        </row>
        <row r="856">
          <cell r="A856" t="str">
            <v>Y0301021006</v>
          </cell>
          <cell r="B856" t="str">
            <v>不锈钢弹簧垫圈</v>
          </cell>
          <cell r="C856" t="str">
            <v>件</v>
          </cell>
          <cell r="D856">
            <v>0.0612</v>
          </cell>
          <cell r="E856">
            <v>0.01</v>
          </cell>
        </row>
        <row r="857">
          <cell r="A857" t="str">
            <v>Y0301021005</v>
          </cell>
          <cell r="B857" t="str">
            <v>弹簧垫圈（镀彩锌）</v>
          </cell>
          <cell r="C857" t="str">
            <v>件</v>
          </cell>
          <cell r="D857">
            <v>0.0133</v>
          </cell>
          <cell r="E857">
            <v>0.01</v>
          </cell>
        </row>
        <row r="858">
          <cell r="A858" t="str">
            <v>Y0301021007</v>
          </cell>
          <cell r="B858" t="str">
            <v>弹簧垫圈（镀彩锌）</v>
          </cell>
          <cell r="C858" t="str">
            <v>件</v>
          </cell>
          <cell r="D858">
            <v>0.0279</v>
          </cell>
          <cell r="E858">
            <v>0.01</v>
          </cell>
        </row>
        <row r="859">
          <cell r="A859" t="str">
            <v>Y0301021009</v>
          </cell>
          <cell r="B859" t="str">
            <v>弹簧垫圈（镀彩锌）</v>
          </cell>
          <cell r="C859" t="str">
            <v>件</v>
          </cell>
          <cell r="D859">
            <v>0.0385</v>
          </cell>
          <cell r="E859">
            <v>0.01</v>
          </cell>
        </row>
        <row r="860">
          <cell r="A860" t="str">
            <v>Y0301020201</v>
          </cell>
          <cell r="B860" t="str">
            <v>不锈钢平垫</v>
          </cell>
          <cell r="C860" t="str">
            <v>件</v>
          </cell>
          <cell r="D860">
            <v>0.0221</v>
          </cell>
          <cell r="E860">
            <v>0.01</v>
          </cell>
        </row>
        <row r="861">
          <cell r="A861" t="str">
            <v>Y0301020202</v>
          </cell>
          <cell r="B861" t="str">
            <v>不锈钢平垫</v>
          </cell>
          <cell r="C861" t="str">
            <v>件</v>
          </cell>
          <cell r="D861">
            <v>0.0251</v>
          </cell>
          <cell r="E861">
            <v>0.01</v>
          </cell>
        </row>
        <row r="862">
          <cell r="A862" t="str">
            <v>Y0301020027</v>
          </cell>
          <cell r="B862" t="str">
            <v>不锈钢平垫</v>
          </cell>
          <cell r="C862" t="str">
            <v>件</v>
          </cell>
          <cell r="D862">
            <v>0.0555</v>
          </cell>
          <cell r="E862">
            <v>0.01</v>
          </cell>
        </row>
        <row r="863">
          <cell r="A863" t="str">
            <v>F2101081007</v>
          </cell>
          <cell r="B863" t="str">
            <v>黑平垫</v>
          </cell>
          <cell r="C863" t="str">
            <v>件</v>
          </cell>
          <cell r="D863">
            <v>0.08</v>
          </cell>
          <cell r="E863">
            <v>0.01</v>
          </cell>
        </row>
        <row r="864">
          <cell r="A864" t="str">
            <v>Y0301020026</v>
          </cell>
          <cell r="B864" t="str">
            <v>不锈钢平垫</v>
          </cell>
          <cell r="C864" t="str">
            <v>件</v>
          </cell>
          <cell r="D864">
            <v>0.073</v>
          </cell>
          <cell r="E864">
            <v>0.01</v>
          </cell>
        </row>
        <row r="865">
          <cell r="A865" t="str">
            <v>Y0301020007</v>
          </cell>
          <cell r="B865" t="str">
            <v>平垫（镀彩锌）</v>
          </cell>
          <cell r="C865" t="str">
            <v>件</v>
          </cell>
          <cell r="D865">
            <v>0.0159</v>
          </cell>
          <cell r="E865">
            <v>0.01</v>
          </cell>
        </row>
        <row r="866">
          <cell r="A866" t="str">
            <v>Y0301020012</v>
          </cell>
          <cell r="B866" t="str">
            <v>不锈钢平垫</v>
          </cell>
          <cell r="C866" t="str">
            <v>件</v>
          </cell>
          <cell r="D866">
            <v>0.0673</v>
          </cell>
          <cell r="E866">
            <v>0.01</v>
          </cell>
        </row>
        <row r="867">
          <cell r="A867" t="str">
            <v>Y030102001014</v>
          </cell>
          <cell r="B867" t="str">
            <v>平垫（镀彩锌）</v>
          </cell>
          <cell r="C867" t="str">
            <v>件</v>
          </cell>
          <cell r="D867">
            <v>0.0313</v>
          </cell>
          <cell r="E867">
            <v>0.01</v>
          </cell>
        </row>
        <row r="868">
          <cell r="A868" t="str">
            <v>Y0301020028</v>
          </cell>
          <cell r="B868" t="str">
            <v>不锈钢平垫</v>
          </cell>
          <cell r="C868" t="str">
            <v>件</v>
          </cell>
          <cell r="D868">
            <v>0.1262</v>
          </cell>
          <cell r="E868">
            <v>0.02</v>
          </cell>
        </row>
        <row r="869">
          <cell r="A869" t="str">
            <v>Y0301020032</v>
          </cell>
          <cell r="B869" t="str">
            <v>不锈钢加大平垫</v>
          </cell>
          <cell r="C869" t="str">
            <v>件</v>
          </cell>
          <cell r="D869">
            <v>0.0754</v>
          </cell>
          <cell r="E869">
            <v>0.01</v>
          </cell>
        </row>
        <row r="870">
          <cell r="A870" t="str">
            <v>Y0301020003</v>
          </cell>
          <cell r="B870" t="str">
            <v>加大平垫（镀彩锌）</v>
          </cell>
          <cell r="C870" t="str">
            <v>件</v>
          </cell>
          <cell r="D870">
            <v>0.0056</v>
          </cell>
          <cell r="E870">
            <v>0.01</v>
          </cell>
        </row>
        <row r="871">
          <cell r="A871" t="str">
            <v>Y0301020006</v>
          </cell>
          <cell r="B871" t="str">
            <v>不锈钢加大平垫</v>
          </cell>
          <cell r="C871" t="str">
            <v>件</v>
          </cell>
          <cell r="D871">
            <v>0.0903</v>
          </cell>
          <cell r="E871">
            <v>0.01</v>
          </cell>
        </row>
        <row r="872">
          <cell r="A872" t="str">
            <v>Y0301020009</v>
          </cell>
          <cell r="B872" t="str">
            <v>不锈钢加大平垫</v>
          </cell>
          <cell r="C872" t="str">
            <v>件</v>
          </cell>
          <cell r="D872">
            <v>0.1664</v>
          </cell>
          <cell r="E872">
            <v>0.02</v>
          </cell>
        </row>
        <row r="873">
          <cell r="A873" t="str">
            <v>Y0301020011</v>
          </cell>
          <cell r="B873" t="str">
            <v>加大平垫（镀彩锌）</v>
          </cell>
          <cell r="C873" t="str">
            <v>件</v>
          </cell>
          <cell r="D873">
            <v>0.0717</v>
          </cell>
          <cell r="E873">
            <v>0.01</v>
          </cell>
        </row>
        <row r="874">
          <cell r="A874" t="str">
            <v>Y0301020014</v>
          </cell>
          <cell r="B874" t="str">
            <v>加大平垫(镀彩锌)</v>
          </cell>
          <cell r="C874" t="str">
            <v>件</v>
          </cell>
          <cell r="D874">
            <v>0.0456</v>
          </cell>
          <cell r="E874">
            <v>0.01</v>
          </cell>
        </row>
        <row r="875">
          <cell r="A875" t="str">
            <v>F2101021016</v>
          </cell>
          <cell r="B875" t="str">
            <v>4级十字槽盘头自攻钉</v>
          </cell>
          <cell r="C875" t="str">
            <v>件</v>
          </cell>
          <cell r="D875">
            <v>0.0855</v>
          </cell>
          <cell r="E875">
            <v>0.01</v>
          </cell>
        </row>
        <row r="876">
          <cell r="A876" t="str">
            <v>F2101021028</v>
          </cell>
          <cell r="B876" t="str">
            <v>4级十字槽盘头自攻钉</v>
          </cell>
          <cell r="C876" t="str">
            <v>件</v>
          </cell>
          <cell r="D876">
            <v>0.065</v>
          </cell>
          <cell r="E876">
            <v>0.01</v>
          </cell>
        </row>
        <row r="877">
          <cell r="A877" t="str">
            <v>F2101001019</v>
          </cell>
          <cell r="B877" t="str">
            <v>4级十字槽盘头机螺钉</v>
          </cell>
          <cell r="C877" t="str">
            <v>件</v>
          </cell>
          <cell r="D877">
            <v>0.065</v>
          </cell>
          <cell r="E877">
            <v>0.01</v>
          </cell>
        </row>
        <row r="878">
          <cell r="A878" t="str">
            <v>F2101002008</v>
          </cell>
          <cell r="B878" t="str">
            <v>4级十字槽沉头机螺栓</v>
          </cell>
          <cell r="C878" t="str">
            <v>件</v>
          </cell>
          <cell r="D878">
            <v>0.115</v>
          </cell>
          <cell r="E878">
            <v>0.02</v>
          </cell>
        </row>
        <row r="879">
          <cell r="A879" t="str">
            <v>Y030100504513</v>
          </cell>
          <cell r="B879" t="str">
            <v>4级法兰面圆头自攻螺钉</v>
          </cell>
          <cell r="C879" t="str">
            <v>件</v>
          </cell>
          <cell r="D879">
            <v>0.1445</v>
          </cell>
          <cell r="E879">
            <v>0.02</v>
          </cell>
        </row>
        <row r="880">
          <cell r="A880" t="str">
            <v>F2101032007</v>
          </cell>
          <cell r="B880" t="str">
            <v>4级十字槽盘头自攻钉</v>
          </cell>
          <cell r="C880" t="str">
            <v>件</v>
          </cell>
          <cell r="D880">
            <v>0.0655</v>
          </cell>
          <cell r="E880">
            <v>0.01</v>
          </cell>
        </row>
        <row r="881">
          <cell r="A881" t="str">
            <v>F2101021017</v>
          </cell>
          <cell r="B881" t="str">
            <v>4级十字槽盘头自攻钉</v>
          </cell>
          <cell r="C881" t="str">
            <v>件</v>
          </cell>
          <cell r="D881">
            <v>0.0523</v>
          </cell>
          <cell r="E881">
            <v>0.01</v>
          </cell>
        </row>
        <row r="882">
          <cell r="A882" t="str">
            <v>F210103003</v>
          </cell>
          <cell r="B882" t="str">
            <v>4级内六角盘头自攻钉</v>
          </cell>
          <cell r="C882" t="str">
            <v>件</v>
          </cell>
          <cell r="D882">
            <v>0.2695</v>
          </cell>
          <cell r="E882">
            <v>0.04</v>
          </cell>
        </row>
        <row r="883">
          <cell r="A883" t="str">
            <v>Y0301005043</v>
          </cell>
          <cell r="B883" t="str">
            <v>4级内六角盘头自攻钉</v>
          </cell>
          <cell r="C883" t="str">
            <v>件</v>
          </cell>
          <cell r="D883">
            <v>0.1281</v>
          </cell>
          <cell r="E883">
            <v>0.02</v>
          </cell>
        </row>
        <row r="884">
          <cell r="A884" t="str">
            <v>Y0301006023</v>
          </cell>
          <cell r="B884" t="str">
            <v>4级十字槽沉头自攻钉</v>
          </cell>
          <cell r="C884" t="str">
            <v>件</v>
          </cell>
          <cell r="D884">
            <v>0.0307</v>
          </cell>
          <cell r="E884">
            <v>0.01</v>
          </cell>
        </row>
        <row r="885">
          <cell r="A885" t="str">
            <v>F210103004</v>
          </cell>
          <cell r="B885" t="str">
            <v>4级内六角沉头自攻钉</v>
          </cell>
          <cell r="C885" t="str">
            <v>件</v>
          </cell>
          <cell r="D885">
            <v>0.2518</v>
          </cell>
          <cell r="E885">
            <v>0.03</v>
          </cell>
        </row>
        <row r="886">
          <cell r="A886" t="str">
            <v>F210103006</v>
          </cell>
          <cell r="B886" t="str">
            <v>4级内六角法兰面圆头自攻钉</v>
          </cell>
          <cell r="C886" t="str">
            <v>件</v>
          </cell>
          <cell r="D886">
            <v>0.2783</v>
          </cell>
          <cell r="E886">
            <v>0.04</v>
          </cell>
        </row>
        <row r="887">
          <cell r="A887" t="str">
            <v>F210103007</v>
          </cell>
          <cell r="B887" t="str">
            <v>4级内六角法兰面圆头自攻钉</v>
          </cell>
          <cell r="C887" t="str">
            <v>件</v>
          </cell>
          <cell r="D887">
            <v>0.1546</v>
          </cell>
          <cell r="E887">
            <v>0.02</v>
          </cell>
        </row>
        <row r="888">
          <cell r="A888" t="str">
            <v>F2101021013</v>
          </cell>
          <cell r="B888" t="str">
            <v>4级内六角法兰面平底自攻钉</v>
          </cell>
          <cell r="C888" t="str">
            <v>件</v>
          </cell>
          <cell r="D888">
            <v>0.215</v>
          </cell>
          <cell r="E888">
            <v>0.03</v>
          </cell>
        </row>
        <row r="889">
          <cell r="A889" t="str">
            <v>F2101012011</v>
          </cell>
          <cell r="B889" t="str">
            <v>不锈钢半圆头内六角螺钉（黑色达克罗）</v>
          </cell>
          <cell r="C889" t="str">
            <v>件</v>
          </cell>
          <cell r="D889">
            <v>0.1988</v>
          </cell>
          <cell r="E889">
            <v>0.03</v>
          </cell>
        </row>
        <row r="890">
          <cell r="A890" t="str">
            <v>Y0301012018</v>
          </cell>
          <cell r="B890" t="str">
            <v>半圆头内六角螺丝</v>
          </cell>
          <cell r="C890" t="str">
            <v>件</v>
          </cell>
          <cell r="D890">
            <v>0.3449</v>
          </cell>
          <cell r="E890">
            <v>0.05</v>
          </cell>
        </row>
        <row r="891">
          <cell r="A891" t="str">
            <v>F2101001002</v>
          </cell>
          <cell r="B891" t="str">
            <v>圆头螺丝平垫片弹垫组合件</v>
          </cell>
          <cell r="C891" t="str">
            <v>件</v>
          </cell>
          <cell r="D891">
            <v>0.0928</v>
          </cell>
          <cell r="E891">
            <v>0.01</v>
          </cell>
        </row>
        <row r="892">
          <cell r="A892" t="str">
            <v>Y0301003007</v>
          </cell>
          <cell r="B892" t="str">
            <v>不锈钢十字槽盘头螺栓</v>
          </cell>
          <cell r="C892" t="str">
            <v>件</v>
          </cell>
          <cell r="D892">
            <v>0.1539</v>
          </cell>
          <cell r="E892">
            <v>0.02</v>
          </cell>
        </row>
        <row r="893">
          <cell r="A893" t="str">
            <v>Y0301003018</v>
          </cell>
          <cell r="B893" t="str">
            <v>不锈钢十字槽盘头螺钉</v>
          </cell>
          <cell r="C893" t="str">
            <v>件</v>
          </cell>
          <cell r="D893">
            <v>0.2868</v>
          </cell>
          <cell r="E893">
            <v>0.04</v>
          </cell>
        </row>
        <row r="894">
          <cell r="A894" t="str">
            <v>Y0301003004</v>
          </cell>
          <cell r="B894" t="str">
            <v>不锈钢十字槽盘头螺栓</v>
          </cell>
          <cell r="C894" t="str">
            <v>件</v>
          </cell>
          <cell r="D894">
            <v>0.36</v>
          </cell>
          <cell r="E894">
            <v>0.05</v>
          </cell>
        </row>
        <row r="895">
          <cell r="A895" t="str">
            <v>F2101002014</v>
          </cell>
          <cell r="B895" t="str">
            <v>十字槽平头螺栓</v>
          </cell>
          <cell r="C895" t="str">
            <v>件</v>
          </cell>
          <cell r="D895">
            <v>0.0455</v>
          </cell>
          <cell r="E895">
            <v>0.01</v>
          </cell>
        </row>
        <row r="896">
          <cell r="A896" t="str">
            <v>Y030100129</v>
          </cell>
          <cell r="B896" t="str">
            <v>十字槽平头螺栓</v>
          </cell>
          <cell r="C896" t="str">
            <v>件</v>
          </cell>
          <cell r="D896">
            <v>0.4255</v>
          </cell>
          <cell r="E896">
            <v>0.06</v>
          </cell>
        </row>
        <row r="897">
          <cell r="A897" t="str">
            <v>F2101014001</v>
          </cell>
          <cell r="B897" t="str">
            <v>内六角盘头螺栓</v>
          </cell>
          <cell r="C897" t="str">
            <v>件</v>
          </cell>
          <cell r="D897">
            <v>0.1758</v>
          </cell>
          <cell r="E897">
            <v>0.02</v>
          </cell>
        </row>
        <row r="898">
          <cell r="A898" t="str">
            <v>F2101012004</v>
          </cell>
          <cell r="B898" t="str">
            <v>内六角盘头螺栓</v>
          </cell>
          <cell r="C898" t="str">
            <v>件</v>
          </cell>
          <cell r="D898">
            <v>0.4285</v>
          </cell>
          <cell r="E898">
            <v>0.06</v>
          </cell>
        </row>
        <row r="899">
          <cell r="A899" t="str">
            <v>F2101012005</v>
          </cell>
          <cell r="B899" t="str">
            <v>内六角盘头螺栓</v>
          </cell>
          <cell r="C899" t="str">
            <v>件</v>
          </cell>
          <cell r="D899">
            <v>0.4197</v>
          </cell>
          <cell r="E899">
            <v>0.06</v>
          </cell>
        </row>
        <row r="900">
          <cell r="A900" t="str">
            <v>F2101013003</v>
          </cell>
          <cell r="B900" t="str">
            <v>内六角沉头螺栓</v>
          </cell>
          <cell r="C900" t="str">
            <v>件</v>
          </cell>
          <cell r="D900">
            <v>0.1655</v>
          </cell>
          <cell r="E900">
            <v>0.02</v>
          </cell>
        </row>
        <row r="901">
          <cell r="A901" t="str">
            <v>Y0301011074</v>
          </cell>
          <cell r="B901" t="str">
            <v>不锈钢平头内六角螺丝</v>
          </cell>
          <cell r="C901" t="str">
            <v>件</v>
          </cell>
          <cell r="D901">
            <v>0.3976</v>
          </cell>
          <cell r="E901">
            <v>0.06</v>
          </cell>
        </row>
        <row r="902">
          <cell r="A902" t="str">
            <v>F2101012020</v>
          </cell>
          <cell r="B902" t="str">
            <v>内六角平圆头螺钉</v>
          </cell>
          <cell r="C902" t="str">
            <v>件</v>
          </cell>
          <cell r="D902">
            <v>0.465</v>
          </cell>
          <cell r="E902">
            <v>0.06</v>
          </cell>
        </row>
        <row r="903">
          <cell r="A903" t="str">
            <v>Y0301007011</v>
          </cell>
          <cell r="B903" t="str">
            <v>不锈钢平头內六角自攻钉</v>
          </cell>
          <cell r="C903" t="str">
            <v>件</v>
          </cell>
          <cell r="D903">
            <v>0.1634</v>
          </cell>
          <cell r="E903">
            <v>0.02</v>
          </cell>
        </row>
        <row r="904">
          <cell r="A904" t="str">
            <v>Y0301019070</v>
          </cell>
          <cell r="B904" t="str">
            <v>不锈钢尼龙自锁螺母</v>
          </cell>
          <cell r="C904" t="str">
            <v>件</v>
          </cell>
          <cell r="D904">
            <v>0.0785</v>
          </cell>
          <cell r="E904">
            <v>0.01</v>
          </cell>
        </row>
        <row r="905">
          <cell r="A905" t="str">
            <v>F2101054004</v>
          </cell>
          <cell r="B905" t="str">
            <v>不锈钢尼龙六角螺母</v>
          </cell>
          <cell r="C905" t="str">
            <v>件</v>
          </cell>
          <cell r="D905">
            <v>0.0928</v>
          </cell>
          <cell r="E905">
            <v>0.01</v>
          </cell>
        </row>
        <row r="906">
          <cell r="A906" t="str">
            <v>F2101061030</v>
          </cell>
          <cell r="B906" t="str">
            <v>六角细牙螺母（彩锌）</v>
          </cell>
          <cell r="C906" t="str">
            <v>件</v>
          </cell>
          <cell r="D906">
            <v>0.1855</v>
          </cell>
          <cell r="E906">
            <v>0.03</v>
          </cell>
        </row>
        <row r="907">
          <cell r="A907" t="str">
            <v>Y0301019076</v>
          </cell>
          <cell r="B907" t="str">
            <v>薄型螺母（彩锌）</v>
          </cell>
          <cell r="C907" t="str">
            <v>件</v>
          </cell>
          <cell r="D907">
            <v>0.2297</v>
          </cell>
          <cell r="E907">
            <v>0.03</v>
          </cell>
        </row>
        <row r="908">
          <cell r="A908" t="str">
            <v>Y0301035007</v>
          </cell>
          <cell r="B908" t="str">
            <v>法兰螺母</v>
          </cell>
          <cell r="C908" t="str">
            <v>件</v>
          </cell>
          <cell r="D908">
            <v>0.0278</v>
          </cell>
          <cell r="E908">
            <v>0.01</v>
          </cell>
        </row>
        <row r="909">
          <cell r="A909" t="str">
            <v>Y0301035008</v>
          </cell>
          <cell r="B909" t="str">
            <v>法兰螺母</v>
          </cell>
          <cell r="C909" t="str">
            <v>件</v>
          </cell>
          <cell r="D909">
            <v>0.0606</v>
          </cell>
          <cell r="E909">
            <v>0.01</v>
          </cell>
        </row>
        <row r="910">
          <cell r="A910" t="str">
            <v>Y0301035001</v>
          </cell>
          <cell r="B910" t="str">
            <v>法兰螺母</v>
          </cell>
          <cell r="C910" t="str">
            <v>件</v>
          </cell>
          <cell r="D910">
            <v>0.1248</v>
          </cell>
          <cell r="E910">
            <v>0.02</v>
          </cell>
        </row>
        <row r="911">
          <cell r="A911" t="str">
            <v>F2101051015</v>
          </cell>
          <cell r="B911" t="str">
            <v>法兰螺母</v>
          </cell>
          <cell r="C911" t="str">
            <v>件</v>
          </cell>
          <cell r="D911">
            <v>0.7173</v>
          </cell>
          <cell r="E911">
            <v>0.1</v>
          </cell>
        </row>
        <row r="912">
          <cell r="A912" t="str">
            <v>Y0301019093</v>
          </cell>
          <cell r="B912" t="str">
            <v>尼龙法兰面锁紧螺母</v>
          </cell>
          <cell r="C912" t="str">
            <v>件</v>
          </cell>
          <cell r="D912">
            <v>0.3401</v>
          </cell>
          <cell r="E912">
            <v>0.05</v>
          </cell>
        </row>
        <row r="913">
          <cell r="A913" t="str">
            <v>Y0301019071</v>
          </cell>
          <cell r="B913" t="str">
            <v>不锈钢自锁螺母</v>
          </cell>
          <cell r="C913" t="str">
            <v>件</v>
          </cell>
          <cell r="D913">
            <v>0.13</v>
          </cell>
          <cell r="E913">
            <v>0.02</v>
          </cell>
        </row>
        <row r="914">
          <cell r="A914" t="str">
            <v>Y0301019073</v>
          </cell>
          <cell r="B914" t="str">
            <v>不锈钢自锁螺母</v>
          </cell>
          <cell r="C914" t="str">
            <v>件</v>
          </cell>
          <cell r="D914">
            <v>0.2197</v>
          </cell>
          <cell r="E914">
            <v>0.03</v>
          </cell>
        </row>
        <row r="915">
          <cell r="A915" t="str">
            <v>Y0301019007</v>
          </cell>
          <cell r="B915" t="str">
            <v>六角螺母（彩锌）</v>
          </cell>
          <cell r="C915" t="str">
            <v>件</v>
          </cell>
          <cell r="D915">
            <v>0.0742</v>
          </cell>
          <cell r="E915">
            <v>0.01</v>
          </cell>
        </row>
        <row r="916">
          <cell r="A916" t="str">
            <v>Y0301019030</v>
          </cell>
          <cell r="B916" t="str">
            <v>六角自锁螺母（彩锌）</v>
          </cell>
          <cell r="C916" t="str">
            <v>件</v>
          </cell>
          <cell r="D916">
            <v>0.109</v>
          </cell>
          <cell r="E916">
            <v>0.02</v>
          </cell>
        </row>
        <row r="917">
          <cell r="A917" t="str">
            <v>Y0301019059</v>
          </cell>
          <cell r="B917" t="str">
            <v>六角自锁螺母（彩锌）</v>
          </cell>
          <cell r="C917" t="str">
            <v>件</v>
          </cell>
          <cell r="D917">
            <v>0.2384</v>
          </cell>
          <cell r="E917">
            <v>0.03</v>
          </cell>
        </row>
        <row r="918">
          <cell r="A918" t="str">
            <v>F2101059006</v>
          </cell>
          <cell r="B918" t="str">
            <v>盖型尼龙锁紧螺母</v>
          </cell>
          <cell r="C918" t="str">
            <v>件</v>
          </cell>
          <cell r="D918">
            <v>0.825</v>
          </cell>
          <cell r="E918">
            <v>0.11</v>
          </cell>
        </row>
        <row r="919">
          <cell r="A919" t="str">
            <v>F2101059005</v>
          </cell>
          <cell r="B919" t="str">
            <v>盖型尼龙锁紧螺母</v>
          </cell>
          <cell r="C919" t="str">
            <v>件</v>
          </cell>
          <cell r="D919">
            <v>0.8603</v>
          </cell>
          <cell r="E919">
            <v>0.12</v>
          </cell>
        </row>
        <row r="920">
          <cell r="A920" t="str">
            <v>F2101102023</v>
          </cell>
          <cell r="B920" t="str">
            <v>开口销</v>
          </cell>
          <cell r="C920" t="str">
            <v>件</v>
          </cell>
          <cell r="D920">
            <v>0.045</v>
          </cell>
          <cell r="E920">
            <v>0.01</v>
          </cell>
        </row>
        <row r="921">
          <cell r="A921" t="str">
            <v>Y0301028003</v>
          </cell>
          <cell r="B921" t="str">
            <v>抽芯铆钉</v>
          </cell>
          <cell r="C921" t="str">
            <v>件</v>
          </cell>
          <cell r="D921">
            <v>0.0265</v>
          </cell>
          <cell r="E921">
            <v>0.01</v>
          </cell>
        </row>
        <row r="922">
          <cell r="A922" t="str">
            <v>F0103066006</v>
          </cell>
          <cell r="B922" t="str">
            <v>自攻锁片</v>
          </cell>
          <cell r="C922" t="str">
            <v>件</v>
          </cell>
          <cell r="D922">
            <v>0.4855</v>
          </cell>
          <cell r="E922">
            <v>0.07</v>
          </cell>
        </row>
        <row r="923">
          <cell r="A923" t="str">
            <v>F2101172003</v>
          </cell>
          <cell r="B923" t="str">
            <v>塑料卡扣</v>
          </cell>
          <cell r="C923" t="str">
            <v>件</v>
          </cell>
          <cell r="D923">
            <v>0.085</v>
          </cell>
          <cell r="E923">
            <v>0.01</v>
          </cell>
        </row>
        <row r="924">
          <cell r="A924" t="str">
            <v>Y0301020013</v>
          </cell>
          <cell r="B924" t="str">
            <v>平垫片(10)不锈钢加大</v>
          </cell>
          <cell r="C924" t="str">
            <v>件</v>
          </cell>
          <cell r="D924">
            <v>0.399778761061947</v>
          </cell>
          <cell r="E924">
            <v>0.06</v>
          </cell>
        </row>
        <row r="925">
          <cell r="A925" t="str">
            <v>F0102045029</v>
          </cell>
          <cell r="B925" t="str">
            <v>安全扣</v>
          </cell>
          <cell r="C925" t="str">
            <v>件</v>
          </cell>
          <cell r="D925">
            <v>3.84257102934327</v>
          </cell>
          <cell r="E925">
            <v>0.53</v>
          </cell>
        </row>
        <row r="926">
          <cell r="A926" t="str">
            <v>F0302012121</v>
          </cell>
          <cell r="B926" t="str">
            <v>锂电电控/球车/锂电池/CAN/新版</v>
          </cell>
          <cell r="C926" t="str">
            <v>件</v>
          </cell>
          <cell r="D926">
            <v>1306.47414997671</v>
          </cell>
          <cell r="E926">
            <v>181.45</v>
          </cell>
        </row>
        <row r="927">
          <cell r="A927" t="str">
            <v>F0204004037</v>
          </cell>
          <cell r="B927" t="str">
            <v>转向下轴</v>
          </cell>
          <cell r="C927" t="str">
            <v>件</v>
          </cell>
          <cell r="D927">
            <v>61.783884489986</v>
          </cell>
          <cell r="E927">
            <v>8.58</v>
          </cell>
        </row>
        <row r="928">
          <cell r="A928" t="str">
            <v>F0308035009</v>
          </cell>
          <cell r="B928" t="str">
            <v>整车氛围灯总成（不含喇叭罩电镀件、导光件和座椅靠背灯）</v>
          </cell>
          <cell r="C928" t="str">
            <v>件</v>
          </cell>
          <cell r="D928">
            <v>622.962272938985</v>
          </cell>
          <cell r="E928">
            <v>86.52</v>
          </cell>
        </row>
        <row r="929">
          <cell r="A929" t="str">
            <v>F0102047016</v>
          </cell>
          <cell r="B929" t="str">
            <v>保温箱（5号）</v>
          </cell>
          <cell r="C929" t="str">
            <v>件</v>
          </cell>
          <cell r="D929">
            <v>143.223102002795</v>
          </cell>
          <cell r="E929">
            <v>19.89</v>
          </cell>
        </row>
        <row r="930">
          <cell r="A930" t="str">
            <v>F0103035051</v>
          </cell>
          <cell r="B930" t="str">
            <v>硅胶垫片</v>
          </cell>
          <cell r="C930" t="str">
            <v>件</v>
          </cell>
          <cell r="D930">
            <v>0.232883092687471</v>
          </cell>
          <cell r="E930">
            <v>0.03</v>
          </cell>
        </row>
        <row r="931">
          <cell r="A931" t="str">
            <v>F0102045163</v>
          </cell>
          <cell r="B931" t="str">
            <v>球包带</v>
          </cell>
          <cell r="C931" t="str">
            <v>件</v>
          </cell>
          <cell r="D931">
            <v>13.9729855612483</v>
          </cell>
          <cell r="E931">
            <v>1.94</v>
          </cell>
        </row>
        <row r="932">
          <cell r="A932" t="str">
            <v>F0102047014</v>
          </cell>
          <cell r="B932" t="str">
            <v>沙桶/含支架、底座</v>
          </cell>
          <cell r="C932" t="str">
            <v>件</v>
          </cell>
          <cell r="D932">
            <v>58.2207731718677</v>
          </cell>
          <cell r="E932">
            <v>8.09</v>
          </cell>
        </row>
        <row r="933">
          <cell r="A933" t="str">
            <v>F0201003112</v>
          </cell>
          <cell r="B933" t="str">
            <v>后桥总成/电磁驻车/碟刹制动器</v>
          </cell>
          <cell r="C933" t="str">
            <v>件</v>
          </cell>
          <cell r="D933">
            <v>1566.13879832324</v>
          </cell>
          <cell r="E933">
            <v>217.52</v>
          </cell>
        </row>
        <row r="934">
          <cell r="A934" t="str">
            <v>F0102045015</v>
          </cell>
          <cell r="B934" t="str">
            <v>顶棚</v>
          </cell>
          <cell r="C934" t="str">
            <v>件</v>
          </cell>
          <cell r="D934">
            <v>335.351653469958</v>
          </cell>
          <cell r="E934">
            <v>46.58</v>
          </cell>
        </row>
        <row r="935">
          <cell r="A935" t="str">
            <v>F0103027098</v>
          </cell>
          <cell r="B935" t="str">
            <v>2座D款成型地板革/毒液</v>
          </cell>
          <cell r="C935" t="str">
            <v>件</v>
          </cell>
          <cell r="D935">
            <v>163.01816488123</v>
          </cell>
          <cell r="E935">
            <v>22.64</v>
          </cell>
        </row>
        <row r="936">
          <cell r="A936" t="str">
            <v>F0102047015</v>
          </cell>
          <cell r="B936" t="str">
            <v>洗球器</v>
          </cell>
          <cell r="C936" t="str">
            <v>件</v>
          </cell>
          <cell r="D936">
            <v>143.223102002795</v>
          </cell>
          <cell r="E936">
            <v>19.89</v>
          </cell>
        </row>
        <row r="937">
          <cell r="A937" t="str">
            <v>F0102045023</v>
          </cell>
          <cell r="B937" t="str">
            <v>顶棚拉手</v>
          </cell>
          <cell r="C937" t="str">
            <v>件</v>
          </cell>
          <cell r="D937">
            <v>17.4662319515603</v>
          </cell>
          <cell r="E937">
            <v>2.43</v>
          </cell>
        </row>
        <row r="938">
          <cell r="A938" t="str">
            <v>F0103009037</v>
          </cell>
          <cell r="B938" t="str">
            <v>合页前挡玻璃上片</v>
          </cell>
          <cell r="C938" t="str">
            <v>件</v>
          </cell>
          <cell r="D938">
            <v>119.934792734048</v>
          </cell>
          <cell r="E938">
            <v>16.66</v>
          </cell>
        </row>
        <row r="939">
          <cell r="A939" t="str">
            <v>F0103009038</v>
          </cell>
          <cell r="B939" t="str">
            <v>合页前挡玻璃下片</v>
          </cell>
          <cell r="C939" t="str">
            <v>件</v>
          </cell>
          <cell r="D939">
            <v>163.01816488123</v>
          </cell>
          <cell r="E939">
            <v>22.64</v>
          </cell>
        </row>
        <row r="940">
          <cell r="A940" t="str">
            <v>F0103020012</v>
          </cell>
          <cell r="B940" t="str">
            <v>左前挡泥板/G款球车</v>
          </cell>
          <cell r="C940" t="str">
            <v>件</v>
          </cell>
          <cell r="D940">
            <v>36.9119701909641</v>
          </cell>
          <cell r="E940">
            <v>5.13</v>
          </cell>
        </row>
        <row r="941">
          <cell r="A941" t="str">
            <v>F0103020013</v>
          </cell>
          <cell r="B941" t="str">
            <v>右前挡泥板/G款球车</v>
          </cell>
          <cell r="C941" t="str">
            <v>件</v>
          </cell>
          <cell r="D941">
            <v>36.9119701909641</v>
          </cell>
          <cell r="E941">
            <v>5.13</v>
          </cell>
        </row>
        <row r="942">
          <cell r="A942" t="str">
            <v>Y0316020008</v>
          </cell>
          <cell r="B942" t="str">
            <v>离合器油管(内径10mm)</v>
          </cell>
          <cell r="C942" t="str">
            <v>件</v>
          </cell>
          <cell r="D942">
            <v>13.4722869119702</v>
          </cell>
          <cell r="E942">
            <v>1.87</v>
          </cell>
        </row>
        <row r="943">
          <cell r="A943" t="str">
            <v>F0203013009</v>
          </cell>
          <cell r="B943" t="str">
            <v>304不锈钢德式喉箍/10-16</v>
          </cell>
          <cell r="C943" t="str">
            <v>件</v>
          </cell>
          <cell r="D943">
            <v>1.28598043782021</v>
          </cell>
          <cell r="E943">
            <v>0.18</v>
          </cell>
        </row>
        <row r="944">
          <cell r="A944" t="str">
            <v>F2111000182</v>
          </cell>
          <cell r="B944" t="str">
            <v>G款2座标准件盒</v>
          </cell>
          <cell r="C944" t="str">
            <v>件</v>
          </cell>
          <cell r="D944">
            <v>74.5726595249185</v>
          </cell>
          <cell r="E944">
            <v>10.36</v>
          </cell>
        </row>
        <row r="945">
          <cell r="A945" t="str">
            <v>F0102045007</v>
          </cell>
          <cell r="B945" t="str">
            <v>后衣物篮</v>
          </cell>
          <cell r="C945" t="str">
            <v>件</v>
          </cell>
          <cell r="D945">
            <v>82.6734979040522</v>
          </cell>
          <cell r="E945">
            <v>11.48</v>
          </cell>
        </row>
        <row r="946">
          <cell r="A946" t="str">
            <v>F0204001013</v>
          </cell>
          <cell r="B946" t="str">
            <v>方向盘计分牌</v>
          </cell>
          <cell r="C946" t="str">
            <v>件</v>
          </cell>
          <cell r="D946">
            <v>62.8784350256171</v>
          </cell>
          <cell r="E946">
            <v>8.73</v>
          </cell>
        </row>
        <row r="947">
          <cell r="A947" t="str">
            <v>F0102074802</v>
          </cell>
          <cell r="B947" t="str">
            <v>中控开关面板/碳纤维</v>
          </cell>
          <cell r="C947" t="str">
            <v>件</v>
          </cell>
          <cell r="D947">
            <v>29.3141592920354</v>
          </cell>
          <cell r="E947">
            <v>4.07</v>
          </cell>
        </row>
        <row r="948">
          <cell r="A948" t="str">
            <v>F0102079010</v>
          </cell>
          <cell r="B948" t="str">
            <v>侧护板盖帽/卡扣式</v>
          </cell>
          <cell r="C948" t="str">
            <v>件</v>
          </cell>
          <cell r="D948">
            <v>0.0407079646017699</v>
          </cell>
          <cell r="E948">
            <v>0.01</v>
          </cell>
        </row>
        <row r="949">
          <cell r="A949" t="str">
            <v>F0102079008</v>
          </cell>
          <cell r="B949" t="str">
            <v>左后侧护板</v>
          </cell>
          <cell r="C949" t="str">
            <v>件</v>
          </cell>
          <cell r="D949">
            <v>6.76769911504425</v>
          </cell>
          <cell r="E949">
            <v>0.94</v>
          </cell>
        </row>
        <row r="950">
          <cell r="A950" t="str">
            <v>F0102079009</v>
          </cell>
          <cell r="B950" t="str">
            <v>右后侧护板</v>
          </cell>
          <cell r="C950" t="str">
            <v>件</v>
          </cell>
          <cell r="D950">
            <v>6.76769911504425</v>
          </cell>
          <cell r="E950">
            <v>0.94</v>
          </cell>
        </row>
        <row r="951">
          <cell r="A951" t="str">
            <v>F0102073045</v>
          </cell>
          <cell r="B951" t="str">
            <v>顶棚左前支架/2座G款</v>
          </cell>
          <cell r="C951" t="str">
            <v>件</v>
          </cell>
          <cell r="D951">
            <v>14.6787610619469</v>
          </cell>
          <cell r="E951">
            <v>2.04</v>
          </cell>
        </row>
        <row r="952">
          <cell r="A952" t="str">
            <v>F0102073046</v>
          </cell>
          <cell r="B952" t="str">
            <v>顶棚右前支架/2座G款</v>
          </cell>
          <cell r="C952" t="str">
            <v>件</v>
          </cell>
          <cell r="D952">
            <v>14.6787610619469</v>
          </cell>
          <cell r="E952">
            <v>2.04</v>
          </cell>
        </row>
        <row r="953">
          <cell r="A953" t="str">
            <v>F0102063913</v>
          </cell>
          <cell r="B953" t="str">
            <v>前弯管竖梁(G款球车)</v>
          </cell>
          <cell r="C953" t="str">
            <v>件</v>
          </cell>
          <cell r="D953">
            <v>6.76106194690266</v>
          </cell>
          <cell r="E953">
            <v>0.94</v>
          </cell>
        </row>
        <row r="954">
          <cell r="A954" t="str">
            <v>F0102045167</v>
          </cell>
          <cell r="B954" t="str">
            <v>顶棚后支撑 左</v>
          </cell>
          <cell r="C954" t="str">
            <v>件</v>
          </cell>
          <cell r="D954">
            <v>13.0619469026549</v>
          </cell>
          <cell r="E954">
            <v>1.81</v>
          </cell>
        </row>
        <row r="955">
          <cell r="A955" t="str">
            <v>F0102045168</v>
          </cell>
          <cell r="B955" t="str">
            <v>顶棚后支撑 右</v>
          </cell>
          <cell r="C955" t="str">
            <v>件</v>
          </cell>
          <cell r="D955">
            <v>13.0619469026549</v>
          </cell>
          <cell r="E955">
            <v>1.81</v>
          </cell>
        </row>
        <row r="956">
          <cell r="A956" t="str">
            <v>F0102087024</v>
          </cell>
          <cell r="B956" t="str">
            <v>铁制保险杠（大）</v>
          </cell>
          <cell r="C956" t="str">
            <v>件</v>
          </cell>
          <cell r="D956">
            <v>206.860854413032</v>
          </cell>
          <cell r="E956">
            <v>28.73</v>
          </cell>
        </row>
        <row r="957">
          <cell r="A957" t="str">
            <v>F0201013022</v>
          </cell>
          <cell r="B957" t="str">
            <v>上摆臂</v>
          </cell>
          <cell r="C957" t="str">
            <v>件</v>
          </cell>
          <cell r="D957">
            <v>132.542423880204</v>
          </cell>
          <cell r="E957">
            <v>18.41</v>
          </cell>
        </row>
        <row r="958">
          <cell r="A958" t="str">
            <v>F0201013023</v>
          </cell>
          <cell r="B958" t="str">
            <v>下摆臂左</v>
          </cell>
          <cell r="C958" t="str">
            <v>件</v>
          </cell>
          <cell r="D958">
            <v>157.788599857385</v>
          </cell>
          <cell r="E958">
            <v>21.92</v>
          </cell>
        </row>
        <row r="959">
          <cell r="A959" t="str">
            <v>F0201013024</v>
          </cell>
          <cell r="B959" t="str">
            <v>下摆臂右</v>
          </cell>
          <cell r="C959" t="str">
            <v>件</v>
          </cell>
          <cell r="D959">
            <v>157.788599857385</v>
          </cell>
          <cell r="E959">
            <v>21.92</v>
          </cell>
        </row>
        <row r="960">
          <cell r="A960" t="str">
            <v>F0201013025</v>
          </cell>
          <cell r="B960" t="str">
            <v>可调球壳总成</v>
          </cell>
          <cell r="C960" t="str">
            <v>件</v>
          </cell>
          <cell r="D960">
            <v>25.2461759771816</v>
          </cell>
          <cell r="E960">
            <v>3.51</v>
          </cell>
        </row>
        <row r="961">
          <cell r="A961" t="str">
            <v>F0204002038</v>
          </cell>
          <cell r="B961" t="str">
            <v>转向轴管气弹簧</v>
          </cell>
          <cell r="C961" t="str">
            <v>件</v>
          </cell>
          <cell r="D961">
            <v>56.4174748877833</v>
          </cell>
          <cell r="E961">
            <v>7.84</v>
          </cell>
        </row>
        <row r="962">
          <cell r="A962" t="str">
            <v>F0103015059</v>
          </cell>
          <cell r="B962" t="str">
            <v>坐垫铰链</v>
          </cell>
          <cell r="C962" t="str">
            <v>件</v>
          </cell>
          <cell r="D962">
            <v>12.6230879885908</v>
          </cell>
          <cell r="E962">
            <v>1.75</v>
          </cell>
        </row>
        <row r="963">
          <cell r="A963" t="str">
            <v>F2101105014</v>
          </cell>
          <cell r="B963" t="str">
            <v>销轴</v>
          </cell>
          <cell r="C963" t="str">
            <v>件</v>
          </cell>
          <cell r="D963">
            <v>0.354863340903751</v>
          </cell>
          <cell r="E963">
            <v>0.05</v>
          </cell>
        </row>
        <row r="964">
          <cell r="A964" t="str">
            <v>F2101105008</v>
          </cell>
          <cell r="B964" t="str">
            <v>销轴</v>
          </cell>
          <cell r="C964" t="str">
            <v>件</v>
          </cell>
          <cell r="D964">
            <v>2.38937022641183</v>
          </cell>
          <cell r="E964">
            <v>0.33</v>
          </cell>
        </row>
        <row r="965">
          <cell r="A965" t="str">
            <v>L0100000341</v>
          </cell>
          <cell r="B965" t="str">
            <v>油管两通</v>
          </cell>
          <cell r="C965" t="str">
            <v>件</v>
          </cell>
          <cell r="D965">
            <v>6.18273697400365</v>
          </cell>
          <cell r="E965">
            <v>0.86</v>
          </cell>
        </row>
        <row r="966">
          <cell r="A966" t="str">
            <v>F0302012136</v>
          </cell>
          <cell r="B966" t="str">
            <v>锂电电控/球车/ECO锂电池/CAN</v>
          </cell>
          <cell r="C966" t="str">
            <v>件</v>
          </cell>
          <cell r="D966">
            <v>1445.21476767335</v>
          </cell>
          <cell r="E966">
            <v>200.72</v>
          </cell>
        </row>
        <row r="967">
          <cell r="A967" t="str">
            <v>F0202006088</v>
          </cell>
          <cell r="B967" t="str">
            <v>前减震器</v>
          </cell>
          <cell r="C967" t="str">
            <v>件</v>
          </cell>
          <cell r="D967">
            <v>97.7645284014327</v>
          </cell>
          <cell r="E967">
            <v>13.58</v>
          </cell>
        </row>
        <row r="968">
          <cell r="A968" t="str">
            <v>F0202006089</v>
          </cell>
          <cell r="B968" t="str">
            <v>后减震器</v>
          </cell>
          <cell r="C968" t="str">
            <v>件</v>
          </cell>
          <cell r="D968">
            <v>98.7048196495625</v>
          </cell>
          <cell r="E968">
            <v>13.71</v>
          </cell>
        </row>
        <row r="969">
          <cell r="A969" t="str">
            <v>F0103003093</v>
          </cell>
          <cell r="B969" t="str">
            <v>后备箱门锁</v>
          </cell>
          <cell r="C969" t="str">
            <v>件</v>
          </cell>
          <cell r="D969">
            <v>22.5669899551134</v>
          </cell>
          <cell r="E969">
            <v>3.13</v>
          </cell>
        </row>
        <row r="970">
          <cell r="A970" t="str">
            <v>F0302012139</v>
          </cell>
          <cell r="B970" t="str">
            <v>锂电电控/打猎车/ECO锂电池/CAN</v>
          </cell>
          <cell r="C970" t="str">
            <v>件</v>
          </cell>
          <cell r="D970">
            <v>1445.21476767335</v>
          </cell>
          <cell r="E970">
            <v>200.72</v>
          </cell>
        </row>
        <row r="971">
          <cell r="A971" t="str">
            <v>F0203007011</v>
          </cell>
          <cell r="B971" t="str">
            <v>制动软管/L545 一头直一头L</v>
          </cell>
          <cell r="C971" t="str">
            <v>件</v>
          </cell>
          <cell r="D971">
            <v>24.2157198148477</v>
          </cell>
          <cell r="E971">
            <v>3.36</v>
          </cell>
        </row>
        <row r="972">
          <cell r="A972" t="str">
            <v>F0203006052</v>
          </cell>
          <cell r="B972" t="str">
            <v>成型制动油管-中间前</v>
          </cell>
          <cell r="C972" t="str">
            <v>件</v>
          </cell>
          <cell r="D972">
            <v>28.0541690195416</v>
          </cell>
          <cell r="E972">
            <v>3.9</v>
          </cell>
        </row>
        <row r="973">
          <cell r="A973" t="str">
            <v>F0203006053</v>
          </cell>
          <cell r="B973" t="str">
            <v>成型制动油管-中间后</v>
          </cell>
          <cell r="C973" t="str">
            <v>件</v>
          </cell>
          <cell r="D973">
            <v>30.9136848700183</v>
          </cell>
          <cell r="E973">
            <v>4.29</v>
          </cell>
        </row>
        <row r="974">
          <cell r="A974" t="str">
            <v>F0203006054</v>
          </cell>
          <cell r="B974" t="str">
            <v>成型制动油管-左后/右后</v>
          </cell>
          <cell r="C974" t="str">
            <v>件</v>
          </cell>
          <cell r="D974">
            <v>13.5762599387497</v>
          </cell>
          <cell r="E974">
            <v>1.89</v>
          </cell>
        </row>
        <row r="975">
          <cell r="A975" t="str">
            <v>F0203006051</v>
          </cell>
          <cell r="B975" t="str">
            <v>成型制动油管-中前</v>
          </cell>
          <cell r="C975" t="str">
            <v>件</v>
          </cell>
          <cell r="D975">
            <v>15.3280354147174</v>
          </cell>
          <cell r="E975">
            <v>2.13</v>
          </cell>
        </row>
        <row r="976">
          <cell r="A976" t="str">
            <v>F0203006055</v>
          </cell>
          <cell r="B976" t="str">
            <v>成型制动油管-左前</v>
          </cell>
          <cell r="C976" t="str">
            <v>件</v>
          </cell>
          <cell r="D976">
            <v>12.7518950088825</v>
          </cell>
          <cell r="E976">
            <v>1.77</v>
          </cell>
        </row>
        <row r="977">
          <cell r="A977" t="str">
            <v>F0203006056</v>
          </cell>
          <cell r="B977" t="str">
            <v>或型制动油管-右前</v>
          </cell>
          <cell r="C977" t="str">
            <v>件</v>
          </cell>
          <cell r="D977">
            <v>12.7518950088825</v>
          </cell>
          <cell r="E977">
            <v>1.77</v>
          </cell>
        </row>
        <row r="978">
          <cell r="A978" t="str">
            <v>F0102086085</v>
          </cell>
          <cell r="B978" t="str">
            <v>侧护板卡扣密封圈</v>
          </cell>
          <cell r="C978" t="str">
            <v>件</v>
          </cell>
          <cell r="D978">
            <v>0.373540358846054</v>
          </cell>
          <cell r="E978">
            <v>0.05</v>
          </cell>
        </row>
        <row r="979">
          <cell r="A979" t="str">
            <v>F0102086081</v>
          </cell>
          <cell r="B979" t="str">
            <v>中座支架护套</v>
          </cell>
          <cell r="C979" t="str">
            <v>件</v>
          </cell>
          <cell r="D979">
            <v>23.8292987539725</v>
          </cell>
          <cell r="E979">
            <v>3.31</v>
          </cell>
        </row>
        <row r="980">
          <cell r="A980" t="str">
            <v>F0102086122</v>
          </cell>
          <cell r="B980" t="str">
            <v>后立柱护套盖帽 左</v>
          </cell>
          <cell r="C980" t="str">
            <v>件</v>
          </cell>
          <cell r="D980">
            <v>0.901649142042199</v>
          </cell>
          <cell r="E980">
            <v>0.13</v>
          </cell>
        </row>
        <row r="981">
          <cell r="A981" t="str">
            <v>F0102086123</v>
          </cell>
          <cell r="B981" t="str">
            <v>后立柱护套盖帽 右</v>
          </cell>
          <cell r="C981" t="str">
            <v>件</v>
          </cell>
          <cell r="D981">
            <v>0.901649142042199</v>
          </cell>
          <cell r="E981">
            <v>0.13</v>
          </cell>
        </row>
        <row r="982">
          <cell r="A982" t="str">
            <v>F2101177002</v>
          </cell>
          <cell r="B982" t="str">
            <v>梅花手旋螺丝</v>
          </cell>
          <cell r="C982" t="str">
            <v>件</v>
          </cell>
          <cell r="D982">
            <v>1.48128073335504</v>
          </cell>
          <cell r="E982">
            <v>0.21</v>
          </cell>
        </row>
        <row r="983">
          <cell r="A983" t="str">
            <v>F0102086032</v>
          </cell>
          <cell r="B983" t="str">
            <v>方向管柱护套</v>
          </cell>
          <cell r="C983" t="str">
            <v>件</v>
          </cell>
          <cell r="D983">
            <v>5.61760905317566</v>
          </cell>
          <cell r="E983">
            <v>0.78</v>
          </cell>
        </row>
        <row r="984">
          <cell r="A984" t="str">
            <v>F0102086070</v>
          </cell>
          <cell r="B984" t="str">
            <v>后备箱主体</v>
          </cell>
          <cell r="C984" t="str">
            <v>件</v>
          </cell>
          <cell r="D984">
            <v>75.6519696139087</v>
          </cell>
          <cell r="E984">
            <v>10.51</v>
          </cell>
        </row>
        <row r="985">
          <cell r="A985" t="str">
            <v>F0308007029</v>
          </cell>
          <cell r="B985" t="str">
            <v>左后尾灯</v>
          </cell>
          <cell r="C985" t="str">
            <v>件</v>
          </cell>
          <cell r="D985">
            <v>109.485967247981</v>
          </cell>
          <cell r="E985">
            <v>15.21</v>
          </cell>
        </row>
        <row r="986">
          <cell r="A986" t="str">
            <v>F0102087002</v>
          </cell>
          <cell r="B986" t="str">
            <v>仪表台</v>
          </cell>
          <cell r="C986" t="str">
            <v>件</v>
          </cell>
          <cell r="D986">
            <v>50.5472237450074</v>
          </cell>
          <cell r="E986">
            <v>7.02</v>
          </cell>
        </row>
        <row r="987">
          <cell r="A987" t="str">
            <v>F0201003118</v>
          </cell>
          <cell r="B987" t="str">
            <v>后桥总成/电磁驻车/碟刹制动器</v>
          </cell>
          <cell r="C987" t="str">
            <v>件</v>
          </cell>
          <cell r="D987">
            <v>1732.45442292394</v>
          </cell>
          <cell r="E987">
            <v>240.62</v>
          </cell>
        </row>
        <row r="988">
          <cell r="A988" t="str">
            <v>F0102086071</v>
          </cell>
          <cell r="B988" t="str">
            <v>后备箱外板</v>
          </cell>
          <cell r="C988" t="str">
            <v>件</v>
          </cell>
          <cell r="D988">
            <v>37.3756754640144</v>
          </cell>
          <cell r="E988">
            <v>5.19</v>
          </cell>
        </row>
        <row r="989">
          <cell r="A989" t="str">
            <v>F99001043060</v>
          </cell>
          <cell r="B989" t="str">
            <v>V1G后备箱开孔定位卡板</v>
          </cell>
          <cell r="C989" t="str">
            <v>件</v>
          </cell>
          <cell r="D989">
            <v>642.425013705066</v>
          </cell>
          <cell r="E989">
            <v>89.23</v>
          </cell>
        </row>
        <row r="990">
          <cell r="A990" t="str">
            <v>F0102087036</v>
          </cell>
          <cell r="B990" t="str">
            <v>顶棚前支架</v>
          </cell>
          <cell r="C990" t="str">
            <v>件</v>
          </cell>
          <cell r="D990">
            <v>55.06500117472</v>
          </cell>
          <cell r="E990">
            <v>7.65</v>
          </cell>
        </row>
        <row r="991">
          <cell r="A991" t="str">
            <v>F0102087037</v>
          </cell>
          <cell r="B991" t="str">
            <v>铁制保险杠（小）</v>
          </cell>
          <cell r="C991" t="str">
            <v>件</v>
          </cell>
          <cell r="D991">
            <v>206.860854413032</v>
          </cell>
          <cell r="E991">
            <v>28.73</v>
          </cell>
        </row>
        <row r="992">
          <cell r="A992" t="str">
            <v>F0303002011</v>
          </cell>
          <cell r="B992" t="str">
            <v>加速踏板总成</v>
          </cell>
          <cell r="C992" t="str">
            <v>件</v>
          </cell>
          <cell r="D992">
            <v>154.568424350092</v>
          </cell>
          <cell r="E992">
            <v>21.47</v>
          </cell>
        </row>
        <row r="993">
          <cell r="A993" t="str">
            <v>F0103036003</v>
          </cell>
          <cell r="B993" t="str">
            <v>制动踏板扭簧</v>
          </cell>
          <cell r="C993" t="str">
            <v>件</v>
          </cell>
          <cell r="D993">
            <v>10.3045616233394</v>
          </cell>
          <cell r="E993">
            <v>1.43</v>
          </cell>
        </row>
        <row r="994">
          <cell r="A994" t="str">
            <v>F0103038006</v>
          </cell>
          <cell r="B994" t="str">
            <v>制动踏板衬套</v>
          </cell>
          <cell r="C994" t="str">
            <v>件</v>
          </cell>
          <cell r="D994">
            <v>4.508245710211</v>
          </cell>
          <cell r="E994">
            <v>0.63</v>
          </cell>
        </row>
        <row r="995">
          <cell r="A995" t="str">
            <v>F0102086082</v>
          </cell>
          <cell r="B995" t="str">
            <v>安全带支架护套</v>
          </cell>
          <cell r="C995" t="str">
            <v>件</v>
          </cell>
          <cell r="D995">
            <v>21.2531583481376</v>
          </cell>
          <cell r="E995">
            <v>2.95</v>
          </cell>
        </row>
        <row r="996">
          <cell r="A996" t="str">
            <v>F0103015060</v>
          </cell>
          <cell r="B996" t="str">
            <v>靠背扣件</v>
          </cell>
          <cell r="C996" t="str">
            <v>件</v>
          </cell>
          <cell r="D996">
            <v>0.882972124099897</v>
          </cell>
          <cell r="E996">
            <v>0.12</v>
          </cell>
        </row>
        <row r="997">
          <cell r="A997" t="str">
            <v>F0102086120</v>
          </cell>
          <cell r="B997" t="str">
            <v>后立柱护套 左</v>
          </cell>
          <cell r="C997" t="str">
            <v>件</v>
          </cell>
          <cell r="D997">
            <v>27.8223163830165</v>
          </cell>
          <cell r="E997">
            <v>3.86</v>
          </cell>
        </row>
        <row r="998">
          <cell r="A998" t="str">
            <v>F0102086121</v>
          </cell>
          <cell r="B998" t="str">
            <v>后立柱护套 右</v>
          </cell>
          <cell r="C998" t="str">
            <v>件</v>
          </cell>
          <cell r="D998">
            <v>27.8223163830165</v>
          </cell>
          <cell r="E998">
            <v>3.86</v>
          </cell>
        </row>
        <row r="999">
          <cell r="A999" t="str">
            <v>F0102045129</v>
          </cell>
          <cell r="B999" t="str">
            <v>球包夹</v>
          </cell>
          <cell r="C999" t="str">
            <v>件</v>
          </cell>
          <cell r="D999">
            <v>4.508245710211</v>
          </cell>
          <cell r="E999">
            <v>0.63</v>
          </cell>
        </row>
        <row r="1000">
          <cell r="A1000" t="str">
            <v>F0308007030</v>
          </cell>
          <cell r="B1000" t="str">
            <v>右后尾灯</v>
          </cell>
          <cell r="C1000" t="str">
            <v>件</v>
          </cell>
          <cell r="D1000">
            <v>109.485967247981</v>
          </cell>
          <cell r="E1000">
            <v>15.21</v>
          </cell>
        </row>
        <row r="1001">
          <cell r="A1001" t="str">
            <v>F0308010011</v>
          </cell>
          <cell r="B1001" t="str">
            <v>后保装饰灯罩</v>
          </cell>
          <cell r="C1001" t="str">
            <v>件</v>
          </cell>
          <cell r="D1001">
            <v>112.062107653816</v>
          </cell>
          <cell r="E1001">
            <v>15.56</v>
          </cell>
        </row>
        <row r="1002">
          <cell r="A1002" t="str">
            <v>F0304004047</v>
          </cell>
          <cell r="B1002" t="str">
            <v>DC转换器/非隔离48V转13V500W</v>
          </cell>
          <cell r="C1002" t="str">
            <v>件</v>
          </cell>
          <cell r="D1002">
            <v>180.32982840844</v>
          </cell>
          <cell r="E1002">
            <v>25.05</v>
          </cell>
        </row>
        <row r="1003">
          <cell r="A1003" t="str">
            <v>F0201002038</v>
          </cell>
          <cell r="B1003" t="str">
            <v>前刹车卡钳 左</v>
          </cell>
          <cell r="C1003" t="str">
            <v>件</v>
          </cell>
          <cell r="D1003">
            <v>100.984703908726</v>
          </cell>
          <cell r="E1003">
            <v>14.03</v>
          </cell>
        </row>
        <row r="1004">
          <cell r="A1004" t="str">
            <v>F0201011019</v>
          </cell>
          <cell r="B1004" t="str">
            <v>左转向节</v>
          </cell>
          <cell r="C1004" t="str">
            <v>件</v>
          </cell>
          <cell r="D1004">
            <v>157.788599857385</v>
          </cell>
          <cell r="E1004">
            <v>21.92</v>
          </cell>
        </row>
        <row r="1005">
          <cell r="A1005" t="str">
            <v>F0201002039</v>
          </cell>
          <cell r="B1005" t="str">
            <v>前刹车卡钳 右</v>
          </cell>
          <cell r="C1005" t="str">
            <v>件</v>
          </cell>
          <cell r="D1005">
            <v>100.984703908726</v>
          </cell>
          <cell r="E1005">
            <v>14.03</v>
          </cell>
        </row>
        <row r="1006">
          <cell r="A1006" t="str">
            <v>F0201002040</v>
          </cell>
          <cell r="B1006" t="str">
            <v>A型碟刹轮毂轴承总成</v>
          </cell>
          <cell r="C1006" t="str">
            <v>件</v>
          </cell>
          <cell r="D1006">
            <v>195.657863823157</v>
          </cell>
          <cell r="E1006">
            <v>27.17</v>
          </cell>
        </row>
        <row r="1007">
          <cell r="A1007" t="str">
            <v>F0201011020</v>
          </cell>
          <cell r="B1007" t="str">
            <v>右转向节</v>
          </cell>
          <cell r="C1007" t="str">
            <v>件</v>
          </cell>
          <cell r="D1007">
            <v>157.788599857385</v>
          </cell>
          <cell r="E1007">
            <v>21.92</v>
          </cell>
        </row>
        <row r="1008">
          <cell r="A1008" t="str">
            <v>F0103035098</v>
          </cell>
          <cell r="B1008" t="str">
            <v>烟斗橡胶套/红色</v>
          </cell>
          <cell r="C1008" t="str">
            <v>件</v>
          </cell>
          <cell r="D1008">
            <v>1.46840003132586</v>
          </cell>
          <cell r="E1008">
            <v>0.2</v>
          </cell>
        </row>
        <row r="1009">
          <cell r="A1009" t="str">
            <v>FO103035099</v>
          </cell>
          <cell r="B1009" t="str">
            <v>烟斗橡胶套/黑色</v>
          </cell>
          <cell r="C1009" t="str">
            <v>件</v>
          </cell>
          <cell r="D1009">
            <v>1.46840003132586</v>
          </cell>
          <cell r="E1009">
            <v>0.2</v>
          </cell>
        </row>
        <row r="1010">
          <cell r="A1010" t="str">
            <v>F0103035100</v>
          </cell>
          <cell r="B1010" t="str">
            <v>鸭嘴橡胶套/红色</v>
          </cell>
          <cell r="C1010" t="str">
            <v>件</v>
          </cell>
          <cell r="D1010">
            <v>1.46840003132586</v>
          </cell>
          <cell r="E1010">
            <v>0.2</v>
          </cell>
        </row>
        <row r="1011">
          <cell r="A1011" t="str">
            <v>F0103035101</v>
          </cell>
          <cell r="B1011" t="str">
            <v>鸭嘴橡胶套/黑色</v>
          </cell>
          <cell r="C1011" t="str">
            <v>件</v>
          </cell>
          <cell r="D1011">
            <v>1.46840003132586</v>
          </cell>
          <cell r="E1011">
            <v>0.2</v>
          </cell>
        </row>
        <row r="1012">
          <cell r="A1012" t="str">
            <v>Y0214003025</v>
          </cell>
          <cell r="B1012" t="str">
            <v>扎带</v>
          </cell>
          <cell r="C1012" t="str">
            <v>件</v>
          </cell>
          <cell r="D1012">
            <v>0.153280354147174</v>
          </cell>
          <cell r="E1012">
            <v>0.02</v>
          </cell>
        </row>
        <row r="1013">
          <cell r="A1013" t="str">
            <v>F2119000005</v>
          </cell>
          <cell r="B1013" t="str">
            <v>扎带</v>
          </cell>
          <cell r="C1013" t="str">
            <v>件</v>
          </cell>
          <cell r="D1013">
            <v>0.203515092060954</v>
          </cell>
          <cell r="E1013">
            <v>0.03</v>
          </cell>
        </row>
        <row r="1014">
          <cell r="A1014" t="str">
            <v>F0308035028</v>
          </cell>
          <cell r="B1014" t="str">
            <v>整车氛围灯总成（不含喇叭罩电镀件、导光件和座椅靠背灯）</v>
          </cell>
          <cell r="C1014" t="str">
            <v>件</v>
          </cell>
          <cell r="D1014">
            <v>620.463416745325</v>
          </cell>
          <cell r="E1014">
            <v>86.18</v>
          </cell>
        </row>
        <row r="1015">
          <cell r="A1015" t="str">
            <v>F0308035031</v>
          </cell>
          <cell r="B1015" t="str">
            <v>座椅靠背氛围灯灯条</v>
          </cell>
          <cell r="C1015" t="str">
            <v>件</v>
          </cell>
          <cell r="D1015">
            <v>40.4454043716072</v>
          </cell>
          <cell r="E1015">
            <v>5.62</v>
          </cell>
        </row>
        <row r="1016">
          <cell r="A1016" t="str">
            <v>F0102086054</v>
          </cell>
          <cell r="B1016" t="str">
            <v>后罩 前片</v>
          </cell>
          <cell r="C1016" t="str">
            <v>件</v>
          </cell>
          <cell r="D1016">
            <v>79.9299083718381</v>
          </cell>
          <cell r="E1016">
            <v>11.1</v>
          </cell>
        </row>
        <row r="1017">
          <cell r="A1017" t="str">
            <v>F0204002037</v>
          </cell>
          <cell r="B1017" t="str">
            <v>转向轴管</v>
          </cell>
          <cell r="C1017" t="str">
            <v>件</v>
          </cell>
          <cell r="D1017">
            <v>119.919335891613</v>
          </cell>
          <cell r="E1017">
            <v>16.66</v>
          </cell>
        </row>
        <row r="1018">
          <cell r="A1018" t="str">
            <v>F2101105015</v>
          </cell>
          <cell r="B1018" t="str">
            <v>转向轴管销轴</v>
          </cell>
          <cell r="C1018" t="str">
            <v>件</v>
          </cell>
          <cell r="D1018">
            <v>4.41808079600678</v>
          </cell>
          <cell r="E1018">
            <v>0.61</v>
          </cell>
        </row>
        <row r="1019">
          <cell r="A1019" t="str">
            <v>F2101083021</v>
          </cell>
          <cell r="B1019" t="str">
            <v>蝶形弾簧</v>
          </cell>
          <cell r="C1019" t="str">
            <v>件</v>
          </cell>
          <cell r="D1019">
            <v>0.63115439942954</v>
          </cell>
          <cell r="E1019">
            <v>0.09</v>
          </cell>
        </row>
        <row r="1020">
          <cell r="A1020" t="str">
            <v>F0102086073</v>
          </cell>
          <cell r="B1020" t="str">
            <v>后备箱门外板</v>
          </cell>
          <cell r="C1020" t="str">
            <v>件</v>
          </cell>
          <cell r="D1020">
            <v>16.0985590101025</v>
          </cell>
          <cell r="E1020">
            <v>2.24</v>
          </cell>
        </row>
        <row r="1021">
          <cell r="A1021" t="str">
            <v>F0102087021</v>
          </cell>
          <cell r="B1021" t="str">
            <v>顶棚后支架 左</v>
          </cell>
          <cell r="C1021" t="str">
            <v>件</v>
          </cell>
          <cell r="D1021">
            <v>48.9466677108623</v>
          </cell>
          <cell r="E1021">
            <v>6.8</v>
          </cell>
        </row>
        <row r="1022">
          <cell r="A1022" t="str">
            <v>F0102087022</v>
          </cell>
          <cell r="B1022" t="str">
            <v>顶棚后支架 右</v>
          </cell>
          <cell r="C1022" t="str">
            <v>件</v>
          </cell>
          <cell r="D1022">
            <v>48.9466677108623</v>
          </cell>
          <cell r="E1022">
            <v>6.8</v>
          </cell>
        </row>
        <row r="1023">
          <cell r="A1023" t="str">
            <v>F0102086046</v>
          </cell>
          <cell r="B1023" t="str">
            <v>靠背杯托支架</v>
          </cell>
          <cell r="C1023" t="str">
            <v>件</v>
          </cell>
          <cell r="D1023">
            <v>6.99105254914246</v>
          </cell>
          <cell r="E1023">
            <v>0.97</v>
          </cell>
        </row>
        <row r="1024">
          <cell r="A1024" t="str">
            <v>F0102086103</v>
          </cell>
          <cell r="B1024" t="str">
            <v>旋钮压块</v>
          </cell>
          <cell r="C1024" t="str">
            <v>件</v>
          </cell>
          <cell r="D1024">
            <v>1.60985590101025</v>
          </cell>
          <cell r="E1024">
            <v>0.22</v>
          </cell>
        </row>
        <row r="1025">
          <cell r="A1025" t="str">
            <v>F0102086072</v>
          </cell>
          <cell r="B1025" t="str">
            <v>后备箱门内板</v>
          </cell>
          <cell r="C1025" t="str">
            <v>件</v>
          </cell>
          <cell r="D1025">
            <v>13.351672018169</v>
          </cell>
          <cell r="E1025">
            <v>1.85</v>
          </cell>
        </row>
        <row r="1026">
          <cell r="A1026" t="str">
            <v>F0102086067</v>
          </cell>
          <cell r="B1026" t="str">
            <v>铰链上座</v>
          </cell>
          <cell r="C1026" t="str">
            <v>件</v>
          </cell>
          <cell r="D1026">
            <v>1.2946393609523</v>
          </cell>
          <cell r="E1026">
            <v>0.18</v>
          </cell>
        </row>
        <row r="1027">
          <cell r="A1027" t="str">
            <v>F0102086068</v>
          </cell>
          <cell r="B1027" t="str">
            <v>铰链底座</v>
          </cell>
          <cell r="C1027" t="str">
            <v>件</v>
          </cell>
          <cell r="D1027">
            <v>0.641690813689404</v>
          </cell>
          <cell r="E1027">
            <v>0.09</v>
          </cell>
        </row>
        <row r="1028">
          <cell r="A1028" t="str">
            <v>F0102086069</v>
          </cell>
          <cell r="B1028" t="str">
            <v>铰链销</v>
          </cell>
          <cell r="C1028" t="str">
            <v>件</v>
          </cell>
          <cell r="D1028">
            <v>0.213896937896468</v>
          </cell>
          <cell r="E1028">
            <v>0.03</v>
          </cell>
        </row>
        <row r="1029">
          <cell r="A1029" t="str">
            <v>F0102087013</v>
          </cell>
          <cell r="B1029" t="str">
            <v>左前挡泥板</v>
          </cell>
          <cell r="C1029" t="str">
            <v>件</v>
          </cell>
          <cell r="D1029">
            <v>154.568424350092</v>
          </cell>
          <cell r="E1029">
            <v>21.47</v>
          </cell>
        </row>
        <row r="1030">
          <cell r="A1030" t="str">
            <v>F0102087014</v>
          </cell>
          <cell r="B1030" t="str">
            <v>右前挡泥板</v>
          </cell>
          <cell r="C1030" t="str">
            <v>件</v>
          </cell>
          <cell r="D1030">
            <v>154.568424350092</v>
          </cell>
          <cell r="E1030">
            <v>21.47</v>
          </cell>
        </row>
        <row r="1031">
          <cell r="A1031" t="str">
            <v>F0102086535</v>
          </cell>
          <cell r="B1031" t="str">
            <v>下挡水板 前</v>
          </cell>
          <cell r="C1031" t="str">
            <v>件</v>
          </cell>
          <cell r="D1031">
            <v>115.926318262569</v>
          </cell>
          <cell r="E1031">
            <v>16.1</v>
          </cell>
        </row>
        <row r="1032">
          <cell r="A1032" t="str">
            <v>F0102086536</v>
          </cell>
          <cell r="B1032" t="str">
            <v>下挡水板 后</v>
          </cell>
          <cell r="C1032" t="str">
            <v>件</v>
          </cell>
          <cell r="D1032">
            <v>115.926318262569</v>
          </cell>
          <cell r="E1032">
            <v>16.1</v>
          </cell>
        </row>
        <row r="1033">
          <cell r="A1033" t="str">
            <v>F0103027124</v>
          </cell>
          <cell r="B1033" t="str">
            <v>V1G成型地板革  前段</v>
          </cell>
          <cell r="C1033" t="str">
            <v>盒</v>
          </cell>
          <cell r="D1033">
            <v>180.32982840844</v>
          </cell>
          <cell r="E1033">
            <v>25.05</v>
          </cell>
        </row>
        <row r="1034">
          <cell r="A1034" t="str">
            <v>F0103027125</v>
          </cell>
          <cell r="B1034" t="str">
            <v>V1G成型地板革  后段</v>
          </cell>
          <cell r="C1034" t="str">
            <v>M6*16</v>
          </cell>
          <cell r="D1034">
            <v>180.32982840844</v>
          </cell>
          <cell r="E1034">
            <v>25.05</v>
          </cell>
        </row>
        <row r="1035">
          <cell r="A1035" t="str">
            <v>F2101002004</v>
          </cell>
          <cell r="B1035" t="str">
            <v>不锈钢十字槽沉头螺丝</v>
          </cell>
          <cell r="C1035" t="str">
            <v>M5*20</v>
          </cell>
          <cell r="D1035">
            <v>0.154535398230088</v>
          </cell>
          <cell r="E1035">
            <v>0.02</v>
          </cell>
        </row>
        <row r="1036">
          <cell r="A1036" t="str">
            <v>F2101081010</v>
          </cell>
          <cell r="B1036" t="str">
            <v>大平垫</v>
          </cell>
          <cell r="C1036" t="str">
            <v>6*18*1.5 Black Zinc</v>
          </cell>
          <cell r="D1036">
            <v>0.0537610619469027</v>
          </cell>
          <cell r="E1036">
            <v>0.01</v>
          </cell>
        </row>
        <row r="1037">
          <cell r="A1037" t="str">
            <v>F2101051006</v>
          </cell>
          <cell r="B1037" t="str">
            <v>薄型螺母</v>
          </cell>
          <cell r="C1037" t="str">
            <v>M12×1.25</v>
          </cell>
          <cell r="D1037">
            <v>0.146570796460177</v>
          </cell>
          <cell r="E1037">
            <v>0.02</v>
          </cell>
        </row>
        <row r="1038">
          <cell r="A1038" t="str">
            <v>Y0301020015</v>
          </cell>
          <cell r="B1038" t="str">
            <v>加大平垫片(12*32)</v>
          </cell>
          <cell r="C1038">
            <v>12</v>
          </cell>
          <cell r="D1038">
            <v>0.232300884955752</v>
          </cell>
          <cell r="E1038">
            <v>0.03</v>
          </cell>
        </row>
        <row r="1039">
          <cell r="A1039" t="str">
            <v>F2101043060</v>
          </cell>
          <cell r="B1039" t="str">
            <v>圆头螺丝平垫片弹垫组合件</v>
          </cell>
          <cell r="C1039" t="str">
            <v>M8*30</v>
          </cell>
          <cell r="D1039">
            <v>0.38716814159292</v>
          </cell>
          <cell r="E1039">
            <v>0.05</v>
          </cell>
        </row>
        <row r="1040">
          <cell r="A1040" t="str">
            <v>F2101001017</v>
          </cell>
          <cell r="B1040" t="str">
            <v>圆头螺丝平垫片弹垫组合件</v>
          </cell>
          <cell r="C1040" t="str">
            <v>3*7.5 Black Dacromet</v>
          </cell>
          <cell r="D1040">
            <v>0.0503318584070796</v>
          </cell>
          <cell r="E1040">
            <v>0.01</v>
          </cell>
        </row>
        <row r="1041">
          <cell r="A1041" t="str">
            <v>F2101021015</v>
          </cell>
          <cell r="B1041" t="str">
            <v>半园头内六角罗丝8*25</v>
          </cell>
          <cell r="C1041" t="str">
            <v>4.8*25</v>
          </cell>
          <cell r="D1041">
            <v>0.102654867256637</v>
          </cell>
          <cell r="E1041">
            <v>0.01</v>
          </cell>
        </row>
        <row r="1042">
          <cell r="A1042" t="str">
            <v>F211900039</v>
          </cell>
          <cell r="B1042" t="str">
            <v>圆头螺丝平垫片弹垫组合件</v>
          </cell>
          <cell r="C1042" t="str">
            <v>只</v>
          </cell>
          <cell r="D1042">
            <v>0.884955752212389</v>
          </cell>
          <cell r="E1042">
            <v>0.12</v>
          </cell>
        </row>
        <row r="1043">
          <cell r="A1043" t="str">
            <v>F2101001001</v>
          </cell>
          <cell r="B1043" t="str">
            <v>4座标准件</v>
          </cell>
          <cell r="C1043" t="str">
            <v>盒</v>
          </cell>
          <cell r="D1043">
            <v>0.0719026548672566</v>
          </cell>
          <cell r="E1043">
            <v>0.01</v>
          </cell>
        </row>
        <row r="1044">
          <cell r="A1044" t="str">
            <v>F2101051014</v>
          </cell>
          <cell r="B1044" t="str">
            <v>不锈钢六角螺母</v>
          </cell>
          <cell r="C1044" t="str">
            <v>M4 Black Dacromet</v>
          </cell>
          <cell r="D1044">
            <v>0.0537610619469027</v>
          </cell>
          <cell r="E1044">
            <v>0.01</v>
          </cell>
        </row>
        <row r="1045">
          <cell r="A1045" t="str">
            <v>Y0301001029</v>
          </cell>
          <cell r="B1045" t="str">
            <v>平头罗丝(6*30)</v>
          </cell>
          <cell r="C1045" t="str">
            <v>M6*30</v>
          </cell>
          <cell r="D1045">
            <v>0.0607300884955752</v>
          </cell>
          <cell r="E1045">
            <v>0.01</v>
          </cell>
        </row>
        <row r="1046">
          <cell r="A1046" t="str">
            <v>F2101021004</v>
          </cell>
          <cell r="B1046" t="str">
            <v>圆头自攻螺丝</v>
          </cell>
          <cell r="C1046" t="str">
            <v>4.2*19</v>
          </cell>
          <cell r="D1046">
            <v>0.0488938053097345</v>
          </cell>
          <cell r="E1046">
            <v>0.01</v>
          </cell>
        </row>
        <row r="1047">
          <cell r="A1047" t="str">
            <v>Y0301006022</v>
          </cell>
          <cell r="B1047" t="str">
            <v>平头自攻(4.2*16)</v>
          </cell>
          <cell r="C1047" t="str">
            <v>4.2*16</v>
          </cell>
          <cell r="D1047">
            <v>0.0440265486725664</v>
          </cell>
          <cell r="E1047">
            <v>0.01</v>
          </cell>
        </row>
        <row r="1048">
          <cell r="A1048" t="str">
            <v>F2101032005</v>
          </cell>
          <cell r="B1048" t="str">
            <v>十字平头自攻螺钉</v>
          </cell>
          <cell r="C1048" t="str">
            <v>4.2*30</v>
          </cell>
          <cell r="D1048">
            <v>0.138274336283186</v>
          </cell>
          <cell r="E1048">
            <v>0.02</v>
          </cell>
        </row>
        <row r="1049">
          <cell r="A1049" t="str">
            <v>Y0301020005</v>
          </cell>
          <cell r="B1049" t="str">
            <v>平垫片(6)加大</v>
          </cell>
          <cell r="C1049" t="str">
            <v>-</v>
          </cell>
          <cell r="D1049">
            <v>0.0389380530973451</v>
          </cell>
          <cell r="E1049">
            <v>0.01</v>
          </cell>
        </row>
        <row r="1050">
          <cell r="A1050" t="str">
            <v>Y0301012011</v>
          </cell>
          <cell r="B1050" t="str">
            <v>半园头内六角罗丝8*25</v>
          </cell>
          <cell r="C1050" t="str">
            <v>M8*25</v>
          </cell>
          <cell r="D1050">
            <v>0.547566371681416</v>
          </cell>
          <cell r="E1050">
            <v>0.08</v>
          </cell>
        </row>
        <row r="1051">
          <cell r="A1051" t="str">
            <v>Y0301019035</v>
          </cell>
          <cell r="B1051" t="str">
            <v>不锈钢罗母(8)</v>
          </cell>
          <cell r="C1051" t="str">
            <v>M8</v>
          </cell>
          <cell r="D1051">
            <v>0.114491150442478</v>
          </cell>
          <cell r="E1051">
            <v>0.02</v>
          </cell>
        </row>
        <row r="1052">
          <cell r="A1052" t="str">
            <v>Y0301020008</v>
          </cell>
          <cell r="B1052" t="str">
            <v>平垫片(8)加大</v>
          </cell>
          <cell r="C1052">
            <v>8</v>
          </cell>
          <cell r="D1052">
            <v>0.039712389380531</v>
          </cell>
          <cell r="E1052">
            <v>0.01</v>
          </cell>
        </row>
        <row r="1053">
          <cell r="A1053" t="str">
            <v>Y0301010012</v>
          </cell>
          <cell r="B1053" t="str">
            <v>六角罗丝(6*30)</v>
          </cell>
          <cell r="C1053" t="str">
            <v>M6*30</v>
          </cell>
          <cell r="D1053">
            <v>0.100663716814159</v>
          </cell>
          <cell r="E1053">
            <v>0.01</v>
          </cell>
        </row>
        <row r="1054">
          <cell r="A1054" t="str">
            <v>Y0301019005</v>
          </cell>
          <cell r="B1054" t="str">
            <v>罗母(6)</v>
          </cell>
          <cell r="C1054" t="str">
            <v>M6</v>
          </cell>
          <cell r="D1054">
            <v>0.0205752212389381</v>
          </cell>
          <cell r="E1054">
            <v>0.01</v>
          </cell>
        </row>
        <row r="1055">
          <cell r="A1055" t="str">
            <v>F2101001042</v>
          </cell>
          <cell r="B1055" t="str">
            <v>盘头螺丝平垫片弹垫组合件</v>
          </cell>
          <cell r="C1055" t="str">
            <v>M5*20</v>
          </cell>
          <cell r="D1055">
            <v>0.663716814159292</v>
          </cell>
          <cell r="E1055">
            <v>0.09</v>
          </cell>
        </row>
        <row r="1056">
          <cell r="A1056" t="str">
            <v>Y030101304314</v>
          </cell>
          <cell r="B1056" t="str">
            <v>法兰面六角罗丝（5*12）</v>
          </cell>
          <cell r="C1056" t="str">
            <v>M5*12</v>
          </cell>
          <cell r="D1056">
            <v>0.0945796460176991</v>
          </cell>
          <cell r="E1056">
            <v>0.01</v>
          </cell>
        </row>
        <row r="1057">
          <cell r="A1057" t="str">
            <v>F2101081003</v>
          </cell>
          <cell r="B1057" t="str">
            <v>平垫片（5）加大</v>
          </cell>
          <cell r="C1057">
            <v>5</v>
          </cell>
          <cell r="D1057">
            <v>0.0236725663716814</v>
          </cell>
          <cell r="E1057">
            <v>0.01</v>
          </cell>
        </row>
        <row r="1058">
          <cell r="A1058" t="str">
            <v>Y0301021004</v>
          </cell>
          <cell r="B1058" t="str">
            <v>弹簧垫片（6）</v>
          </cell>
          <cell r="C1058" t="str">
            <v>-</v>
          </cell>
          <cell r="D1058">
            <v>0.0106194690265487</v>
          </cell>
          <cell r="E1058">
            <v>0.01</v>
          </cell>
        </row>
        <row r="1059">
          <cell r="A1059" t="str">
            <v>Y0301010016</v>
          </cell>
          <cell r="B1059" t="str">
            <v>六角罗丝(6*60)</v>
          </cell>
          <cell r="C1059" t="str">
            <v>M6*60</v>
          </cell>
          <cell r="D1059">
            <v>0.110619469026549</v>
          </cell>
          <cell r="E1059">
            <v>0.02</v>
          </cell>
        </row>
        <row r="1060">
          <cell r="A1060" t="str">
            <v>Y0301010013</v>
          </cell>
          <cell r="B1060" t="str">
            <v>六角罗丝(6*35)</v>
          </cell>
          <cell r="C1060" t="str">
            <v>M6*35</v>
          </cell>
          <cell r="D1060">
            <v>0.113606194690265</v>
          </cell>
          <cell r="E1060">
            <v>0.02</v>
          </cell>
        </row>
        <row r="1061">
          <cell r="A1061" t="str">
            <v>Y0301010026</v>
          </cell>
          <cell r="B1061" t="str">
            <v>六角罗丝(8*50)</v>
          </cell>
          <cell r="C1061" t="str">
            <v>M8*50</v>
          </cell>
          <cell r="D1061">
            <v>0.232190265486726</v>
          </cell>
          <cell r="E1061">
            <v>0.03</v>
          </cell>
        </row>
        <row r="1062">
          <cell r="A1062" t="str">
            <v>F21011050107</v>
          </cell>
          <cell r="B1062" t="str">
            <v>轴销</v>
          </cell>
          <cell r="C1062" t="str">
            <v>8*40</v>
          </cell>
          <cell r="D1062">
            <v>0.315265486725664</v>
          </cell>
          <cell r="E1062">
            <v>0.04</v>
          </cell>
        </row>
        <row r="1063">
          <cell r="A1063" t="str">
            <v>F2101021023</v>
          </cell>
          <cell r="B1063" t="str">
            <v>不锈钢盘头自攻钉</v>
          </cell>
          <cell r="C1063" t="str">
            <v>4.8*16</v>
          </cell>
          <cell r="D1063">
            <v>0.162942477876106</v>
          </cell>
          <cell r="E1063">
            <v>0.02</v>
          </cell>
        </row>
        <row r="1064">
          <cell r="A1064" t="str">
            <v>Y0301010009</v>
          </cell>
          <cell r="B1064" t="str">
            <v>六角头螺栓</v>
          </cell>
          <cell r="C1064" t="str">
            <v>M6*16</v>
          </cell>
          <cell r="D1064">
            <v>0.0675884955752212</v>
          </cell>
          <cell r="E1064">
            <v>0.01</v>
          </cell>
        </row>
        <row r="1065">
          <cell r="A1065" t="str">
            <v>Y0301010010</v>
          </cell>
          <cell r="B1065" t="str">
            <v>六角罗丝(6*20)</v>
          </cell>
          <cell r="C1065" t="str">
            <v>M6*20</v>
          </cell>
          <cell r="D1065">
            <v>0.0691371681415929</v>
          </cell>
          <cell r="E1065">
            <v>0.01</v>
          </cell>
        </row>
        <row r="1066">
          <cell r="A1066" t="str">
            <v>F2101001003</v>
          </cell>
          <cell r="B1066" t="str">
            <v>圆头螺丝平垫片弹垫组合件</v>
          </cell>
          <cell r="C1066" t="str">
            <v>M6*16</v>
          </cell>
          <cell r="D1066">
            <v>0.107522123893805</v>
          </cell>
          <cell r="E1066">
            <v>0.01</v>
          </cell>
        </row>
        <row r="1067">
          <cell r="A1067" t="str">
            <v>Y0301010011</v>
          </cell>
          <cell r="B1067" t="str">
            <v>六角罗丝(6*25)</v>
          </cell>
          <cell r="C1067" t="str">
            <v>M6*25</v>
          </cell>
          <cell r="D1067">
            <v>0.0837389380530974</v>
          </cell>
          <cell r="E1067">
            <v>0.01</v>
          </cell>
        </row>
        <row r="1068">
          <cell r="A1068" t="str">
            <v>Y0301020004</v>
          </cell>
          <cell r="B1068" t="str">
            <v>平垫片(6)</v>
          </cell>
          <cell r="C1068">
            <v>0</v>
          </cell>
          <cell r="D1068">
            <v>0.00962389380530974</v>
          </cell>
          <cell r="E1068">
            <v>0.01</v>
          </cell>
        </row>
        <row r="1069">
          <cell r="A1069" t="str">
            <v>Y0301010025</v>
          </cell>
          <cell r="B1069" t="str">
            <v>六角罗丝(8*45)</v>
          </cell>
          <cell r="C1069" t="str">
            <v>M8*45</v>
          </cell>
          <cell r="D1069">
            <v>0.222566371681416</v>
          </cell>
          <cell r="E1069">
            <v>0.03</v>
          </cell>
        </row>
        <row r="1070">
          <cell r="A1070" t="str">
            <v>Y0301001061</v>
          </cell>
          <cell r="B1070" t="str">
            <v>不锈钢平头螺钉(5*16)</v>
          </cell>
          <cell r="C1070" t="str">
            <v>M5*16</v>
          </cell>
          <cell r="D1070">
            <v>0.151438053097345</v>
          </cell>
          <cell r="E1070">
            <v>0.02</v>
          </cell>
        </row>
        <row r="1071">
          <cell r="A1071" t="str">
            <v>Y0301005041</v>
          </cell>
          <cell r="B1071" t="str">
            <v>大圆头自攻罗丝(4.8*16)</v>
          </cell>
          <cell r="C1071" t="str">
            <v>4.8*16</v>
          </cell>
          <cell r="D1071">
            <v>0.0502212389380531</v>
          </cell>
          <cell r="E1071">
            <v>0.01</v>
          </cell>
        </row>
        <row r="1072">
          <cell r="A1072" t="str">
            <v>Y0301014002</v>
          </cell>
          <cell r="B1072" t="str">
            <v>不锈钢六角罗丝(6*60)</v>
          </cell>
          <cell r="C1072" t="str">
            <v>M6*60</v>
          </cell>
          <cell r="D1072">
            <v>0.364491150442478</v>
          </cell>
          <cell r="E1072">
            <v>0.05</v>
          </cell>
        </row>
        <row r="1073">
          <cell r="A1073" t="str">
            <v>Y0301007012</v>
          </cell>
          <cell r="B1073" t="str">
            <v>不锈钢平头内六角自攻钉（4.2*16）</v>
          </cell>
          <cell r="C1073" t="str">
            <v>4.2*16</v>
          </cell>
          <cell r="D1073">
            <v>0.180752212389381</v>
          </cell>
          <cell r="E1073">
            <v>0.03</v>
          </cell>
        </row>
        <row r="1074">
          <cell r="A1074" t="str">
            <v>Y0301010027</v>
          </cell>
          <cell r="B1074" t="str">
            <v>六角罗丝(8*60)</v>
          </cell>
          <cell r="C1074" t="str">
            <v>M8*60</v>
          </cell>
          <cell r="D1074">
            <v>0.32179203539823</v>
          </cell>
          <cell r="E1074">
            <v>0.04</v>
          </cell>
        </row>
        <row r="1075">
          <cell r="A1075" t="str">
            <v>Y0301025024</v>
          </cell>
          <cell r="B1075" t="str">
            <v>自攻卡扣（金属4.8）彩</v>
          </cell>
          <cell r="C1075">
            <v>0</v>
          </cell>
          <cell r="D1075">
            <v>0.293694690265487</v>
          </cell>
          <cell r="E1075">
            <v>0.04</v>
          </cell>
        </row>
        <row r="1076">
          <cell r="A1076" t="str">
            <v>F2111000197</v>
          </cell>
          <cell r="B1076" t="str">
            <v>4座标准件</v>
          </cell>
          <cell r="C1076" t="str">
            <v>盒</v>
          </cell>
          <cell r="D1076">
            <v>173.664159292035</v>
          </cell>
          <cell r="E1076">
            <v>24.12</v>
          </cell>
        </row>
        <row r="1077">
          <cell r="A1077" t="str">
            <v>F0103009035</v>
          </cell>
          <cell r="B1077" t="str">
            <v>J款前挡玻璃/2座/茶色/D0T</v>
          </cell>
          <cell r="C1077">
            <v>0</v>
          </cell>
          <cell r="D1077">
            <v>296.93</v>
          </cell>
          <cell r="E1077">
            <v>41.24</v>
          </cell>
        </row>
        <row r="1078">
          <cell r="A1078" t="str">
            <v>F2111000208</v>
          </cell>
          <cell r="B1078" t="str">
            <v>4+2座标准件</v>
          </cell>
          <cell r="C1078" t="str">
            <v>盒</v>
          </cell>
          <cell r="D1078">
            <v>152.745575221239</v>
          </cell>
          <cell r="E1078">
            <v>21.21</v>
          </cell>
        </row>
        <row r="1079">
          <cell r="A1079" t="str">
            <v>F0102087040</v>
          </cell>
          <cell r="B1079" t="str">
            <v>中座桶 上盖</v>
          </cell>
          <cell r="C1079" t="str">
            <v>件</v>
          </cell>
          <cell r="D1079">
            <v>30.73</v>
          </cell>
          <cell r="E1079">
            <v>4.27</v>
          </cell>
        </row>
        <row r="1080">
          <cell r="A1080" t="str">
            <v>F0102087041</v>
          </cell>
          <cell r="B1080" t="str">
            <v>中座桶 底座</v>
          </cell>
          <cell r="C1080" t="str">
            <v>件</v>
          </cell>
          <cell r="D1080">
            <v>56.79</v>
          </cell>
          <cell r="E1080">
            <v>7.89</v>
          </cell>
        </row>
        <row r="1081">
          <cell r="A1081" t="str">
            <v>Y0301010019</v>
          </cell>
          <cell r="B1081" t="str">
            <v>六角罗丝(8*16)</v>
          </cell>
          <cell r="C1081" t="str">
            <v>只</v>
          </cell>
          <cell r="D1081">
            <v>0.112057522123894</v>
          </cell>
          <cell r="E1081">
            <v>0.02</v>
          </cell>
        </row>
        <row r="1082">
          <cell r="A1082" t="str">
            <v>Y0301012017</v>
          </cell>
          <cell r="B1082" t="str">
            <v>半圆头内六角螺丝4*20（不锈钢）</v>
          </cell>
          <cell r="C1082" t="str">
            <v>只</v>
          </cell>
          <cell r="D1082">
            <v>0.205973451327434</v>
          </cell>
          <cell r="E1082">
            <v>0.03</v>
          </cell>
        </row>
        <row r="1083">
          <cell r="A1083" t="str">
            <v>Y0301014021</v>
          </cell>
          <cell r="B1083" t="str">
            <v>不锈钢六角头螺栓M6*50</v>
          </cell>
          <cell r="C1083" t="str">
            <v>只</v>
          </cell>
          <cell r="D1083">
            <v>0.402323008849558</v>
          </cell>
          <cell r="E1083">
            <v>0.06</v>
          </cell>
        </row>
        <row r="1084">
          <cell r="A1084" t="str">
            <v>F2101059002</v>
          </cell>
          <cell r="B1084" t="str">
            <v>盖形轮胎螺母</v>
          </cell>
          <cell r="C1084" t="str">
            <v>只</v>
          </cell>
          <cell r="D1084">
            <v>2.72964601769912</v>
          </cell>
          <cell r="E1084">
            <v>0.38</v>
          </cell>
        </row>
        <row r="1085">
          <cell r="A1085" t="str">
            <v>F2101059003</v>
          </cell>
          <cell r="B1085" t="str">
            <v>盖形轮胎螺母</v>
          </cell>
          <cell r="C1085" t="str">
            <v>只</v>
          </cell>
          <cell r="D1085">
            <v>2.72964601769912</v>
          </cell>
          <cell r="E1085">
            <v>0.38</v>
          </cell>
        </row>
        <row r="1086">
          <cell r="A1086" t="str">
            <v>F0102045049</v>
          </cell>
          <cell r="B1086" t="str">
            <v>球童拉手</v>
          </cell>
          <cell r="C1086" t="str">
            <v>件</v>
          </cell>
          <cell r="D1086">
            <v>7.18</v>
          </cell>
          <cell r="E1086">
            <v>1</v>
          </cell>
        </row>
        <row r="1087">
          <cell r="A1087" t="str">
            <v>F0102047033</v>
          </cell>
          <cell r="B1087" t="str">
            <v>保温箱（5号）支架</v>
          </cell>
          <cell r="C1087" t="str">
            <v>件</v>
          </cell>
          <cell r="D1087">
            <v>13.57</v>
          </cell>
          <cell r="E1087">
            <v>1.88</v>
          </cell>
        </row>
        <row r="1088">
          <cell r="A1088" t="str">
            <v>F0102077048</v>
          </cell>
          <cell r="B1088" t="str">
            <v>顶棚左前支架/2座J款</v>
          </cell>
          <cell r="C1088" t="str">
            <v>件</v>
          </cell>
          <cell r="D1088">
            <v>11.75</v>
          </cell>
          <cell r="E1088">
            <v>1.63</v>
          </cell>
        </row>
        <row r="1089">
          <cell r="A1089" t="str">
            <v>F0102077049</v>
          </cell>
          <cell r="B1089" t="str">
            <v>顶棚右前支架/2座J款</v>
          </cell>
          <cell r="C1089" t="str">
            <v>件</v>
          </cell>
          <cell r="D1089">
            <v>11.75</v>
          </cell>
          <cell r="E1089">
            <v>1.63</v>
          </cell>
        </row>
        <row r="1090">
          <cell r="A1090" t="str">
            <v>F0102045048</v>
          </cell>
          <cell r="B1090" t="str">
            <v>顶棚后支架-2029傲威</v>
          </cell>
          <cell r="C1090" t="str">
            <v>件</v>
          </cell>
          <cell r="D1090">
            <v>7.86</v>
          </cell>
          <cell r="E1090">
            <v>1.09</v>
          </cell>
        </row>
        <row r="1091">
          <cell r="A1091" t="str">
            <v>F2111000184</v>
          </cell>
          <cell r="B1091" t="str">
            <v>2座标准件缤特力J款</v>
          </cell>
          <cell r="C1091" t="str">
            <v>盒</v>
          </cell>
          <cell r="D1091">
            <v>77.2</v>
          </cell>
          <cell r="E1091">
            <v>10.72</v>
          </cell>
        </row>
        <row r="1092">
          <cell r="A1092" t="str">
            <v>F0203013012</v>
          </cell>
          <cell r="B1092" t="str">
            <v>304不锈钢德式喉箍（白色不锈钢）</v>
          </cell>
          <cell r="C1092" t="str">
            <v>件</v>
          </cell>
          <cell r="D1092">
            <v>1.35</v>
          </cell>
          <cell r="E1092">
            <v>0.19</v>
          </cell>
        </row>
        <row r="1093">
          <cell r="A1093" t="str">
            <v>F2101012002</v>
          </cell>
          <cell r="B1093" t="str">
            <v>半圆头内六角螺栓（白色不锈钢）</v>
          </cell>
          <cell r="C1093" t="str">
            <v>件</v>
          </cell>
          <cell r="D1093">
            <v>0.344778761061947</v>
          </cell>
          <cell r="E1093">
            <v>0.05</v>
          </cell>
        </row>
        <row r="1094">
          <cell r="A1094" t="str">
            <v>F2101021026</v>
          </cell>
          <cell r="B1094" t="str">
            <v>不锈钢盘头自攻钉（黑色达克罗）</v>
          </cell>
          <cell r="C1094" t="str">
            <v>件</v>
          </cell>
          <cell r="D1094">
            <v>0.0997345132743363</v>
          </cell>
          <cell r="E1094">
            <v>0.01</v>
          </cell>
        </row>
        <row r="1095">
          <cell r="A1095" t="str">
            <v>F2101022008</v>
          </cell>
          <cell r="B1095" t="str">
            <v>304不锈钢十字法兰面自攻螺丝（黑色达克罗）</v>
          </cell>
          <cell r="C1095" t="str">
            <v>件</v>
          </cell>
          <cell r="D1095">
            <v>0.160442477876106</v>
          </cell>
          <cell r="E1095">
            <v>0.02</v>
          </cell>
        </row>
        <row r="1096">
          <cell r="A1096" t="str">
            <v>F2101041006</v>
          </cell>
          <cell r="B1096" t="str">
            <v>不锈钢六角罗丝</v>
          </cell>
          <cell r="C1096" t="str">
            <v>件</v>
          </cell>
          <cell r="D1096">
            <v>1.64159292035398</v>
          </cell>
          <cell r="E1096">
            <v>0.23</v>
          </cell>
        </row>
        <row r="1097">
          <cell r="A1097" t="str">
            <v>F2101041052</v>
          </cell>
          <cell r="B1097" t="str">
            <v>不锈钢六角螺栓</v>
          </cell>
          <cell r="C1097" t="str">
            <v>件</v>
          </cell>
          <cell r="D1097">
            <v>0.204247787610619</v>
          </cell>
          <cell r="E1097">
            <v>0.03</v>
          </cell>
        </row>
        <row r="1098">
          <cell r="A1098" t="str">
            <v>F2101041057</v>
          </cell>
          <cell r="B1098" t="str">
            <v>不锈钢平头内六角螺丝（白色不锈钢）</v>
          </cell>
          <cell r="C1098" t="str">
            <v>件</v>
          </cell>
          <cell r="D1098">
            <v>0.333893805309735</v>
          </cell>
          <cell r="E1098">
            <v>0.05</v>
          </cell>
        </row>
        <row r="1099">
          <cell r="A1099" t="str">
            <v>F2101041063</v>
          </cell>
          <cell r="B1099" t="str">
            <v>不锈钢六角罗丝</v>
          </cell>
          <cell r="C1099" t="str">
            <v>件</v>
          </cell>
          <cell r="D1099">
            <v>0.681238938053097</v>
          </cell>
          <cell r="E1099">
            <v>0.09</v>
          </cell>
        </row>
        <row r="1100">
          <cell r="A1100" t="str">
            <v>F2101051023</v>
          </cell>
          <cell r="B1100" t="str">
            <v>六角螺母（白色不锈钢）</v>
          </cell>
          <cell r="C1100" t="str">
            <v>件</v>
          </cell>
          <cell r="D1100">
            <v>0.267787610619469</v>
          </cell>
          <cell r="E1100">
            <v>0.04</v>
          </cell>
        </row>
        <row r="1101">
          <cell r="A1101" t="str">
            <v>F2101051043</v>
          </cell>
          <cell r="B1101" t="str">
            <v>六角法兰螺母（黑）（黑色达克罗）</v>
          </cell>
          <cell r="C1101" t="str">
            <v>件</v>
          </cell>
          <cell r="D1101">
            <v>0.0394690265486726</v>
          </cell>
          <cell r="E1101">
            <v>0.01</v>
          </cell>
        </row>
        <row r="1102">
          <cell r="A1102" t="str">
            <v>F2101061027</v>
          </cell>
          <cell r="B1102" t="str">
            <v>8级六角法兰面螺母（花齿，晋）</v>
          </cell>
          <cell r="C1102" t="str">
            <v>件</v>
          </cell>
          <cell r="D1102">
            <v>0.333893805309735</v>
          </cell>
          <cell r="E1102">
            <v>0.05</v>
          </cell>
        </row>
        <row r="1103">
          <cell r="A1103" t="str">
            <v>F2101105019</v>
          </cell>
          <cell r="B1103" t="str">
            <v>轴销（彩锌）</v>
          </cell>
          <cell r="C1103" t="str">
            <v>件</v>
          </cell>
          <cell r="D1103">
            <v>0.517699115044248</v>
          </cell>
          <cell r="E1103">
            <v>0.07</v>
          </cell>
        </row>
        <row r="1104">
          <cell r="A1104" t="str">
            <v>Y0301001017</v>
          </cell>
          <cell r="B1104" t="str">
            <v>十字槽沉头螺栓（白色不锈钢）</v>
          </cell>
          <cell r="C1104" t="str">
            <v>件</v>
          </cell>
          <cell r="D1104">
            <v>0.0268141592920354</v>
          </cell>
          <cell r="E1104">
            <v>0.01</v>
          </cell>
        </row>
        <row r="1105">
          <cell r="A1105" t="str">
            <v>Y0301019006</v>
          </cell>
          <cell r="B1105" t="str">
            <v>六角螺母（彩锌）</v>
          </cell>
          <cell r="C1105" t="str">
            <v>件</v>
          </cell>
          <cell r="D1105">
            <v>0.0367256637168142</v>
          </cell>
          <cell r="E1105">
            <v>0.01</v>
          </cell>
        </row>
        <row r="1106">
          <cell r="A1106" t="str">
            <v>Y0301020010</v>
          </cell>
          <cell r="B1106" t="str">
            <v>平垫片（10）（彩锌）</v>
          </cell>
          <cell r="C1106" t="str">
            <v>件</v>
          </cell>
          <cell r="D1106">
            <v>0.0261946902654867</v>
          </cell>
          <cell r="E1106">
            <v>0.01</v>
          </cell>
        </row>
        <row r="1107">
          <cell r="A1107" t="str">
            <v>F2101043080</v>
          </cell>
          <cell r="B1107" t="str">
            <v>六角法兰面罗丝（彩锌）</v>
          </cell>
          <cell r="C1107" t="str">
            <v>件</v>
          </cell>
          <cell r="D1107">
            <v>0.518141592920354</v>
          </cell>
          <cell r="E1107">
            <v>0.07</v>
          </cell>
        </row>
        <row r="1108">
          <cell r="A1108" t="str">
            <v>Y0301019036</v>
          </cell>
          <cell r="B1108" t="str">
            <v>不锈钢螺母</v>
          </cell>
          <cell r="C1108" t="str">
            <v>件</v>
          </cell>
          <cell r="D1108">
            <v>0.402654867256637</v>
          </cell>
          <cell r="E1108">
            <v>0.06</v>
          </cell>
        </row>
        <row r="1109">
          <cell r="A1109" t="str">
            <v>F3104000407</v>
          </cell>
          <cell r="B1109" t="str">
            <v>前储物仓安装座注塑模</v>
          </cell>
          <cell r="C1109" t="str">
            <v>件</v>
          </cell>
          <cell r="D1109">
            <v>11933.06</v>
          </cell>
          <cell r="E1109">
            <v>1657.37</v>
          </cell>
        </row>
        <row r="1110">
          <cell r="A1110" t="str">
            <v>F3104000408</v>
          </cell>
          <cell r="B1110" t="str">
            <v>前储物仓注塑模</v>
          </cell>
          <cell r="C1110" t="str">
            <v>件</v>
          </cell>
          <cell r="D1110">
            <v>14584.82</v>
          </cell>
          <cell r="E1110">
            <v>2025.67</v>
          </cell>
        </row>
        <row r="1111">
          <cell r="A1111" t="str">
            <v>F3104000409</v>
          </cell>
          <cell r="B1111" t="str">
            <v>前储物仓盖注塑模</v>
          </cell>
          <cell r="C1111" t="str">
            <v>件</v>
          </cell>
          <cell r="D1111">
            <v>6629.47</v>
          </cell>
          <cell r="E1111">
            <v>920.76</v>
          </cell>
        </row>
        <row r="1112">
          <cell r="A1112" t="str">
            <v>F3104000410</v>
          </cell>
          <cell r="B1112" t="str">
            <v>前储物仓盖铰链总成注塑模</v>
          </cell>
          <cell r="C1112" t="str">
            <v>件</v>
          </cell>
          <cell r="D1112">
            <v>10607.11</v>
          </cell>
          <cell r="E1112">
            <v>1473.21</v>
          </cell>
        </row>
        <row r="1113">
          <cell r="A1113" t="str">
            <v>F3104000411</v>
          </cell>
          <cell r="B1113" t="str">
            <v>中网注塑模</v>
          </cell>
          <cell r="C1113" t="str">
            <v>件</v>
          </cell>
          <cell r="D1113">
            <v>10607.11</v>
          </cell>
          <cell r="E1113">
            <v>1473.21</v>
          </cell>
        </row>
        <row r="1114">
          <cell r="A1114" t="str">
            <v>F3104000413</v>
          </cell>
          <cell r="B1114" t="str">
            <v>前保装饰件1注塑模</v>
          </cell>
          <cell r="C1114" t="str">
            <v>件</v>
          </cell>
          <cell r="D1114">
            <v>21214.3</v>
          </cell>
          <cell r="E1114">
            <v>2946.43</v>
          </cell>
        </row>
        <row r="1115">
          <cell r="A1115" t="str">
            <v>F3104000414</v>
          </cell>
          <cell r="B1115" t="str">
            <v>前保装饰件2 左右注塑模</v>
          </cell>
          <cell r="C1115" t="str">
            <v>件</v>
          </cell>
          <cell r="D1115">
            <v>6629.47</v>
          </cell>
          <cell r="E1115">
            <v>920.76</v>
          </cell>
        </row>
        <row r="1116">
          <cell r="A1116" t="str">
            <v>F3104000415</v>
          </cell>
          <cell r="B1116" t="str">
            <v>左右前轮眉注塑模（ 球车）</v>
          </cell>
          <cell r="C1116" t="str">
            <v>件</v>
          </cell>
          <cell r="D1116">
            <v>21214.3</v>
          </cell>
          <cell r="E1116">
            <v>2946.43</v>
          </cell>
        </row>
        <row r="1117">
          <cell r="A1117" t="str">
            <v>F3104000416</v>
          </cell>
          <cell r="B1117" t="str">
            <v>球车轮眉扣帽左右注塑模</v>
          </cell>
          <cell r="C1117" t="str">
            <v>件</v>
          </cell>
          <cell r="D1117">
            <v>2651.76</v>
          </cell>
          <cell r="E1117">
            <v>368.3</v>
          </cell>
        </row>
        <row r="1118">
          <cell r="A1118" t="str">
            <v>F3104000417</v>
          </cell>
          <cell r="B1118" t="str">
            <v>左右前轮眉注塑模（ 打猎车）</v>
          </cell>
          <cell r="C1118" t="str">
            <v>件</v>
          </cell>
          <cell r="D1118">
            <v>21214.3</v>
          </cell>
          <cell r="E1118">
            <v>2946.43</v>
          </cell>
        </row>
        <row r="1119">
          <cell r="A1119" t="str">
            <v>F3104000418</v>
          </cell>
          <cell r="B1119" t="str">
            <v>打猎车轮眉扣帽左右注塑模</v>
          </cell>
          <cell r="C1119" t="str">
            <v>件</v>
          </cell>
          <cell r="D1119">
            <v>2651.76</v>
          </cell>
          <cell r="E1119">
            <v>368.3</v>
          </cell>
        </row>
        <row r="1120">
          <cell r="A1120" t="str">
            <v>F3104000419</v>
          </cell>
          <cell r="B1120" t="str">
            <v>仪表台注塑模</v>
          </cell>
          <cell r="C1120" t="str">
            <v>件</v>
          </cell>
          <cell r="D1120">
            <v>71598.24</v>
          </cell>
          <cell r="E1120">
            <v>9944.2</v>
          </cell>
        </row>
        <row r="1121">
          <cell r="A1121" t="str">
            <v>F3104000420</v>
          </cell>
          <cell r="B1121" t="str">
            <v>左右储物盒盖注塑模</v>
          </cell>
          <cell r="C1121" t="str">
            <v>件</v>
          </cell>
          <cell r="D1121">
            <v>9281.23</v>
          </cell>
          <cell r="E1121">
            <v>1289.06</v>
          </cell>
        </row>
        <row r="1122">
          <cell r="A1122" t="str">
            <v>F3104000421</v>
          </cell>
          <cell r="B1122" t="str">
            <v>左右储物盒注塑模</v>
          </cell>
          <cell r="C1122" t="str">
            <v>件</v>
          </cell>
          <cell r="D1122">
            <v>9281.23</v>
          </cell>
          <cell r="E1122">
            <v>1289.06</v>
          </cell>
        </row>
        <row r="1123">
          <cell r="A1123" t="str">
            <v>F3104000422</v>
          </cell>
          <cell r="B1123" t="str">
            <v>中储物盒注塑模</v>
          </cell>
          <cell r="C1123" t="str">
            <v>件</v>
          </cell>
          <cell r="D1123">
            <v>6629.47</v>
          </cell>
          <cell r="E1123">
            <v>920.76</v>
          </cell>
        </row>
        <row r="1124">
          <cell r="A1124" t="str">
            <v>F3104000423</v>
          </cell>
          <cell r="B1124" t="str">
            <v>中控开关面板注塑模</v>
          </cell>
          <cell r="C1124" t="str">
            <v>件</v>
          </cell>
          <cell r="D1124">
            <v>9281.23</v>
          </cell>
          <cell r="E1124">
            <v>1289.06</v>
          </cell>
        </row>
        <row r="1125">
          <cell r="A1125" t="str">
            <v>F3104000424</v>
          </cell>
          <cell r="B1125" t="str">
            <v>左右杯托注塑模</v>
          </cell>
          <cell r="C1125" t="str">
            <v>件</v>
          </cell>
          <cell r="D1125">
            <v>7955.35</v>
          </cell>
          <cell r="E1125">
            <v>1104.91</v>
          </cell>
        </row>
        <row r="1126">
          <cell r="A1126" t="str">
            <v>F3104000425</v>
          </cell>
          <cell r="B1126" t="str">
            <v>转向管柱护套注塑模</v>
          </cell>
          <cell r="C1126" t="str">
            <v>件</v>
          </cell>
          <cell r="D1126">
            <v>7955.35</v>
          </cell>
          <cell r="E1126">
            <v>1104.91</v>
          </cell>
        </row>
        <row r="1127">
          <cell r="A1127" t="str">
            <v>F3104000426</v>
          </cell>
          <cell r="B1127" t="str">
            <v>液晶屏座注塑模</v>
          </cell>
          <cell r="C1127" t="str">
            <v>件</v>
          </cell>
          <cell r="D1127">
            <v>5303.59</v>
          </cell>
          <cell r="E1127">
            <v>736.61</v>
          </cell>
        </row>
        <row r="1128">
          <cell r="A1128" t="str">
            <v>F3104000427</v>
          </cell>
          <cell r="B1128" t="str">
            <v>仪表台装饰条左右注塑模</v>
          </cell>
          <cell r="C1128" t="str">
            <v>件</v>
          </cell>
          <cell r="D1128">
            <v>13258.94</v>
          </cell>
          <cell r="E1128">
            <v>1841.52</v>
          </cell>
        </row>
        <row r="1129">
          <cell r="A1129" t="str">
            <v>F3104000428</v>
          </cell>
          <cell r="B1129" t="str">
            <v>风口装饰条组件注塑模</v>
          </cell>
          <cell r="C1129" t="str">
            <v>件</v>
          </cell>
          <cell r="D1129">
            <v>6629.47</v>
          </cell>
          <cell r="E1129">
            <v>920.76</v>
          </cell>
        </row>
        <row r="1130">
          <cell r="A1130" t="str">
            <v>F3104000429</v>
          </cell>
          <cell r="B1130" t="str">
            <v>风道注塑模</v>
          </cell>
          <cell r="C1130" t="str">
            <v>件</v>
          </cell>
          <cell r="D1130">
            <v>9281.23</v>
          </cell>
          <cell r="E1130">
            <v>1289.06</v>
          </cell>
        </row>
        <row r="1131">
          <cell r="A1131" t="str">
            <v>F3104000430</v>
          </cell>
          <cell r="B1131" t="str">
            <v>出风口本体注塑模</v>
          </cell>
          <cell r="C1131" t="str">
            <v>件</v>
          </cell>
          <cell r="D1131">
            <v>5303.59</v>
          </cell>
          <cell r="E1131">
            <v>736.61</v>
          </cell>
        </row>
        <row r="1132">
          <cell r="A1132" t="str">
            <v>F3104000431</v>
          </cell>
          <cell r="B1132" t="str">
            <v>出风口面板注塑模</v>
          </cell>
          <cell r="C1132" t="str">
            <v>件</v>
          </cell>
          <cell r="D1132">
            <v>5303.59</v>
          </cell>
          <cell r="E1132">
            <v>736.61</v>
          </cell>
        </row>
        <row r="1133">
          <cell r="A1133" t="str">
            <v>F3104000432</v>
          </cell>
          <cell r="B1133" t="str">
            <v>风口组件模具注塑模</v>
          </cell>
          <cell r="C1133" t="str">
            <v>件</v>
          </cell>
          <cell r="D1133">
            <v>11933.06</v>
          </cell>
          <cell r="E1133">
            <v>1657.37</v>
          </cell>
        </row>
        <row r="1134">
          <cell r="A1134" t="str">
            <v>F3104000433</v>
          </cell>
          <cell r="B1134" t="str">
            <v>左右导风片1注塑模</v>
          </cell>
          <cell r="C1134" t="str">
            <v>件</v>
          </cell>
          <cell r="D1134">
            <v>5303.59</v>
          </cell>
          <cell r="E1134">
            <v>736.61</v>
          </cell>
        </row>
        <row r="1135">
          <cell r="A1135" t="str">
            <v>F3104000393</v>
          </cell>
          <cell r="B1135" t="str">
            <v>左右前轮眉注塑模</v>
          </cell>
          <cell r="C1135" t="str">
            <v>件</v>
          </cell>
          <cell r="D1135">
            <v>21214.3</v>
          </cell>
          <cell r="E1135">
            <v>2946.43</v>
          </cell>
        </row>
        <row r="1136">
          <cell r="A1136" t="str">
            <v>F0102089004</v>
          </cell>
          <cell r="B1136" t="str">
            <v>前储物仓安装座</v>
          </cell>
          <cell r="C1136" t="str">
            <v>件</v>
          </cell>
          <cell r="D1136">
            <v>35.64</v>
          </cell>
          <cell r="E1136">
            <v>4.95</v>
          </cell>
        </row>
        <row r="1137">
          <cell r="A1137" t="str">
            <v>F0102089005</v>
          </cell>
          <cell r="B1137" t="str">
            <v>前储物仓</v>
          </cell>
          <cell r="C1137" t="str">
            <v>件</v>
          </cell>
          <cell r="D1137">
            <v>43.2</v>
          </cell>
          <cell r="E1137">
            <v>6</v>
          </cell>
        </row>
        <row r="1138">
          <cell r="A1138" t="str">
            <v>F0102089006</v>
          </cell>
          <cell r="B1138" t="str">
            <v>前储物仓盖</v>
          </cell>
          <cell r="C1138" t="str">
            <v>件</v>
          </cell>
          <cell r="D1138">
            <v>21.6</v>
          </cell>
          <cell r="E1138">
            <v>3</v>
          </cell>
        </row>
        <row r="1139">
          <cell r="A1139" t="str">
            <v>F0102089007</v>
          </cell>
          <cell r="B1139" t="str">
            <v>前储物仓盖铰链1</v>
          </cell>
          <cell r="C1139" t="str">
            <v>件</v>
          </cell>
          <cell r="D1139">
            <v>6.48</v>
          </cell>
          <cell r="E1139">
            <v>0.9</v>
          </cell>
        </row>
        <row r="1140">
          <cell r="A1140" t="str">
            <v>F0102089008</v>
          </cell>
          <cell r="B1140" t="str">
            <v>前储物仓盖铰链2</v>
          </cell>
          <cell r="C1140" t="str">
            <v>件</v>
          </cell>
          <cell r="D1140">
            <v>6.48</v>
          </cell>
          <cell r="E1140">
            <v>0.9</v>
          </cell>
        </row>
        <row r="1141">
          <cell r="A1141" t="str">
            <v>F0102089009</v>
          </cell>
          <cell r="B1141" t="str">
            <v>前储物仓盖铰链内衬 左</v>
          </cell>
          <cell r="C1141" t="str">
            <v>件</v>
          </cell>
          <cell r="D1141">
            <v>8.64</v>
          </cell>
          <cell r="E1141">
            <v>1.2</v>
          </cell>
        </row>
        <row r="1142">
          <cell r="A1142" t="str">
            <v>F0102089010</v>
          </cell>
          <cell r="B1142" t="str">
            <v>前储物仓盖铰链内衬 右</v>
          </cell>
          <cell r="C1142" t="str">
            <v>件</v>
          </cell>
          <cell r="D1142">
            <v>8.64</v>
          </cell>
          <cell r="E1142">
            <v>1.2</v>
          </cell>
        </row>
        <row r="1143">
          <cell r="A1143" t="str">
            <v>F0102089011</v>
          </cell>
          <cell r="B1143" t="str">
            <v>中网</v>
          </cell>
          <cell r="C1143" t="str">
            <v>件</v>
          </cell>
          <cell r="D1143">
            <v>30.24</v>
          </cell>
          <cell r="E1143">
            <v>4.2</v>
          </cell>
        </row>
        <row r="1144">
          <cell r="A1144" t="str">
            <v>F0102089013</v>
          </cell>
          <cell r="B1144" t="str">
            <v>前保装饰件1</v>
          </cell>
          <cell r="C1144" t="str">
            <v>件</v>
          </cell>
          <cell r="D1144">
            <v>64.8</v>
          </cell>
          <cell r="E1144">
            <v>9</v>
          </cell>
        </row>
        <row r="1145">
          <cell r="A1145" t="str">
            <v>F0102089014</v>
          </cell>
          <cell r="B1145" t="str">
            <v>前保装饰件2 左</v>
          </cell>
          <cell r="C1145" t="str">
            <v>件</v>
          </cell>
          <cell r="D1145">
            <v>9.94</v>
          </cell>
          <cell r="E1145">
            <v>1.38</v>
          </cell>
        </row>
        <row r="1146">
          <cell r="A1146" t="str">
            <v>F0102089015</v>
          </cell>
          <cell r="B1146" t="str">
            <v>前保装饰件2 右</v>
          </cell>
          <cell r="C1146" t="str">
            <v>件</v>
          </cell>
          <cell r="D1146">
            <v>9.94</v>
          </cell>
          <cell r="E1146">
            <v>1.38</v>
          </cell>
        </row>
        <row r="1147">
          <cell r="A1147" t="str">
            <v>F0102089016</v>
          </cell>
          <cell r="B1147" t="str">
            <v>右前轮眉 球车</v>
          </cell>
          <cell r="C1147" t="str">
            <v>件</v>
          </cell>
          <cell r="D1147">
            <v>30.24</v>
          </cell>
          <cell r="E1147">
            <v>4.2</v>
          </cell>
        </row>
        <row r="1148">
          <cell r="A1148" t="str">
            <v>F0102089017</v>
          </cell>
          <cell r="B1148" t="str">
            <v>左前轮眉 球车</v>
          </cell>
          <cell r="C1148" t="str">
            <v>件</v>
          </cell>
          <cell r="D1148">
            <v>30.24</v>
          </cell>
          <cell r="E1148">
            <v>4.2</v>
          </cell>
        </row>
        <row r="1149">
          <cell r="A1149" t="str">
            <v>F0102089018</v>
          </cell>
          <cell r="B1149" t="str">
            <v>球车轮眉扣帽 左</v>
          </cell>
          <cell r="C1149" t="str">
            <v>件</v>
          </cell>
          <cell r="D1149">
            <v>4.32</v>
          </cell>
          <cell r="E1149">
            <v>0.6</v>
          </cell>
        </row>
        <row r="1150">
          <cell r="A1150" t="str">
            <v>F0102089019</v>
          </cell>
          <cell r="B1150" t="str">
            <v>球车轮眉扣帽 右</v>
          </cell>
          <cell r="C1150" t="str">
            <v>件</v>
          </cell>
          <cell r="D1150">
            <v>4.32</v>
          </cell>
          <cell r="E1150">
            <v>0.6</v>
          </cell>
        </row>
        <row r="1151">
          <cell r="A1151" t="str">
            <v>F0102089020</v>
          </cell>
          <cell r="B1151" t="str">
            <v>右前轮眉 打猎车</v>
          </cell>
          <cell r="C1151" t="str">
            <v>件</v>
          </cell>
          <cell r="D1151">
            <v>30.24</v>
          </cell>
          <cell r="E1151">
            <v>4.2</v>
          </cell>
        </row>
        <row r="1152">
          <cell r="A1152" t="str">
            <v>F0102089021</v>
          </cell>
          <cell r="B1152" t="str">
            <v>左前轮眉 打猎车</v>
          </cell>
          <cell r="C1152" t="str">
            <v>件</v>
          </cell>
          <cell r="D1152">
            <v>32.4</v>
          </cell>
          <cell r="E1152">
            <v>4.5</v>
          </cell>
        </row>
        <row r="1153">
          <cell r="A1153" t="str">
            <v>F0102089022</v>
          </cell>
          <cell r="B1153" t="str">
            <v>打猎车轮眉扣帽 左</v>
          </cell>
          <cell r="C1153" t="str">
            <v>件</v>
          </cell>
          <cell r="D1153">
            <v>4.32</v>
          </cell>
          <cell r="E1153">
            <v>0.6</v>
          </cell>
        </row>
        <row r="1154">
          <cell r="A1154" t="str">
            <v>F0102089023</v>
          </cell>
          <cell r="B1154" t="str">
            <v>打猎车轮眉扣帽 右</v>
          </cell>
          <cell r="C1154" t="str">
            <v>件</v>
          </cell>
          <cell r="D1154">
            <v>4.32</v>
          </cell>
          <cell r="E1154">
            <v>0.6</v>
          </cell>
        </row>
        <row r="1155">
          <cell r="A1155" t="str">
            <v>F0102089026</v>
          </cell>
          <cell r="B1155" t="str">
            <v>仪表台</v>
          </cell>
          <cell r="C1155" t="str">
            <v>件</v>
          </cell>
          <cell r="D1155">
            <v>216</v>
          </cell>
          <cell r="E1155">
            <v>30</v>
          </cell>
        </row>
        <row r="1156">
          <cell r="A1156" t="str">
            <v>F0102089027</v>
          </cell>
          <cell r="B1156" t="str">
            <v>左储物盒盖</v>
          </cell>
          <cell r="C1156" t="str">
            <v>件</v>
          </cell>
          <cell r="D1156">
            <v>14.04</v>
          </cell>
          <cell r="E1156">
            <v>1.95</v>
          </cell>
        </row>
        <row r="1157">
          <cell r="A1157" t="str">
            <v>F0102089028</v>
          </cell>
          <cell r="B1157" t="str">
            <v>右储物盒盖</v>
          </cell>
          <cell r="C1157" t="str">
            <v>件</v>
          </cell>
          <cell r="D1157">
            <v>14.04</v>
          </cell>
          <cell r="E1157">
            <v>1.95</v>
          </cell>
        </row>
        <row r="1158">
          <cell r="A1158" t="str">
            <v>F0102089029</v>
          </cell>
          <cell r="B1158" t="str">
            <v>左储物盒</v>
          </cell>
          <cell r="C1158" t="str">
            <v>件</v>
          </cell>
          <cell r="D1158">
            <v>14.04</v>
          </cell>
          <cell r="E1158">
            <v>1.95</v>
          </cell>
        </row>
        <row r="1159">
          <cell r="A1159" t="str">
            <v>F0102089030</v>
          </cell>
          <cell r="B1159" t="str">
            <v>右储物盒</v>
          </cell>
          <cell r="C1159" t="str">
            <v>件</v>
          </cell>
          <cell r="D1159">
            <v>14.04</v>
          </cell>
          <cell r="E1159">
            <v>1.95</v>
          </cell>
        </row>
        <row r="1160">
          <cell r="A1160" t="str">
            <v>F0102089031</v>
          </cell>
          <cell r="B1160" t="str">
            <v>中储物盒</v>
          </cell>
          <cell r="C1160" t="str">
            <v>件</v>
          </cell>
          <cell r="D1160">
            <v>19.44</v>
          </cell>
          <cell r="E1160">
            <v>2.7</v>
          </cell>
        </row>
        <row r="1161">
          <cell r="A1161" t="str">
            <v>F0102089032</v>
          </cell>
          <cell r="B1161" t="str">
            <v>中控开关面板</v>
          </cell>
          <cell r="C1161" t="str">
            <v>件</v>
          </cell>
          <cell r="D1161">
            <v>28.08</v>
          </cell>
          <cell r="E1161">
            <v>3.9</v>
          </cell>
        </row>
        <row r="1162">
          <cell r="A1162" t="str">
            <v>F0102089033</v>
          </cell>
          <cell r="B1162" t="str">
            <v>左杯托</v>
          </cell>
          <cell r="C1162" t="str">
            <v>件</v>
          </cell>
          <cell r="D1162">
            <v>12.96</v>
          </cell>
          <cell r="E1162">
            <v>1.8</v>
          </cell>
        </row>
        <row r="1163">
          <cell r="A1163" t="str">
            <v>F0102089034</v>
          </cell>
          <cell r="B1163" t="str">
            <v>右杯托</v>
          </cell>
          <cell r="C1163" t="str">
            <v>件</v>
          </cell>
          <cell r="D1163">
            <v>10.8</v>
          </cell>
          <cell r="E1163">
            <v>1.5</v>
          </cell>
        </row>
        <row r="1164">
          <cell r="A1164" t="str">
            <v>F0102089035</v>
          </cell>
          <cell r="B1164" t="str">
            <v>转向管柱护套</v>
          </cell>
          <cell r="C1164" t="str">
            <v>件</v>
          </cell>
          <cell r="D1164">
            <v>23.76</v>
          </cell>
          <cell r="E1164">
            <v>3.3</v>
          </cell>
        </row>
        <row r="1165">
          <cell r="A1165" t="str">
            <v>F0102089036</v>
          </cell>
          <cell r="B1165" t="str">
            <v>液晶屏座</v>
          </cell>
          <cell r="C1165" t="str">
            <v>件</v>
          </cell>
          <cell r="D1165">
            <v>17.28</v>
          </cell>
          <cell r="E1165">
            <v>2.4</v>
          </cell>
        </row>
        <row r="1166">
          <cell r="A1166" t="str">
            <v>F0102089037</v>
          </cell>
          <cell r="B1166" t="str">
            <v>仪表台装饰条 左</v>
          </cell>
          <cell r="C1166" t="str">
            <v>件</v>
          </cell>
          <cell r="D1166">
            <v>19.44</v>
          </cell>
          <cell r="E1166">
            <v>2.7</v>
          </cell>
        </row>
        <row r="1167">
          <cell r="A1167" t="str">
            <v>F0102089038</v>
          </cell>
          <cell r="B1167" t="str">
            <v>仪表台装饰条 右</v>
          </cell>
          <cell r="C1167" t="str">
            <v>件</v>
          </cell>
          <cell r="D1167">
            <v>19.44</v>
          </cell>
          <cell r="E1167">
            <v>2.7</v>
          </cell>
        </row>
        <row r="1168">
          <cell r="A1168" t="str">
            <v>F0102089039</v>
          </cell>
          <cell r="B1168" t="str">
            <v>风口装饰条左 1</v>
          </cell>
          <cell r="C1168" t="str">
            <v>件</v>
          </cell>
          <cell r="D1168">
            <v>4.32</v>
          </cell>
          <cell r="E1168">
            <v>0.6</v>
          </cell>
        </row>
        <row r="1169">
          <cell r="A1169" t="str">
            <v>F0102089040</v>
          </cell>
          <cell r="B1169" t="str">
            <v>风口装饰条左 2</v>
          </cell>
          <cell r="C1169" t="str">
            <v>件</v>
          </cell>
          <cell r="D1169">
            <v>5.4</v>
          </cell>
          <cell r="E1169">
            <v>0.75</v>
          </cell>
        </row>
        <row r="1170">
          <cell r="A1170" t="str">
            <v>F0102089041</v>
          </cell>
          <cell r="B1170" t="str">
            <v>风口装饰条中</v>
          </cell>
          <cell r="C1170" t="str">
            <v>件</v>
          </cell>
          <cell r="D1170">
            <v>4.32</v>
          </cell>
          <cell r="E1170">
            <v>0.6</v>
          </cell>
        </row>
        <row r="1171">
          <cell r="A1171" t="str">
            <v>F0102089042</v>
          </cell>
          <cell r="B1171" t="str">
            <v>风口装饰条右</v>
          </cell>
          <cell r="C1171" t="str">
            <v>件</v>
          </cell>
          <cell r="D1171">
            <v>4.32</v>
          </cell>
          <cell r="E1171">
            <v>0.6</v>
          </cell>
        </row>
        <row r="1172">
          <cell r="A1172" t="str">
            <v>F0102089043</v>
          </cell>
          <cell r="B1172" t="str">
            <v>风道</v>
          </cell>
          <cell r="C1172" t="str">
            <v>件</v>
          </cell>
          <cell r="D1172">
            <v>28.08</v>
          </cell>
          <cell r="E1172">
            <v>3.9</v>
          </cell>
        </row>
        <row r="1173">
          <cell r="A1173" t="str">
            <v>F0102089044.1</v>
          </cell>
          <cell r="B1173" t="str">
            <v>出风口本体</v>
          </cell>
          <cell r="C1173" t="str">
            <v>件</v>
          </cell>
          <cell r="D1173">
            <v>17.28</v>
          </cell>
          <cell r="E1173">
            <v>2.4</v>
          </cell>
        </row>
        <row r="1174">
          <cell r="A1174" t="str">
            <v>F0102089044.2</v>
          </cell>
          <cell r="B1174" t="str">
            <v>出风口面板</v>
          </cell>
          <cell r="C1174" t="str">
            <v>件</v>
          </cell>
          <cell r="D1174">
            <v>15.12</v>
          </cell>
          <cell r="E1174">
            <v>2.1</v>
          </cell>
        </row>
        <row r="1175">
          <cell r="A1175" t="str">
            <v>F0102089044.3</v>
          </cell>
          <cell r="B1175" t="str">
            <v>导风片 上固定架 </v>
          </cell>
          <cell r="C1175" t="str">
            <v>件</v>
          </cell>
          <cell r="D1175">
            <v>4.32</v>
          </cell>
          <cell r="E1175">
            <v>0.6</v>
          </cell>
        </row>
        <row r="1176">
          <cell r="A1176" t="str">
            <v>F0102089044.4</v>
          </cell>
          <cell r="B1176" t="str">
            <v>导风片 下固定架 </v>
          </cell>
          <cell r="C1176" t="str">
            <v>件</v>
          </cell>
          <cell r="D1176">
            <v>4.32</v>
          </cell>
          <cell r="E1176">
            <v>0.6</v>
          </cell>
        </row>
        <row r="1177">
          <cell r="A1177" t="str">
            <v>F0102089044.5</v>
          </cell>
          <cell r="B1177" t="str">
            <v>左右导风片连杆</v>
          </cell>
          <cell r="C1177" t="str">
            <v>件</v>
          </cell>
          <cell r="D1177">
            <v>6.48</v>
          </cell>
          <cell r="E1177">
            <v>0.9</v>
          </cell>
        </row>
        <row r="1178">
          <cell r="A1178" t="str">
            <v>F0102089044.6</v>
          </cell>
          <cell r="B1178" t="str">
            <v>上下导风片</v>
          </cell>
          <cell r="C1178" t="str">
            <v>件</v>
          </cell>
          <cell r="D1178">
            <v>6.48</v>
          </cell>
          <cell r="E1178">
            <v>0.9</v>
          </cell>
        </row>
        <row r="1179">
          <cell r="A1179" t="str">
            <v>F0102089044.7</v>
          </cell>
          <cell r="B1179" t="str">
            <v>风口调节手柄 </v>
          </cell>
          <cell r="C1179" t="str">
            <v>件</v>
          </cell>
          <cell r="D1179">
            <v>5.4</v>
          </cell>
          <cell r="E1179">
            <v>0.75</v>
          </cell>
        </row>
        <row r="1180">
          <cell r="A1180" t="str">
            <v>F0102089044.8</v>
          </cell>
          <cell r="B1180" t="str">
            <v>风口调节手柄拨片</v>
          </cell>
          <cell r="C1180" t="str">
            <v>件</v>
          </cell>
          <cell r="D1180">
            <v>5.4</v>
          </cell>
          <cell r="E1180">
            <v>0.75</v>
          </cell>
        </row>
        <row r="1181">
          <cell r="A1181" t="str">
            <v>F0102089044.10</v>
          </cell>
          <cell r="B1181" t="str">
            <v>左右导风片2</v>
          </cell>
          <cell r="C1181" t="str">
            <v>件</v>
          </cell>
          <cell r="D1181">
            <v>8.64</v>
          </cell>
          <cell r="E1181">
            <v>1.2</v>
          </cell>
        </row>
        <row r="1182">
          <cell r="A1182" t="str">
            <v>F0102089044.9</v>
          </cell>
          <cell r="B1182" t="str">
            <v>左右导风片1</v>
          </cell>
          <cell r="C1182" t="str">
            <v>件</v>
          </cell>
          <cell r="D1182">
            <v>6.48</v>
          </cell>
          <cell r="E1182">
            <v>0.9</v>
          </cell>
        </row>
        <row r="1183">
          <cell r="A1183" t="str">
            <v>F0102090003</v>
          </cell>
          <cell r="B1183" t="str">
            <v>左前轮眉 </v>
          </cell>
          <cell r="C1183" t="str">
            <v>件</v>
          </cell>
          <cell r="D1183">
            <v>32.4</v>
          </cell>
          <cell r="E1183">
            <v>4.5</v>
          </cell>
        </row>
        <row r="1184">
          <cell r="A1184" t="str">
            <v>F0102090004</v>
          </cell>
          <cell r="B1184" t="str">
            <v>右前轮眉 </v>
          </cell>
          <cell r="C1184" t="str">
            <v>件</v>
          </cell>
          <cell r="D1184">
            <v>33.91</v>
          </cell>
          <cell r="E1184">
            <v>4.71</v>
          </cell>
        </row>
        <row r="1185">
          <cell r="A1185" t="str">
            <v>F0103014350</v>
          </cell>
          <cell r="B1185" t="str">
            <v>豪华靠背</v>
          </cell>
          <cell r="C1185" t="str">
            <v>件</v>
          </cell>
          <cell r="D1185">
            <v>589.19</v>
          </cell>
          <cell r="E1185">
            <v>81.83</v>
          </cell>
        </row>
        <row r="1186">
          <cell r="A1186" t="str">
            <v>F0103014351</v>
          </cell>
          <cell r="B1186" t="str">
            <v>豪华靠背</v>
          </cell>
          <cell r="C1186" t="str">
            <v>件</v>
          </cell>
          <cell r="D1186">
            <v>496.04</v>
          </cell>
          <cell r="E1186">
            <v>68.89</v>
          </cell>
        </row>
        <row r="1187">
          <cell r="A1187" t="str">
            <v>F0103014352</v>
          </cell>
          <cell r="B1187" t="str">
            <v>豪华坐垫</v>
          </cell>
          <cell r="C1187" t="str">
            <v>件</v>
          </cell>
          <cell r="D1187">
            <v>295.76</v>
          </cell>
          <cell r="E1187">
            <v>41.08</v>
          </cell>
        </row>
        <row r="1188">
          <cell r="A1188" t="str">
            <v>F0103014353</v>
          </cell>
          <cell r="B1188" t="str">
            <v>豪华中桶坐垫</v>
          </cell>
          <cell r="C1188" t="str">
            <v>件</v>
          </cell>
          <cell r="D1188">
            <v>295.76</v>
          </cell>
          <cell r="E1188">
            <v>41.08</v>
          </cell>
        </row>
        <row r="1189">
          <cell r="A1189" t="str">
            <v>F0103014354</v>
          </cell>
          <cell r="B1189" t="str">
            <v>豪华翻转坐垫</v>
          </cell>
          <cell r="C1189" t="str">
            <v>件</v>
          </cell>
          <cell r="D1189">
            <v>251.51</v>
          </cell>
          <cell r="E1189">
            <v>34.93</v>
          </cell>
        </row>
        <row r="1190">
          <cell r="A1190" t="str">
            <v>F0103014348</v>
          </cell>
          <cell r="B1190" t="str">
            <v>中桶座垫</v>
          </cell>
          <cell r="C1190" t="str">
            <v>件</v>
          </cell>
          <cell r="D1190">
            <v>295.76</v>
          </cell>
          <cell r="E1190">
            <v>41.08</v>
          </cell>
        </row>
        <row r="1191">
          <cell r="A1191" t="str">
            <v>F0103014347</v>
          </cell>
          <cell r="B1191" t="str">
            <v>座椅靠背</v>
          </cell>
          <cell r="C1191" t="str">
            <v>件</v>
          </cell>
          <cell r="D1191">
            <v>589.19</v>
          </cell>
          <cell r="E1191">
            <v>81.83</v>
          </cell>
        </row>
        <row r="1192">
          <cell r="A1192" t="str">
            <v>F0103014349</v>
          </cell>
          <cell r="B1192" t="str">
            <v>后座垫</v>
          </cell>
          <cell r="C1192" t="str">
            <v>只</v>
          </cell>
          <cell r="D1192">
            <v>295.76</v>
          </cell>
          <cell r="E1192">
            <v>41.08</v>
          </cell>
        </row>
        <row r="1193">
          <cell r="A1193" t="str">
            <v>F0304001563</v>
          </cell>
          <cell r="B1193" t="str">
            <v>V2-4S款  4座球车锂电线束</v>
          </cell>
          <cell r="C1193" t="str">
            <v>件</v>
          </cell>
          <cell r="D1193">
            <v>4094.08</v>
          </cell>
          <cell r="E1193">
            <v>568.62</v>
          </cell>
        </row>
        <row r="1194">
          <cell r="A1194" t="str">
            <v>F0304001566</v>
          </cell>
          <cell r="B1194" t="str">
            <v>WH204EASZ  4座球车锂电线束</v>
          </cell>
          <cell r="C1194" t="str">
            <v>件</v>
          </cell>
          <cell r="D1194">
            <v>4119.7</v>
          </cell>
          <cell r="E1194">
            <v>572.18</v>
          </cell>
        </row>
        <row r="1195">
          <cell r="A1195" t="str">
            <v>F0304001567</v>
          </cell>
          <cell r="B1195" t="str">
            <v>V2-4J款  4座球车锂电线束</v>
          </cell>
          <cell r="C1195" t="str">
            <v>件</v>
          </cell>
          <cell r="D1195">
            <v>4085.93</v>
          </cell>
          <cell r="E1195">
            <v>567.49</v>
          </cell>
        </row>
        <row r="1196">
          <cell r="A1196" t="str">
            <v>Y021604835</v>
          </cell>
          <cell r="B1196" t="str">
            <v>保护镜片</v>
          </cell>
          <cell r="C1196" t="str">
            <v>30*5mm OSPRl原装</v>
          </cell>
          <cell r="D1196">
            <v>14</v>
          </cell>
          <cell r="E1196">
            <v>1.94</v>
          </cell>
        </row>
        <row r="1197">
          <cell r="A1197" t="str">
            <v>Y021604836</v>
          </cell>
          <cell r="B1197" t="str">
            <v>J16三维单层M8(OSPRI)</v>
          </cell>
          <cell r="C1197" t="str">
            <v>FSN07-A-20</v>
          </cell>
          <cell r="D1197">
            <v>40</v>
          </cell>
          <cell r="E1197">
            <v>5.56</v>
          </cell>
        </row>
        <row r="1198">
          <cell r="A1198" t="str">
            <v>Y021604837</v>
          </cell>
          <cell r="B1198" t="str">
            <v>陶瓷环</v>
          </cell>
          <cell r="C1198" t="str">
            <v>FC-40 21.4*18*13 0spri</v>
          </cell>
          <cell r="D1198">
            <v>14</v>
          </cell>
          <cell r="E1198">
            <v>1.94</v>
          </cell>
        </row>
        <row r="1199">
          <cell r="A1199" t="str">
            <v>Y0301011076</v>
          </cell>
          <cell r="B1199" t="str">
            <v> 内六角螺丝（5*25）</v>
          </cell>
          <cell r="C1199" t="str">
            <v>件</v>
          </cell>
          <cell r="D1199">
            <v>0.14</v>
          </cell>
          <cell r="E1199">
            <v>0.02</v>
          </cell>
        </row>
        <row r="1200">
          <cell r="A1200" t="str">
            <v>Y0410024021464</v>
          </cell>
          <cell r="B1200" t="str">
            <v>制动踏板前支架</v>
          </cell>
          <cell r="C1200" t="str">
            <v>件</v>
          </cell>
          <cell r="D1200">
            <v>4.58407079646018</v>
          </cell>
          <cell r="E1200">
            <v>0.64</v>
          </cell>
        </row>
        <row r="1201">
          <cell r="A1201" t="str">
            <v>Y0410024021465</v>
          </cell>
          <cell r="B1201" t="str">
            <v>制动踏板后支架</v>
          </cell>
          <cell r="C1201" t="str">
            <v>件</v>
          </cell>
          <cell r="D1201">
            <v>5.21238938053097</v>
          </cell>
          <cell r="E1201">
            <v>0.72</v>
          </cell>
        </row>
        <row r="1202">
          <cell r="A1202" t="str">
            <v>Y0410024021469</v>
          </cell>
          <cell r="B1202" t="str">
            <v>制动踏板右纵梁连接板</v>
          </cell>
          <cell r="C1202" t="str">
            <v>件</v>
          </cell>
          <cell r="D1202">
            <v>2.15929203539823</v>
          </cell>
          <cell r="E1202">
            <v>0.3</v>
          </cell>
        </row>
        <row r="1203">
          <cell r="A1203" t="str">
            <v>Y0410024021470</v>
          </cell>
          <cell r="B1203" t="str">
            <v>制动总泵支架横梁</v>
          </cell>
          <cell r="C1203" t="str">
            <v>件</v>
          </cell>
          <cell r="D1203">
            <v>3.97345132743363</v>
          </cell>
          <cell r="E1203">
            <v>0.55</v>
          </cell>
        </row>
        <row r="1204">
          <cell r="A1204" t="str">
            <v>Y0410024021471</v>
          </cell>
          <cell r="B1204" t="str">
            <v>侧边梁前连接板</v>
          </cell>
          <cell r="C1204" t="str">
            <v>件</v>
          </cell>
          <cell r="D1204">
            <v>1.4070796460177</v>
          </cell>
          <cell r="E1204">
            <v>0.2</v>
          </cell>
        </row>
        <row r="1205">
          <cell r="A1205" t="str">
            <v>Y0410024021484</v>
          </cell>
          <cell r="B1205" t="str">
            <v>座椅前横梁</v>
          </cell>
          <cell r="C1205" t="str">
            <v>件</v>
          </cell>
          <cell r="D1205">
            <v>14.2654867256637</v>
          </cell>
          <cell r="E1205">
            <v>1.98</v>
          </cell>
        </row>
        <row r="1206">
          <cell r="A1206" t="str">
            <v>Y0410024021485</v>
          </cell>
          <cell r="B1206" t="str">
            <v>座椅后横梁</v>
          </cell>
          <cell r="C1206" t="str">
            <v>件</v>
          </cell>
          <cell r="D1206">
            <v>16.9646017699115</v>
          </cell>
          <cell r="E1206">
            <v>2.36</v>
          </cell>
        </row>
        <row r="1207">
          <cell r="A1207" t="str">
            <v>Y0410024021486</v>
          </cell>
          <cell r="B1207" t="str">
            <v>座椅支架</v>
          </cell>
          <cell r="C1207" t="str">
            <v>件</v>
          </cell>
          <cell r="D1207">
            <v>4.51327433628319</v>
          </cell>
          <cell r="E1207">
            <v>0.63</v>
          </cell>
        </row>
        <row r="1208">
          <cell r="A1208" t="str">
            <v>Y0410024021487</v>
          </cell>
          <cell r="B1208" t="str">
            <v>座椅边梁</v>
          </cell>
          <cell r="C1208" t="str">
            <v>件</v>
          </cell>
          <cell r="D1208">
            <v>7.16814159292035</v>
          </cell>
          <cell r="E1208">
            <v>1</v>
          </cell>
        </row>
        <row r="1209">
          <cell r="A1209" t="str">
            <v>Y0410024021488</v>
          </cell>
          <cell r="B1209" t="str">
            <v>轮罩前支架</v>
          </cell>
          <cell r="C1209" t="str">
            <v>件</v>
          </cell>
          <cell r="D1209">
            <v>1.07964601769912</v>
          </cell>
          <cell r="E1209">
            <v>0.15</v>
          </cell>
        </row>
        <row r="1210">
          <cell r="A1210" t="str">
            <v>Y0410024021492</v>
          </cell>
          <cell r="B1210" t="str">
            <v>后立柱安装支架</v>
          </cell>
          <cell r="C1210" t="str">
            <v>件</v>
          </cell>
          <cell r="D1210">
            <v>8.82300884955752</v>
          </cell>
          <cell r="E1210">
            <v>1.23</v>
          </cell>
        </row>
        <row r="1211">
          <cell r="A1211" t="str">
            <v>Y0410024021498</v>
          </cell>
          <cell r="B1211" t="str">
            <v>安全带安装支架</v>
          </cell>
          <cell r="C1211" t="str">
            <v>件</v>
          </cell>
          <cell r="D1211">
            <v>3.5575221238938</v>
          </cell>
          <cell r="E1211">
            <v>0.49</v>
          </cell>
        </row>
        <row r="1212">
          <cell r="A1212" t="str">
            <v>Y0410024021505</v>
          </cell>
          <cell r="B1212" t="str">
            <v>后保险杠安装梁</v>
          </cell>
          <cell r="C1212" t="str">
            <v>件</v>
          </cell>
          <cell r="D1212">
            <v>15.5752212389381</v>
          </cell>
          <cell r="E1212">
            <v>2.16</v>
          </cell>
        </row>
        <row r="1213">
          <cell r="A1213" t="str">
            <v>Y0410024021506</v>
          </cell>
          <cell r="B1213" t="str">
            <v>后保安装支架</v>
          </cell>
          <cell r="C1213" t="str">
            <v>件</v>
          </cell>
          <cell r="D1213">
            <v>1.65486725663717</v>
          </cell>
          <cell r="E1213">
            <v>0.23</v>
          </cell>
        </row>
        <row r="1214">
          <cell r="A1214" t="str">
            <v>Y0410024021517</v>
          </cell>
          <cell r="B1214" t="str">
            <v>前保支架</v>
          </cell>
          <cell r="C1214" t="str">
            <v>件</v>
          </cell>
          <cell r="D1214">
            <v>1.65486725663717</v>
          </cell>
          <cell r="E1214">
            <v>0.23</v>
          </cell>
        </row>
        <row r="1215">
          <cell r="A1215" t="str">
            <v>Y0410024021511</v>
          </cell>
          <cell r="B1215" t="str">
            <v>仪表台上横梁板（S款）</v>
          </cell>
          <cell r="C1215" t="str">
            <v>件</v>
          </cell>
          <cell r="D1215">
            <v>24.2389380530973</v>
          </cell>
          <cell r="E1215">
            <v>3.37</v>
          </cell>
        </row>
        <row r="1216">
          <cell r="A1216" t="str">
            <v>Y0410024021514</v>
          </cell>
          <cell r="B1216" t="str">
            <v>转向管柱支架连接板</v>
          </cell>
          <cell r="C1216" t="str">
            <v>件</v>
          </cell>
          <cell r="D1216">
            <v>0.743362831858407</v>
          </cell>
          <cell r="E1216">
            <v>0.1</v>
          </cell>
        </row>
        <row r="1217">
          <cell r="A1217" t="str">
            <v>Y0410024021557</v>
          </cell>
          <cell r="B1217" t="str">
            <v>加强板</v>
          </cell>
          <cell r="C1217" t="str">
            <v>件</v>
          </cell>
          <cell r="D1217">
            <v>0.557522123893805</v>
          </cell>
          <cell r="E1217">
            <v>0.08</v>
          </cell>
        </row>
        <row r="1218">
          <cell r="A1218" t="str">
            <v>Y0410024021521</v>
          </cell>
          <cell r="B1218" t="str">
            <v>暖风机支架一</v>
          </cell>
          <cell r="C1218" t="str">
            <v>件</v>
          </cell>
          <cell r="D1218">
            <v>1.55752212389381</v>
          </cell>
          <cell r="E1218">
            <v>0.22</v>
          </cell>
        </row>
        <row r="1219">
          <cell r="A1219" t="str">
            <v>Y0410024021463</v>
          </cell>
          <cell r="B1219" t="str">
            <v>后拖曳臂下支架</v>
          </cell>
          <cell r="C1219" t="str">
            <v>件</v>
          </cell>
          <cell r="D1219">
            <v>5.36283185840708</v>
          </cell>
          <cell r="E1219">
            <v>0.74</v>
          </cell>
        </row>
        <row r="1220">
          <cell r="A1220" t="str">
            <v>Y0410024021466</v>
          </cell>
          <cell r="B1220" t="str">
            <v>制动踏板后支架加强梁</v>
          </cell>
          <cell r="C1220" t="str">
            <v>件</v>
          </cell>
          <cell r="D1220">
            <v>3.74336283185841</v>
          </cell>
          <cell r="E1220">
            <v>0.52</v>
          </cell>
        </row>
        <row r="1221">
          <cell r="A1221" t="str">
            <v>Y0410024021467</v>
          </cell>
          <cell r="B1221" t="str">
            <v>制动踏板右纵梁</v>
          </cell>
          <cell r="C1221" t="str">
            <v>件</v>
          </cell>
          <cell r="D1221">
            <v>8.11504424778761</v>
          </cell>
          <cell r="E1221">
            <v>1.13</v>
          </cell>
        </row>
        <row r="1222">
          <cell r="A1222" t="str">
            <v>Y0410024021468</v>
          </cell>
          <cell r="B1222" t="str">
            <v>制动踏板右横梁</v>
          </cell>
          <cell r="C1222" t="str">
            <v>件</v>
          </cell>
          <cell r="D1222">
            <v>3.69911504424779</v>
          </cell>
          <cell r="E1222">
            <v>0.51</v>
          </cell>
        </row>
        <row r="1223">
          <cell r="A1223" t="str">
            <v>Y0410024021472</v>
          </cell>
          <cell r="B1223" t="str">
            <v>侧边梁前横梁</v>
          </cell>
          <cell r="C1223" t="str">
            <v>件</v>
          </cell>
          <cell r="D1223">
            <v>2.50442477876106</v>
          </cell>
          <cell r="E1223">
            <v>0.35</v>
          </cell>
        </row>
        <row r="1224">
          <cell r="A1224" t="str">
            <v>Y0410024021473</v>
          </cell>
          <cell r="B1224" t="str">
            <v>侧边梁中横梁</v>
          </cell>
          <cell r="C1224" t="str">
            <v>件</v>
          </cell>
          <cell r="D1224">
            <v>4.08849557522124</v>
          </cell>
          <cell r="E1224">
            <v>0.57</v>
          </cell>
        </row>
        <row r="1225">
          <cell r="A1225" t="str">
            <v>Y0410024021475</v>
          </cell>
          <cell r="B1225" t="str">
            <v>侧边梁五横梁</v>
          </cell>
          <cell r="C1225" t="str">
            <v>件</v>
          </cell>
          <cell r="D1225">
            <v>3.96460176991151</v>
          </cell>
          <cell r="E1225">
            <v>0.55</v>
          </cell>
        </row>
        <row r="1226">
          <cell r="A1226" t="str">
            <v>Y0410024021476</v>
          </cell>
          <cell r="B1226" t="str">
            <v>侧边梁（4座车）</v>
          </cell>
          <cell r="C1226" t="str">
            <v>件</v>
          </cell>
          <cell r="D1226">
            <v>15.6637168141593</v>
          </cell>
          <cell r="E1226">
            <v>2.18</v>
          </cell>
        </row>
        <row r="1227">
          <cell r="A1227" t="str">
            <v>Y0410024021479</v>
          </cell>
          <cell r="B1227" t="str">
            <v>座椅桶下横梁一</v>
          </cell>
          <cell r="C1227" t="str">
            <v>件</v>
          </cell>
          <cell r="D1227">
            <v>10.8938053097345</v>
          </cell>
          <cell r="E1227">
            <v>1.51</v>
          </cell>
        </row>
        <row r="1228">
          <cell r="A1228" t="str">
            <v>Y0410024021480</v>
          </cell>
          <cell r="B1228" t="str">
            <v>座椅桶下横梁二</v>
          </cell>
          <cell r="C1228" t="str">
            <v>件</v>
          </cell>
          <cell r="D1228">
            <v>11.7433628318584</v>
          </cell>
          <cell r="E1228">
            <v>1.63</v>
          </cell>
        </row>
        <row r="1229">
          <cell r="A1229" t="str">
            <v>Y0410024021481</v>
          </cell>
          <cell r="B1229" t="str">
            <v>后座椅前部横梁</v>
          </cell>
          <cell r="C1229" t="str">
            <v>件</v>
          </cell>
          <cell r="D1229">
            <v>10.283185840708</v>
          </cell>
          <cell r="E1229">
            <v>1.43</v>
          </cell>
        </row>
        <row r="1230">
          <cell r="A1230" t="str">
            <v>Y0410024021482</v>
          </cell>
          <cell r="B1230" t="str">
            <v>电控上支架</v>
          </cell>
          <cell r="C1230" t="str">
            <v>件</v>
          </cell>
          <cell r="D1230">
            <v>9.83185840707965</v>
          </cell>
          <cell r="E1230">
            <v>1.37</v>
          </cell>
        </row>
        <row r="1231">
          <cell r="A1231" t="str">
            <v>Y0410024021483</v>
          </cell>
          <cell r="B1231" t="str">
            <v>电控下支架</v>
          </cell>
          <cell r="C1231" t="str">
            <v>件</v>
          </cell>
          <cell r="D1231">
            <v>7.49557522123894</v>
          </cell>
          <cell r="E1231">
            <v>1.04</v>
          </cell>
        </row>
        <row r="1232">
          <cell r="A1232" t="str">
            <v>Y0410024021489</v>
          </cell>
          <cell r="B1232" t="str">
            <v>轮罩后支架</v>
          </cell>
          <cell r="C1232" t="str">
            <v>件</v>
          </cell>
          <cell r="D1232">
            <v>0.902654867256637</v>
          </cell>
          <cell r="E1232">
            <v>0.13</v>
          </cell>
        </row>
        <row r="1233">
          <cell r="A1233" t="str">
            <v>Y0410024021490</v>
          </cell>
          <cell r="B1233" t="str">
            <v>后减振器上支架</v>
          </cell>
          <cell r="C1233" t="str">
            <v>件</v>
          </cell>
          <cell r="D1233">
            <v>2.38938053097345</v>
          </cell>
          <cell r="E1233">
            <v>0.33</v>
          </cell>
        </row>
        <row r="1234">
          <cell r="A1234" t="str">
            <v>Y0410024021493</v>
          </cell>
          <cell r="B1234" t="str">
            <v>后立柱安装底座</v>
          </cell>
          <cell r="C1234" t="str">
            <v>件</v>
          </cell>
          <cell r="D1234">
            <v>4.93805309734513</v>
          </cell>
          <cell r="E1234">
            <v>0.69</v>
          </cell>
        </row>
        <row r="1235">
          <cell r="A1235" t="str">
            <v>Y0410024021494</v>
          </cell>
          <cell r="B1235" t="str">
            <v>后立柱连接梁</v>
          </cell>
          <cell r="C1235" t="str">
            <v>件</v>
          </cell>
          <cell r="D1235">
            <v>2.76106194690266</v>
          </cell>
          <cell r="E1235">
            <v>0.38</v>
          </cell>
        </row>
        <row r="1236">
          <cell r="A1236" t="str">
            <v>Y0410024021495</v>
          </cell>
          <cell r="B1236" t="str">
            <v>后储物箱安装支架</v>
          </cell>
          <cell r="C1236" t="str">
            <v>件</v>
          </cell>
          <cell r="D1236">
            <v>1.63716814159292</v>
          </cell>
          <cell r="E1236">
            <v>0.23</v>
          </cell>
        </row>
        <row r="1237">
          <cell r="A1237" t="str">
            <v>Y0410024021497</v>
          </cell>
          <cell r="B1237" t="str">
            <v>后罩安装横梁</v>
          </cell>
          <cell r="C1237" t="str">
            <v>件</v>
          </cell>
          <cell r="D1237">
            <v>9.76991150442478</v>
          </cell>
          <cell r="E1237">
            <v>1.36</v>
          </cell>
        </row>
        <row r="1238">
          <cell r="A1238" t="str">
            <v>Y0410024021500</v>
          </cell>
          <cell r="B1238" t="str">
            <v>安全带连接支架</v>
          </cell>
          <cell r="C1238" t="str">
            <v>件</v>
          </cell>
          <cell r="D1238">
            <v>1.52212389380531</v>
          </cell>
          <cell r="E1238">
            <v>0.21</v>
          </cell>
        </row>
        <row r="1239">
          <cell r="A1239" t="str">
            <v>Y0410024021501</v>
          </cell>
          <cell r="B1239" t="str">
            <v>后稳定杆支架焊接总成（球车）</v>
          </cell>
          <cell r="C1239" t="str">
            <v>件</v>
          </cell>
          <cell r="D1239">
            <v>19.2212389380531</v>
          </cell>
          <cell r="E1239">
            <v>2.67</v>
          </cell>
        </row>
        <row r="1240">
          <cell r="A1240" t="str">
            <v>Y0410024021507</v>
          </cell>
          <cell r="B1240" t="str">
            <v>包装连接支架安装板</v>
          </cell>
          <cell r="C1240" t="str">
            <v>件</v>
          </cell>
          <cell r="D1240">
            <v>3.06194690265487</v>
          </cell>
          <cell r="E1240">
            <v>0.43</v>
          </cell>
        </row>
        <row r="1241">
          <cell r="A1241" t="str">
            <v>Y0410024021508</v>
          </cell>
          <cell r="B1241" t="str">
            <v>保险盒支架</v>
          </cell>
          <cell r="C1241" t="str">
            <v>件</v>
          </cell>
          <cell r="D1241">
            <v>2.8141592920354</v>
          </cell>
          <cell r="E1241">
            <v>0.39</v>
          </cell>
        </row>
        <row r="1242">
          <cell r="A1242" t="str">
            <v>Y0410024021509</v>
          </cell>
          <cell r="B1242" t="str">
            <v>摄像头支架</v>
          </cell>
          <cell r="C1242" t="str">
            <v>件</v>
          </cell>
          <cell r="D1242">
            <v>2.73451327433628</v>
          </cell>
          <cell r="E1242">
            <v>0.38</v>
          </cell>
        </row>
        <row r="1243">
          <cell r="A1243" t="str">
            <v>Y0410024021502</v>
          </cell>
          <cell r="B1243" t="str">
            <v>后稳定杆支架焊接总成（打猎车）</v>
          </cell>
          <cell r="C1243" t="str">
            <v>件</v>
          </cell>
          <cell r="D1243">
            <v>19.2212389380531</v>
          </cell>
          <cell r="E1243">
            <v>2.67</v>
          </cell>
        </row>
        <row r="1244">
          <cell r="A1244" t="str">
            <v>Y0410024021510</v>
          </cell>
          <cell r="B1244" t="str">
            <v>侧踏板安装支架总成</v>
          </cell>
          <cell r="C1244" t="str">
            <v>件</v>
          </cell>
          <cell r="D1244">
            <v>8.72566371681416</v>
          </cell>
          <cell r="E1244">
            <v>1.21</v>
          </cell>
        </row>
        <row r="1245">
          <cell r="A1245" t="str">
            <v>Y0410024021516</v>
          </cell>
          <cell r="B1245" t="str">
            <v>暖风机支架</v>
          </cell>
          <cell r="C1245" t="str">
            <v>件</v>
          </cell>
          <cell r="D1245">
            <v>1.55752212389381</v>
          </cell>
          <cell r="E1245">
            <v>0.22</v>
          </cell>
        </row>
        <row r="1246">
          <cell r="A1246" t="str">
            <v>Y0410024021512</v>
          </cell>
          <cell r="B1246" t="str">
            <v>转向管柱支架左（S款）</v>
          </cell>
          <cell r="C1246" t="str">
            <v>件</v>
          </cell>
          <cell r="D1246">
            <v>6.19469026548673</v>
          </cell>
          <cell r="E1246">
            <v>0.86</v>
          </cell>
        </row>
        <row r="1247">
          <cell r="A1247" t="str">
            <v>Y0410024021513</v>
          </cell>
          <cell r="B1247" t="str">
            <v>转向管柱支架右（S款）</v>
          </cell>
          <cell r="C1247" t="str">
            <v>件</v>
          </cell>
          <cell r="D1247">
            <v>7.66371681415929</v>
          </cell>
          <cell r="E1247">
            <v>1.06</v>
          </cell>
        </row>
        <row r="1248">
          <cell r="A1248" t="str">
            <v>Y0410024021515</v>
          </cell>
          <cell r="B1248" t="str">
            <v>气弹簧支架梁焊接总成</v>
          </cell>
          <cell r="C1248" t="str">
            <v>件</v>
          </cell>
          <cell r="D1248">
            <v>4.24778761061947</v>
          </cell>
          <cell r="E1248">
            <v>0.59</v>
          </cell>
        </row>
        <row r="1249">
          <cell r="A1249" t="str">
            <v>Y0410024021523</v>
          </cell>
          <cell r="B1249" t="str">
            <v>氛围灯安装板</v>
          </cell>
          <cell r="C1249" t="str">
            <v>件</v>
          </cell>
          <cell r="D1249">
            <v>9.83185840707965</v>
          </cell>
          <cell r="E1249">
            <v>1.37</v>
          </cell>
        </row>
        <row r="1250">
          <cell r="A1250" t="str">
            <v>Y0410024021522</v>
          </cell>
          <cell r="B1250" t="str">
            <v>暖风机支架二</v>
          </cell>
          <cell r="C1250" t="str">
            <v>件</v>
          </cell>
          <cell r="D1250">
            <v>1.42477876106195</v>
          </cell>
          <cell r="E1250">
            <v>0.2</v>
          </cell>
        </row>
        <row r="1251">
          <cell r="A1251" t="str">
            <v>Y0410024021491</v>
          </cell>
          <cell r="B1251" t="str">
            <v>后减振器套管</v>
          </cell>
          <cell r="C1251" t="str">
            <v>件</v>
          </cell>
          <cell r="D1251">
            <v>2.30088495575221</v>
          </cell>
          <cell r="E1251">
            <v>0.32</v>
          </cell>
        </row>
        <row r="1252">
          <cell r="A1252" t="str">
            <v>Y0410024021499</v>
          </cell>
          <cell r="B1252" t="str">
            <v>安全带安装套管</v>
          </cell>
          <cell r="C1252" t="str">
            <v>件</v>
          </cell>
          <cell r="D1252">
            <v>1.00884955752212</v>
          </cell>
          <cell r="E1252">
            <v>0.14</v>
          </cell>
        </row>
        <row r="1253">
          <cell r="A1253" t="str">
            <v>Y0410024021474</v>
          </cell>
          <cell r="B1253" t="str">
            <v>侧边梁四横梁</v>
          </cell>
          <cell r="C1253" t="str">
            <v>件</v>
          </cell>
          <cell r="D1253">
            <v>3.58407079646018</v>
          </cell>
          <cell r="E1253">
            <v>0.5</v>
          </cell>
        </row>
        <row r="1254">
          <cell r="A1254" t="str">
            <v>Y0410024021477</v>
          </cell>
          <cell r="B1254" t="str">
            <v>大梁（4座打猎车）</v>
          </cell>
          <cell r="C1254" t="str">
            <v>件</v>
          </cell>
          <cell r="D1254">
            <v>39.5575221238938</v>
          </cell>
          <cell r="E1254">
            <v>5.49</v>
          </cell>
        </row>
        <row r="1255">
          <cell r="A1255" t="str">
            <v>Y0410024021478</v>
          </cell>
          <cell r="B1255" t="str">
            <v>前端横梁（球车）</v>
          </cell>
          <cell r="C1255" t="str">
            <v>件</v>
          </cell>
          <cell r="D1255">
            <v>18.5929203539823</v>
          </cell>
          <cell r="E1255">
            <v>2.58</v>
          </cell>
        </row>
        <row r="1256">
          <cell r="A1256" t="str">
            <v>Y0410024021496</v>
          </cell>
          <cell r="B1256" t="str">
            <v>后座椅安装横梁</v>
          </cell>
          <cell r="C1256" t="str">
            <v>件</v>
          </cell>
          <cell r="D1256">
            <v>6.66371681415929</v>
          </cell>
          <cell r="E1256">
            <v>0.93</v>
          </cell>
        </row>
        <row r="1257">
          <cell r="A1257" t="str">
            <v>Y0410024021503</v>
          </cell>
          <cell r="B1257" t="str">
            <v>后轮罩安装梁</v>
          </cell>
          <cell r="C1257" t="str">
            <v>件</v>
          </cell>
          <cell r="D1257">
            <v>12.7433628318584</v>
          </cell>
          <cell r="E1257">
            <v>1.77</v>
          </cell>
        </row>
        <row r="1258">
          <cell r="A1258" t="str">
            <v>Y0410024021504</v>
          </cell>
          <cell r="B1258" t="str">
            <v>尾部加强竖梁</v>
          </cell>
          <cell r="C1258" t="str">
            <v>件</v>
          </cell>
          <cell r="D1258">
            <v>3.61946902654867</v>
          </cell>
          <cell r="E1258">
            <v>0.5</v>
          </cell>
        </row>
        <row r="1259">
          <cell r="A1259" t="str">
            <v>Y0410024021518</v>
          </cell>
          <cell r="B1259" t="str">
            <v>暖风机支架梁</v>
          </cell>
          <cell r="C1259" t="str">
            <v>件</v>
          </cell>
          <cell r="D1259">
            <v>3.71681415929204</v>
          </cell>
          <cell r="E1259">
            <v>0.52</v>
          </cell>
        </row>
        <row r="1260">
          <cell r="A1260" t="str">
            <v>Y0410024021519</v>
          </cell>
          <cell r="B1260" t="str">
            <v>前保支架梁</v>
          </cell>
          <cell r="C1260" t="str">
            <v>件</v>
          </cell>
          <cell r="D1260">
            <v>2.30088495575221</v>
          </cell>
          <cell r="E1260">
            <v>0.32</v>
          </cell>
        </row>
        <row r="1261">
          <cell r="A1261" t="str">
            <v>Y0410024021520</v>
          </cell>
          <cell r="B1261" t="str">
            <v>前立柱</v>
          </cell>
          <cell r="C1261" t="str">
            <v>件</v>
          </cell>
          <cell r="D1261">
            <v>1.76991150442478</v>
          </cell>
          <cell r="E1261">
            <v>0.25</v>
          </cell>
        </row>
        <row r="1262">
          <cell r="A1262" t="str">
            <v>Y0410024021560</v>
          </cell>
          <cell r="B1262" t="str">
            <v>氛围灯模块支架</v>
          </cell>
          <cell r="C1262" t="str">
            <v>件</v>
          </cell>
          <cell r="D1262">
            <v>5.17699115044248</v>
          </cell>
          <cell r="E1262">
            <v>0.72</v>
          </cell>
        </row>
        <row r="1263">
          <cell r="A1263" t="str">
            <v>F0102081002</v>
          </cell>
          <cell r="B1263" t="str">
            <v>车架总成/双横臂加高球车/4座J款</v>
          </cell>
          <cell r="C1263" t="str">
            <v>件</v>
          </cell>
          <cell r="D1263">
            <v>1061.94690265487</v>
          </cell>
          <cell r="E1263">
            <v>147.49</v>
          </cell>
        </row>
        <row r="1264">
          <cell r="A1264" t="str">
            <v>F0102089001</v>
          </cell>
          <cell r="B1264" t="str">
            <v>车架总成/双横臂球车/V2-4S款</v>
          </cell>
          <cell r="C1264" t="str">
            <v>件</v>
          </cell>
          <cell r="D1264">
            <v>1061.94690265487</v>
          </cell>
          <cell r="E1264">
            <v>147.49</v>
          </cell>
        </row>
        <row r="1265">
          <cell r="A1265" t="str">
            <v>F0102089002</v>
          </cell>
          <cell r="B1265" t="str">
            <v>车架总成/双横臂打猎车/V2-4S款</v>
          </cell>
          <cell r="C1265" t="str">
            <v>件</v>
          </cell>
          <cell r="D1265">
            <v>1061.94690265487</v>
          </cell>
          <cell r="E1265">
            <v>147.49</v>
          </cell>
        </row>
        <row r="1266">
          <cell r="A1266" t="str">
            <v>F0102090001</v>
          </cell>
          <cell r="B1266" t="str">
            <v>车架总成/双横臂球车/V2-4J款</v>
          </cell>
          <cell r="C1266" t="str">
            <v>件</v>
          </cell>
          <cell r="D1266">
            <v>1061.94690265487</v>
          </cell>
          <cell r="E1266">
            <v>147.49</v>
          </cell>
        </row>
        <row r="1267">
          <cell r="A1267" t="str">
            <v>F0102090002</v>
          </cell>
          <cell r="B1267" t="str">
            <v>车架总成/双横臂打猎车/V2-4J款</v>
          </cell>
          <cell r="C1267" t="str">
            <v>件</v>
          </cell>
          <cell r="D1267">
            <v>1061.94690265487</v>
          </cell>
          <cell r="E1267">
            <v>147.49</v>
          </cell>
        </row>
        <row r="1268">
          <cell r="A1268" t="str">
            <v>F0103027134</v>
          </cell>
          <cell r="B1268" t="str">
            <v>前地板垫</v>
          </cell>
          <cell r="C1268" t="str">
            <v>片</v>
          </cell>
          <cell r="D1268">
            <v>163.01816488123</v>
          </cell>
          <cell r="E1268">
            <v>22.64</v>
          </cell>
        </row>
        <row r="1269">
          <cell r="A1269" t="str">
            <v>F0307001047</v>
          </cell>
          <cell r="B1269" t="str">
            <v>10.1寸多功能仪表中控屏/带电池</v>
          </cell>
          <cell r="C1269" t="str">
            <v>件</v>
          </cell>
          <cell r="D1269">
            <v>812.761993479273</v>
          </cell>
          <cell r="E1269">
            <v>112.88</v>
          </cell>
        </row>
        <row r="1270">
          <cell r="A1270" t="str">
            <v>F2111000222</v>
          </cell>
          <cell r="B1270" t="str">
            <v>V2-4JA款标准件盒</v>
          </cell>
          <cell r="C1270" t="str">
            <v>件</v>
          </cell>
          <cell r="D1270">
            <v>102.911038658593</v>
          </cell>
          <cell r="E1270">
            <v>14.29</v>
          </cell>
        </row>
        <row r="1271">
          <cell r="A1271" t="str">
            <v>F2111000223</v>
          </cell>
          <cell r="B1271" t="str">
            <v>V2-4JK款标准件盒</v>
          </cell>
          <cell r="C1271" t="str">
            <v>件</v>
          </cell>
          <cell r="D1271">
            <v>166.511411271542</v>
          </cell>
          <cell r="E1271">
            <v>23.13</v>
          </cell>
        </row>
        <row r="1272">
          <cell r="A1272" t="str">
            <v>Y0301014008</v>
          </cell>
          <cell r="B1272" t="str">
            <v>不锈钢六角罗丝(8*50)</v>
          </cell>
          <cell r="C1272" t="str">
            <v>件</v>
          </cell>
          <cell r="D1272">
            <v>0.51</v>
          </cell>
          <cell r="E1272">
            <v>0.07</v>
          </cell>
        </row>
        <row r="1273">
          <cell r="A1273" t="str">
            <v>F0103035097</v>
          </cell>
          <cell r="B1273" t="str">
            <v>电池框檄胶板</v>
          </cell>
          <cell r="C1273" t="str">
            <v>件</v>
          </cell>
          <cell r="D1273">
            <v>128.09</v>
          </cell>
          <cell r="E1273">
            <v>17.79</v>
          </cell>
        </row>
        <row r="1274">
          <cell r="A1274" t="str">
            <v>F0102089088</v>
          </cell>
          <cell r="B1274" t="str">
            <v>铁制前保险杠</v>
          </cell>
          <cell r="C1274" t="str">
            <v>件</v>
          </cell>
          <cell r="D1274">
            <v>150.442477876106</v>
          </cell>
          <cell r="E1274">
            <v>20.89</v>
          </cell>
        </row>
        <row r="1275">
          <cell r="A1275" t="str">
            <v>F0102089094</v>
          </cell>
          <cell r="B1275" t="str">
            <v>顶棚前支架</v>
          </cell>
          <cell r="C1275" t="str">
            <v>件</v>
          </cell>
          <cell r="D1275">
            <v>39.8230088495575</v>
          </cell>
          <cell r="E1275">
            <v>5.53</v>
          </cell>
        </row>
        <row r="1276">
          <cell r="A1276" t="str">
            <v>F0102080006</v>
          </cell>
          <cell r="B1276" t="str">
            <v>顶棚后支架 左</v>
          </cell>
          <cell r="C1276" t="str">
            <v>件</v>
          </cell>
          <cell r="D1276">
            <v>16.0884955752212</v>
          </cell>
          <cell r="E1276">
            <v>2.23</v>
          </cell>
        </row>
        <row r="1277">
          <cell r="A1277" t="str">
            <v>F0102080007</v>
          </cell>
          <cell r="B1277" t="str">
            <v>顶棚后支架 右</v>
          </cell>
          <cell r="C1277" t="str">
            <v>件</v>
          </cell>
          <cell r="D1277">
            <v>16.0884955752212</v>
          </cell>
          <cell r="E1277">
            <v>2.23</v>
          </cell>
        </row>
        <row r="1278">
          <cell r="A1278" t="str">
            <v>Y0410024027402</v>
          </cell>
          <cell r="B1278" t="str">
            <v>安全带上支架</v>
          </cell>
          <cell r="C1278" t="str">
            <v>件</v>
          </cell>
          <cell r="D1278">
            <v>10.1769911504425</v>
          </cell>
          <cell r="E1278">
            <v>1.41</v>
          </cell>
        </row>
        <row r="1279">
          <cell r="A1279" t="str">
            <v>Y0410024027408</v>
          </cell>
          <cell r="B1279" t="str">
            <v>后排安全带上支架</v>
          </cell>
          <cell r="C1279" t="str">
            <v>件</v>
          </cell>
          <cell r="D1279">
            <v>10.1769911504425</v>
          </cell>
          <cell r="E1279">
            <v>1.41</v>
          </cell>
        </row>
        <row r="1280">
          <cell r="A1280" t="str">
            <v>F0102089078</v>
          </cell>
          <cell r="B1280" t="str">
            <v>左后立柱</v>
          </cell>
          <cell r="C1280" t="str">
            <v>件</v>
          </cell>
          <cell r="D1280">
            <v>32.2743362831858</v>
          </cell>
          <cell r="E1280">
            <v>4.48</v>
          </cell>
        </row>
        <row r="1281">
          <cell r="A1281" t="str">
            <v>F0102089079</v>
          </cell>
          <cell r="B1281" t="str">
            <v>右后立柱</v>
          </cell>
          <cell r="C1281" t="str">
            <v>件</v>
          </cell>
          <cell r="D1281">
            <v>32.2743362831858</v>
          </cell>
          <cell r="E1281">
            <v>4.48</v>
          </cell>
        </row>
        <row r="1282">
          <cell r="A1282" t="str">
            <v>F0103020034</v>
          </cell>
          <cell r="B1282" t="str">
            <v>左前挡泥板/S款打猎车</v>
          </cell>
          <cell r="C1282" t="str">
            <v>件</v>
          </cell>
          <cell r="D1282">
            <v>44.7278761061947</v>
          </cell>
          <cell r="E1282">
            <v>6.21</v>
          </cell>
        </row>
        <row r="1283">
          <cell r="A1283" t="str">
            <v>F0103020035</v>
          </cell>
          <cell r="B1283" t="str">
            <v>右前挡泥板/S款打猎车</v>
          </cell>
          <cell r="C1283" t="str">
            <v>件</v>
          </cell>
          <cell r="D1283">
            <v>44.7278761061947</v>
          </cell>
          <cell r="E1283">
            <v>6.21</v>
          </cell>
        </row>
        <row r="1284">
          <cell r="A1284" t="str">
            <v>F0102079018</v>
          </cell>
          <cell r="B1284" t="str">
            <v>后保反光板 左</v>
          </cell>
          <cell r="C1284" t="str">
            <v>件</v>
          </cell>
          <cell r="D1284">
            <v>3.05309734513274</v>
          </cell>
          <cell r="E1284">
            <v>0.42</v>
          </cell>
        </row>
        <row r="1285">
          <cell r="A1285" t="str">
            <v>F0102079019</v>
          </cell>
          <cell r="B1285" t="str">
            <v>后保反光板 右</v>
          </cell>
          <cell r="C1285" t="str">
            <v>件</v>
          </cell>
          <cell r="D1285">
            <v>3.05309734513274</v>
          </cell>
          <cell r="E1285">
            <v>0.42</v>
          </cell>
        </row>
        <row r="1286">
          <cell r="A1286" t="str">
            <v>F0102079020</v>
          </cell>
          <cell r="B1286" t="str">
            <v>后保 中装饰件</v>
          </cell>
          <cell r="C1286" t="str">
            <v>件</v>
          </cell>
          <cell r="D1286">
            <v>9.15929203539823</v>
          </cell>
          <cell r="E1286">
            <v>1.27</v>
          </cell>
        </row>
        <row r="1287">
          <cell r="A1287" t="str">
            <v>F0102089049</v>
          </cell>
          <cell r="B1287" t="str">
            <v>坐垫底板</v>
          </cell>
          <cell r="C1287" t="str">
            <v>件</v>
          </cell>
          <cell r="D1287">
            <v>86.5044247787611</v>
          </cell>
          <cell r="E1287">
            <v>12.01</v>
          </cell>
        </row>
        <row r="1288">
          <cell r="A1288" t="str">
            <v>F0102079016</v>
          </cell>
          <cell r="B1288" t="str">
            <v>尾灯安装座 左</v>
          </cell>
          <cell r="C1288" t="str">
            <v>件</v>
          </cell>
          <cell r="D1288">
            <v>13.2300884955752</v>
          </cell>
          <cell r="E1288">
            <v>1.84</v>
          </cell>
        </row>
        <row r="1289">
          <cell r="A1289" t="str">
            <v>F0102079017</v>
          </cell>
          <cell r="B1289" t="str">
            <v>尾灯安装座 右</v>
          </cell>
          <cell r="C1289" t="str">
            <v>件</v>
          </cell>
          <cell r="D1289">
            <v>13.2300884955752</v>
          </cell>
          <cell r="E1289">
            <v>1.84</v>
          </cell>
        </row>
        <row r="1290">
          <cell r="A1290" t="str">
            <v>F0102079003</v>
          </cell>
          <cell r="B1290" t="str">
            <v>后罩</v>
          </cell>
          <cell r="C1290" t="str">
            <v>件</v>
          </cell>
          <cell r="D1290">
            <v>284.955752212389</v>
          </cell>
          <cell r="E1290">
            <v>39.58</v>
          </cell>
        </row>
        <row r="1291">
          <cell r="A1291" t="str">
            <v>F0102079004</v>
          </cell>
          <cell r="B1291" t="str">
            <v>左后轮眉</v>
          </cell>
          <cell r="C1291" t="str">
            <v>件</v>
          </cell>
          <cell r="D1291">
            <v>16.283185840708</v>
          </cell>
          <cell r="E1291">
            <v>2.26</v>
          </cell>
        </row>
        <row r="1292">
          <cell r="A1292" t="str">
            <v>F0102079005</v>
          </cell>
          <cell r="B1292" t="str">
            <v>右后轮眉</v>
          </cell>
          <cell r="C1292" t="str">
            <v>件</v>
          </cell>
          <cell r="D1292">
            <v>16.283185840708</v>
          </cell>
          <cell r="E1292">
            <v>2.26</v>
          </cell>
        </row>
        <row r="1293">
          <cell r="A1293" t="str">
            <v>F0102079006</v>
          </cell>
          <cell r="B1293" t="str">
            <v>电控检修盖</v>
          </cell>
          <cell r="C1293" t="str">
            <v>件</v>
          </cell>
          <cell r="D1293">
            <v>39.6902654867257</v>
          </cell>
          <cell r="E1293">
            <v>5.51</v>
          </cell>
        </row>
        <row r="1294">
          <cell r="A1294" t="str">
            <v>F0102079007</v>
          </cell>
          <cell r="B1294" t="str">
            <v>后保险杠</v>
          </cell>
          <cell r="C1294" t="str">
            <v>件</v>
          </cell>
          <cell r="D1294">
            <v>42.7433628318584</v>
          </cell>
          <cell r="E1294">
            <v>5.94</v>
          </cell>
        </row>
        <row r="1295">
          <cell r="A1295" t="str">
            <v>F0102089048</v>
          </cell>
          <cell r="B1295" t="str">
            <v>中座桶装饰盖</v>
          </cell>
          <cell r="C1295" t="str">
            <v>件</v>
          </cell>
          <cell r="D1295">
            <v>35.6194690265487</v>
          </cell>
          <cell r="E1295">
            <v>4.95</v>
          </cell>
        </row>
        <row r="1296">
          <cell r="A1296" t="str">
            <v>F0102089063</v>
          </cell>
          <cell r="B1296" t="str">
            <v>靠背内衬版</v>
          </cell>
          <cell r="C1296" t="str">
            <v>件</v>
          </cell>
          <cell r="D1296">
            <v>86.5044247787611</v>
          </cell>
          <cell r="E1296">
            <v>12.01</v>
          </cell>
        </row>
        <row r="1297">
          <cell r="A1297" t="str">
            <v>F0102089064</v>
          </cell>
          <cell r="B1297" t="str">
            <v>前靠背外饰板</v>
          </cell>
          <cell r="C1297" t="str">
            <v>件</v>
          </cell>
          <cell r="D1297">
            <v>86.5044247787611</v>
          </cell>
          <cell r="E1297">
            <v>12.01</v>
          </cell>
        </row>
        <row r="1298">
          <cell r="A1298" t="str">
            <v>F0102089065</v>
          </cell>
          <cell r="B1298" t="str">
            <v>靠背杯托支架</v>
          </cell>
          <cell r="C1298" t="str">
            <v>件</v>
          </cell>
          <cell r="D1298">
            <v>14.2477876106195</v>
          </cell>
          <cell r="E1298">
            <v>1.98</v>
          </cell>
        </row>
        <row r="1299">
          <cell r="A1299" t="str">
            <v>F0102089066</v>
          </cell>
          <cell r="B1299" t="str">
            <v>靠背杯托</v>
          </cell>
          <cell r="C1299" t="str">
            <v>件</v>
          </cell>
          <cell r="D1299">
            <v>8.14159292035398</v>
          </cell>
          <cell r="E1299">
            <v>1.13</v>
          </cell>
        </row>
        <row r="1300">
          <cell r="A1300" t="str">
            <v>F0102089067</v>
          </cell>
          <cell r="B1300" t="str">
            <v>网兜总成</v>
          </cell>
          <cell r="C1300" t="str">
            <v>件</v>
          </cell>
          <cell r="D1300">
            <v>7.12389380530974</v>
          </cell>
          <cell r="E1300">
            <v>0.99</v>
          </cell>
        </row>
        <row r="1301">
          <cell r="A1301" t="str">
            <v>F0103025020</v>
          </cell>
          <cell r="B1301" t="str">
            <v>前靠背拉手</v>
          </cell>
          <cell r="C1301" t="str">
            <v>件</v>
          </cell>
          <cell r="D1301">
            <v>8.14159292035398</v>
          </cell>
          <cell r="E1301">
            <v>1.13</v>
          </cell>
        </row>
        <row r="1302">
          <cell r="A1302" t="str">
            <v>F0102089068</v>
          </cell>
          <cell r="B1302" t="str">
            <v>后排靠背外饰板</v>
          </cell>
          <cell r="C1302" t="str">
            <v>件</v>
          </cell>
          <cell r="D1302">
            <v>86.5044247787611</v>
          </cell>
          <cell r="E1302">
            <v>12.01</v>
          </cell>
        </row>
        <row r="1303">
          <cell r="A1303" t="str">
            <v>F0102089069</v>
          </cell>
          <cell r="B1303" t="str">
            <v>后排靠背检修盖</v>
          </cell>
          <cell r="C1303" t="str">
            <v>件</v>
          </cell>
          <cell r="D1303">
            <v>5.08849557522124</v>
          </cell>
          <cell r="E1303">
            <v>0.71</v>
          </cell>
        </row>
        <row r="1304">
          <cell r="A1304" t="str">
            <v>F0102089061</v>
          </cell>
          <cell r="B1304" t="str">
            <v>后立柱护套 左</v>
          </cell>
          <cell r="C1304" t="str">
            <v>件</v>
          </cell>
          <cell r="D1304">
            <v>15.2654867256637</v>
          </cell>
          <cell r="E1304">
            <v>2.12</v>
          </cell>
        </row>
        <row r="1305">
          <cell r="A1305" t="str">
            <v>F0102089062</v>
          </cell>
          <cell r="B1305" t="str">
            <v>后立柱护套 右</v>
          </cell>
          <cell r="C1305" t="str">
            <v>件</v>
          </cell>
          <cell r="D1305">
            <v>15.2654867256637</v>
          </cell>
          <cell r="E1305">
            <v>2.12</v>
          </cell>
        </row>
        <row r="1306">
          <cell r="A1306" t="str">
            <v>F0102089051</v>
          </cell>
          <cell r="B1306" t="str">
            <v>左后挡泥板</v>
          </cell>
          <cell r="C1306" t="str">
            <v>件</v>
          </cell>
          <cell r="D1306">
            <v>19.3362831858407</v>
          </cell>
          <cell r="E1306">
            <v>2.69</v>
          </cell>
        </row>
        <row r="1307">
          <cell r="A1307" t="str">
            <v>F0102089052</v>
          </cell>
          <cell r="B1307" t="str">
            <v>右后挡泥板</v>
          </cell>
          <cell r="C1307" t="str">
            <v>件</v>
          </cell>
          <cell r="D1307">
            <v>19.3362831858407</v>
          </cell>
          <cell r="E1307">
            <v>2.69</v>
          </cell>
        </row>
        <row r="1308">
          <cell r="A1308" t="str">
            <v>F0103064019</v>
          </cell>
          <cell r="B1308" t="str">
            <v>卡扣</v>
          </cell>
          <cell r="C1308" t="str">
            <v>只</v>
          </cell>
          <cell r="D1308">
            <v>1.01769911504425</v>
          </cell>
          <cell r="E1308">
            <v>0.14</v>
          </cell>
        </row>
        <row r="1309">
          <cell r="A1309" t="str">
            <v>F0102089045</v>
          </cell>
          <cell r="B1309" t="str">
            <v>左后侧护板</v>
          </cell>
          <cell r="C1309" t="str">
            <v>件</v>
          </cell>
          <cell r="D1309">
            <v>16.283185840708</v>
          </cell>
          <cell r="E1309">
            <v>2.26</v>
          </cell>
        </row>
        <row r="1310">
          <cell r="A1310" t="str">
            <v>F0102089046</v>
          </cell>
          <cell r="B1310" t="str">
            <v>右后侧护板</v>
          </cell>
          <cell r="C1310" t="str">
            <v>件</v>
          </cell>
          <cell r="D1310">
            <v>16.283185840708</v>
          </cell>
          <cell r="E1310">
            <v>2.26</v>
          </cell>
        </row>
        <row r="1311">
          <cell r="A1311" t="str">
            <v>F0102089056</v>
          </cell>
          <cell r="B1311" t="str">
            <v>后保反光板 左</v>
          </cell>
          <cell r="C1311" t="str">
            <v>件</v>
          </cell>
          <cell r="D1311">
            <v>3.05309734513274</v>
          </cell>
          <cell r="E1311">
            <v>0.42</v>
          </cell>
        </row>
        <row r="1312">
          <cell r="A1312" t="str">
            <v>F0102089057</v>
          </cell>
          <cell r="B1312" t="str">
            <v>后保反光板 右</v>
          </cell>
          <cell r="C1312" t="str">
            <v>件</v>
          </cell>
          <cell r="D1312">
            <v>3.05309734513274</v>
          </cell>
          <cell r="E1312">
            <v>0.42</v>
          </cell>
        </row>
        <row r="1313">
          <cell r="A1313" t="str">
            <v>F0102089058</v>
          </cell>
          <cell r="B1313" t="str">
            <v>尾灯安装座 左</v>
          </cell>
          <cell r="C1313" t="str">
            <v>件</v>
          </cell>
          <cell r="D1313">
            <v>15.2654867256637</v>
          </cell>
          <cell r="E1313">
            <v>2.12</v>
          </cell>
        </row>
        <row r="1314">
          <cell r="A1314" t="str">
            <v>F0102089059</v>
          </cell>
          <cell r="B1314" t="str">
            <v>尾灯安装座 右</v>
          </cell>
          <cell r="C1314" t="str">
            <v>件</v>
          </cell>
          <cell r="D1314">
            <v>15.2654867256637</v>
          </cell>
          <cell r="E1314">
            <v>2.12</v>
          </cell>
        </row>
        <row r="1315">
          <cell r="A1315" t="str">
            <v>F2101177003</v>
          </cell>
          <cell r="B1315" t="str">
            <v>梅花手旋螺丝</v>
          </cell>
          <cell r="C1315" t="str">
            <v>件</v>
          </cell>
          <cell r="D1315">
            <v>5.08849557522124</v>
          </cell>
          <cell r="E1315">
            <v>0.71</v>
          </cell>
        </row>
        <row r="1316">
          <cell r="A1316" t="str">
            <v>F0102089050</v>
          </cell>
          <cell r="B1316" t="str">
            <v>后罩</v>
          </cell>
          <cell r="C1316" t="str">
            <v>件</v>
          </cell>
          <cell r="D1316">
            <v>284.955752212389</v>
          </cell>
          <cell r="E1316">
            <v>39.58</v>
          </cell>
        </row>
        <row r="1317">
          <cell r="A1317" t="str">
            <v>F0102089047</v>
          </cell>
          <cell r="B1317" t="str">
            <v>中座桶</v>
          </cell>
          <cell r="C1317" t="str">
            <v>件</v>
          </cell>
          <cell r="D1317">
            <v>162.83185840708</v>
          </cell>
          <cell r="E1317">
            <v>22.62</v>
          </cell>
        </row>
        <row r="1318">
          <cell r="A1318" t="str">
            <v>F0102089053</v>
          </cell>
          <cell r="B1318" t="str">
            <v>左后轮眉</v>
          </cell>
          <cell r="C1318" t="str">
            <v>件</v>
          </cell>
          <cell r="D1318">
            <v>18.3185840707965</v>
          </cell>
          <cell r="E1318">
            <v>2.54</v>
          </cell>
        </row>
        <row r="1319">
          <cell r="A1319" t="str">
            <v>F0102089054</v>
          </cell>
          <cell r="B1319" t="str">
            <v>右后轮眉</v>
          </cell>
          <cell r="C1319" t="str">
            <v>件</v>
          </cell>
          <cell r="D1319">
            <v>18.3185840707965</v>
          </cell>
          <cell r="E1319">
            <v>2.54</v>
          </cell>
        </row>
        <row r="1320">
          <cell r="A1320" t="str">
            <v>F0102089060</v>
          </cell>
          <cell r="B1320" t="str">
            <v>后备箱总成</v>
          </cell>
          <cell r="C1320" t="str">
            <v>件</v>
          </cell>
          <cell r="D1320">
            <v>249.336283185841</v>
          </cell>
          <cell r="E1320">
            <v>34.63</v>
          </cell>
        </row>
        <row r="1321">
          <cell r="A1321" t="str">
            <v>F0102089055</v>
          </cell>
          <cell r="B1321" t="str">
            <v>后保险杠</v>
          </cell>
          <cell r="C1321" t="str">
            <v>件</v>
          </cell>
          <cell r="D1321">
            <v>48.8495575221239</v>
          </cell>
          <cell r="E1321">
            <v>6.78</v>
          </cell>
        </row>
        <row r="1322">
          <cell r="A1322" t="str">
            <v>F0204002044</v>
          </cell>
          <cell r="B1322" t="str">
            <v>可调转向轴管</v>
          </cell>
          <cell r="C1322" t="str">
            <v>件</v>
          </cell>
          <cell r="D1322">
            <v>108.407079646018</v>
          </cell>
          <cell r="E1322">
            <v>15.06</v>
          </cell>
        </row>
        <row r="1323">
          <cell r="A1323" t="str">
            <v>F0103003094</v>
          </cell>
          <cell r="B1323" t="str">
            <v>机盖锁体</v>
          </cell>
          <cell r="C1323" t="str">
            <v>件</v>
          </cell>
          <cell r="D1323">
            <v>52.398695854681</v>
          </cell>
          <cell r="E1323">
            <v>7.28</v>
          </cell>
        </row>
        <row r="1324">
          <cell r="A1324" t="str">
            <v>F0103003095</v>
          </cell>
          <cell r="B1324" t="str">
            <v>机盖锁扣</v>
          </cell>
          <cell r="C1324" t="str">
            <v>件</v>
          </cell>
          <cell r="D1324">
            <v>52.398695854681</v>
          </cell>
          <cell r="E1324">
            <v>7.28</v>
          </cell>
        </row>
        <row r="1325">
          <cell r="A1325" t="str">
            <v>F0103021027</v>
          </cell>
          <cell r="B1325" t="str">
            <v>气弹簧</v>
          </cell>
          <cell r="C1325" t="str">
            <v>根</v>
          </cell>
          <cell r="D1325">
            <v>14.5551932929669</v>
          </cell>
          <cell r="E1325">
            <v>2.02</v>
          </cell>
        </row>
        <row r="1326">
          <cell r="A1326" t="str">
            <v>F0102089024</v>
          </cell>
          <cell r="B1326" t="str">
            <v>前立柱护套左</v>
          </cell>
          <cell r="C1326" t="str">
            <v>件</v>
          </cell>
          <cell r="D1326">
            <v>3.49324639031206</v>
          </cell>
          <cell r="E1326">
            <v>0.49</v>
          </cell>
        </row>
        <row r="1327">
          <cell r="A1327" t="str">
            <v>F0102089025</v>
          </cell>
          <cell r="B1327" t="str">
            <v>前立柱护套右</v>
          </cell>
          <cell r="C1327" t="str">
            <v>件</v>
          </cell>
          <cell r="D1327">
            <v>3.49324639031206</v>
          </cell>
          <cell r="E1327">
            <v>0.49</v>
          </cell>
        </row>
        <row r="1328">
          <cell r="A1328" t="str">
            <v>F0103035102</v>
          </cell>
          <cell r="B1328" t="str">
            <v>导风片阻尼胶套</v>
          </cell>
          <cell r="C1328" t="str">
            <v>件</v>
          </cell>
          <cell r="D1328">
            <v>0.582207731718677</v>
          </cell>
          <cell r="E1328">
            <v>0.08</v>
          </cell>
        </row>
        <row r="1329">
          <cell r="A1329" t="str">
            <v>F0199002147</v>
          </cell>
          <cell r="B1329" t="str">
            <v>方向盘Logo</v>
          </cell>
          <cell r="C1329" t="str">
            <v>件</v>
          </cell>
          <cell r="D1329">
            <v>0.442477876106195</v>
          </cell>
          <cell r="E1329">
            <v>0.06</v>
          </cell>
        </row>
        <row r="1330">
          <cell r="A1330" t="str">
            <v>F0199002148</v>
          </cell>
          <cell r="B1330" t="str">
            <v>SIVO字母标</v>
          </cell>
          <cell r="C1330" t="str">
            <v>件</v>
          </cell>
          <cell r="D1330">
            <v>4.65766185374942</v>
          </cell>
          <cell r="E1330">
            <v>0.65</v>
          </cell>
        </row>
        <row r="1331">
          <cell r="A1331" t="str">
            <v>F0199002149</v>
          </cell>
          <cell r="B1331" t="str">
            <v>SIVO字母标</v>
          </cell>
          <cell r="C1331" t="str">
            <v>件</v>
          </cell>
          <cell r="D1331">
            <v>4.65766185374942</v>
          </cell>
          <cell r="E1331">
            <v>0.65</v>
          </cell>
        </row>
        <row r="1332">
          <cell r="A1332" t="str">
            <v>F0199002150</v>
          </cell>
          <cell r="B1332" t="str">
            <v>EDGE字母标</v>
          </cell>
          <cell r="C1332" t="str">
            <v>件</v>
          </cell>
          <cell r="D1332">
            <v>4.89054494643689</v>
          </cell>
          <cell r="E1332">
            <v>0.68</v>
          </cell>
        </row>
        <row r="1333">
          <cell r="A1333" t="str">
            <v>F0199002151</v>
          </cell>
          <cell r="B1333" t="str">
            <v>EDGE字母标</v>
          </cell>
          <cell r="C1333" t="str">
            <v>件</v>
          </cell>
          <cell r="D1333">
            <v>4.89054494643689</v>
          </cell>
          <cell r="E1333">
            <v>0.68</v>
          </cell>
        </row>
        <row r="1334">
          <cell r="A1334" t="str">
            <v>F0199003266</v>
          </cell>
          <cell r="B1334" t="str">
            <v>充电指示灯贴纸</v>
          </cell>
          <cell r="C1334" t="str">
            <v>张</v>
          </cell>
          <cell r="D1334">
            <v>0.640428504890545</v>
          </cell>
          <cell r="E1334">
            <v>0.09</v>
          </cell>
        </row>
        <row r="1335">
          <cell r="A1335" t="str">
            <v>F0103012150</v>
          </cell>
          <cell r="B1335" t="str">
            <v>后备箱胶条</v>
          </cell>
          <cell r="C1335" t="str">
            <v>根</v>
          </cell>
          <cell r="D1335">
            <v>8.73311597578016</v>
          </cell>
          <cell r="E1335">
            <v>1.21</v>
          </cell>
        </row>
        <row r="1336">
          <cell r="A1336" t="str">
            <v>Y0214003011</v>
          </cell>
          <cell r="B1336" t="str">
            <v>尼龙扎带（5*350）</v>
          </cell>
          <cell r="C1336" t="str">
            <v>袋</v>
          </cell>
          <cell r="D1336">
            <v>0.155449464368887</v>
          </cell>
          <cell r="E1336">
            <v>0.02</v>
          </cell>
        </row>
        <row r="1337">
          <cell r="A1337" t="str">
            <v>F0199002036</v>
          </cell>
          <cell r="B1337" t="str">
            <v>铝牌</v>
          </cell>
          <cell r="C1337" t="str">
            <v>件</v>
          </cell>
          <cell r="D1337">
            <v>2.09594783418724</v>
          </cell>
          <cell r="E1337">
            <v>0.29</v>
          </cell>
        </row>
        <row r="1338">
          <cell r="A1338" t="str">
            <v>F0308001065</v>
          </cell>
          <cell r="B1338" t="str">
            <v>左前大灯总成</v>
          </cell>
          <cell r="C1338" t="str">
            <v>件</v>
          </cell>
          <cell r="D1338">
            <v>227.061015370284</v>
          </cell>
          <cell r="E1338">
            <v>31.54</v>
          </cell>
        </row>
        <row r="1339">
          <cell r="A1339" t="str">
            <v>F0308001066</v>
          </cell>
          <cell r="B1339" t="str">
            <v>右前大灯总成</v>
          </cell>
          <cell r="C1339" t="str">
            <v>件</v>
          </cell>
          <cell r="D1339">
            <v>227.061015370284</v>
          </cell>
          <cell r="E1339">
            <v>31.54</v>
          </cell>
        </row>
        <row r="1340">
          <cell r="A1340" t="str">
            <v>F0308007033</v>
          </cell>
          <cell r="B1340" t="str">
            <v>左后尾灯</v>
          </cell>
          <cell r="C1340" t="str">
            <v>件</v>
          </cell>
          <cell r="D1340">
            <v>87.3311597578016</v>
          </cell>
          <cell r="E1340">
            <v>12.13</v>
          </cell>
        </row>
        <row r="1341">
          <cell r="A1341" t="str">
            <v>F0308007034</v>
          </cell>
          <cell r="B1341" t="str">
            <v>右后尾灯</v>
          </cell>
          <cell r="C1341" t="str">
            <v>件</v>
          </cell>
          <cell r="D1341">
            <v>87.3311597578016</v>
          </cell>
          <cell r="E1341">
            <v>12.13</v>
          </cell>
        </row>
        <row r="1342">
          <cell r="A1342" t="str">
            <v>F0308009030</v>
          </cell>
          <cell r="B1342" t="str">
            <v>行李仓灯</v>
          </cell>
          <cell r="C1342" t="str">
            <v>件</v>
          </cell>
          <cell r="D1342">
            <v>14.5551932929669</v>
          </cell>
          <cell r="E1342">
            <v>2.02</v>
          </cell>
        </row>
        <row r="1343">
          <cell r="A1343" t="str">
            <v>F0308009031</v>
          </cell>
          <cell r="B1343" t="str">
            <v>中网LOGO灯</v>
          </cell>
          <cell r="C1343" t="str">
            <v>件</v>
          </cell>
          <cell r="D1343">
            <v>17.2333488588728</v>
          </cell>
          <cell r="E1343">
            <v>2.39</v>
          </cell>
        </row>
        <row r="1344">
          <cell r="A1344" t="str">
            <v>F0308009032</v>
          </cell>
          <cell r="B1344" t="str">
            <v>仪表台Logo灯</v>
          </cell>
          <cell r="C1344" t="str">
            <v>件</v>
          </cell>
          <cell r="D1344">
            <v>15.1374010246856</v>
          </cell>
          <cell r="E1344">
            <v>2.1</v>
          </cell>
        </row>
        <row r="1345">
          <cell r="A1345" t="str">
            <v>F0308002013</v>
          </cell>
          <cell r="B1345" t="str">
            <v>前轮眉转向灯 左</v>
          </cell>
          <cell r="C1345" t="str">
            <v>件</v>
          </cell>
          <cell r="D1345">
            <v>19.2128551467164</v>
          </cell>
          <cell r="E1345">
            <v>2.67</v>
          </cell>
        </row>
        <row r="1346">
          <cell r="A1346" t="str">
            <v>F0308002014</v>
          </cell>
          <cell r="B1346" t="str">
            <v>前轮眉转向灯 右</v>
          </cell>
          <cell r="C1346" t="str">
            <v>件</v>
          </cell>
          <cell r="D1346">
            <v>19.2128551467164</v>
          </cell>
          <cell r="E1346">
            <v>2.67</v>
          </cell>
        </row>
        <row r="1347">
          <cell r="A1347" t="str">
            <v>F0309004011</v>
          </cell>
          <cell r="B1347" t="str">
            <v>按钮开关（储物盒灯）/含插件/黑色</v>
          </cell>
          <cell r="C1347" t="str">
            <v>件</v>
          </cell>
          <cell r="D1347">
            <v>27.9459711224965</v>
          </cell>
          <cell r="E1347">
            <v>3.88</v>
          </cell>
        </row>
        <row r="1348">
          <cell r="A1348" t="str">
            <v>F0307001046</v>
          </cell>
          <cell r="B1348" t="str">
            <v>10.1寸多功能仪表中控屏/带电池</v>
          </cell>
          <cell r="C1348" t="str">
            <v>件</v>
          </cell>
          <cell r="D1348">
            <v>812.761993479273</v>
          </cell>
          <cell r="E1348">
            <v>112.88</v>
          </cell>
        </row>
        <row r="1349">
          <cell r="A1349" t="str">
            <v>F0308035035</v>
          </cell>
          <cell r="B1349" t="str">
            <v>氛围灯控制盒/CAN控</v>
          </cell>
          <cell r="C1349" t="str">
            <v>件</v>
          </cell>
          <cell r="D1349">
            <v>244.527247321844</v>
          </cell>
          <cell r="E1349">
            <v>33.96</v>
          </cell>
        </row>
        <row r="1350">
          <cell r="A1350" t="str">
            <v>F0308035038</v>
          </cell>
          <cell r="B1350" t="str">
            <v>Y线/350*350mm</v>
          </cell>
          <cell r="C1350" t="str">
            <v>根</v>
          </cell>
          <cell r="D1350">
            <v>20.9594783418724</v>
          </cell>
          <cell r="E1350">
            <v>2.91</v>
          </cell>
        </row>
        <row r="1351">
          <cell r="A1351" t="str">
            <v>F0308035039</v>
          </cell>
          <cell r="B1351" t="str">
            <v>直连线/600mm</v>
          </cell>
          <cell r="C1351" t="str">
            <v>根</v>
          </cell>
          <cell r="D1351">
            <v>9.31532370749884</v>
          </cell>
          <cell r="E1351">
            <v>1.29</v>
          </cell>
        </row>
        <row r="1352">
          <cell r="A1352" t="str">
            <v>F0308035040</v>
          </cell>
          <cell r="B1352" t="str">
            <v>直连线/1700mm</v>
          </cell>
          <cell r="C1352" t="str">
            <v>根</v>
          </cell>
          <cell r="D1352">
            <v>17.4662319515603</v>
          </cell>
          <cell r="E1352">
            <v>2.43</v>
          </cell>
        </row>
        <row r="1353">
          <cell r="A1353" t="str">
            <v>F0309002224</v>
          </cell>
          <cell r="B1353" t="str">
            <v>一键启动系统总成（只配2把遥控钥匙)</v>
          </cell>
          <cell r="C1353" t="str">
            <v>件</v>
          </cell>
          <cell r="D1353">
            <v>160.689333954355</v>
          </cell>
          <cell r="E1353">
            <v>22.32</v>
          </cell>
        </row>
        <row r="1354">
          <cell r="A1354" t="str">
            <v>F0305007008</v>
          </cell>
          <cell r="B1354" t="str">
            <v>风机调速控制盒/含连接线</v>
          </cell>
          <cell r="C1354" t="str">
            <v>件</v>
          </cell>
          <cell r="D1354">
            <v>91.988821611551</v>
          </cell>
          <cell r="E1354">
            <v>12.78</v>
          </cell>
        </row>
        <row r="1355">
          <cell r="A1355" t="str">
            <v>F0309004009</v>
          </cell>
          <cell r="B1355" t="str">
            <v>按钮开关（风扇）/含插件/黑色</v>
          </cell>
          <cell r="C1355" t="str">
            <v>件</v>
          </cell>
          <cell r="D1355">
            <v>27.9459711224965</v>
          </cell>
          <cell r="E1355">
            <v>3.88</v>
          </cell>
        </row>
        <row r="1356">
          <cell r="A1356" t="str">
            <v>F0203013005</v>
          </cell>
          <cell r="B1356" t="str">
            <v>不锈钢卡箍/33-57</v>
          </cell>
          <cell r="C1356" t="str">
            <v>件</v>
          </cell>
          <cell r="D1356">
            <v>2.27061015370284</v>
          </cell>
          <cell r="E1356">
            <v>0.32</v>
          </cell>
        </row>
        <row r="1357">
          <cell r="A1357" t="str">
            <v>F0103019026</v>
          </cell>
          <cell r="B1357" t="str">
            <v>PVC三通</v>
          </cell>
          <cell r="C1357" t="str">
            <v>件</v>
          </cell>
          <cell r="D1357">
            <v>11.6441546343735</v>
          </cell>
          <cell r="E1357">
            <v>1.62</v>
          </cell>
        </row>
        <row r="1358">
          <cell r="A1358" t="str">
            <v>F0308035036</v>
          </cell>
          <cell r="B1358" t="str">
            <v>4寸带灯扬声器</v>
          </cell>
          <cell r="C1358" t="str">
            <v>件</v>
          </cell>
          <cell r="D1358">
            <v>102.468560782487</v>
          </cell>
          <cell r="E1358">
            <v>14.23</v>
          </cell>
        </row>
        <row r="1359">
          <cell r="A1359" t="str">
            <v>F0308035037</v>
          </cell>
          <cell r="B1359" t="str">
            <v>5寸带灯扬声器</v>
          </cell>
          <cell r="C1359" t="str">
            <v>件</v>
          </cell>
          <cell r="D1359">
            <v>131.578947368421</v>
          </cell>
          <cell r="E1359">
            <v>18.27</v>
          </cell>
        </row>
        <row r="1360">
          <cell r="A1360" t="str">
            <v>F0308035047</v>
          </cell>
          <cell r="B1360" t="str">
            <v>顶棚左侧灯条/2500mm</v>
          </cell>
          <cell r="C1360" t="str">
            <v>根</v>
          </cell>
          <cell r="D1360">
            <v>218.327899394504</v>
          </cell>
          <cell r="E1360">
            <v>30.32</v>
          </cell>
        </row>
        <row r="1361">
          <cell r="A1361" t="str">
            <v>F0308035048</v>
          </cell>
          <cell r="B1361" t="str">
            <v>顶棚右侧灯条/2500mm</v>
          </cell>
          <cell r="C1361" t="str">
            <v>根</v>
          </cell>
          <cell r="D1361">
            <v>218.327899394504</v>
          </cell>
          <cell r="E1361">
            <v>30.32</v>
          </cell>
        </row>
        <row r="1362">
          <cell r="A1362" t="str">
            <v>F0308035049</v>
          </cell>
          <cell r="B1362" t="str">
            <v>车底左侧前灯条/1150mm</v>
          </cell>
          <cell r="C1362" t="str">
            <v>根</v>
          </cell>
          <cell r="D1362">
            <v>100.139729855613</v>
          </cell>
          <cell r="E1362">
            <v>13.91</v>
          </cell>
        </row>
        <row r="1363">
          <cell r="A1363" t="str">
            <v>F0308035050</v>
          </cell>
          <cell r="B1363" t="str">
            <v>车底左侧后灯条/350mm</v>
          </cell>
          <cell r="C1363" t="str">
            <v>根</v>
          </cell>
          <cell r="D1363">
            <v>30.2748020493712</v>
          </cell>
          <cell r="E1363">
            <v>4.2</v>
          </cell>
        </row>
        <row r="1364">
          <cell r="A1364" t="str">
            <v>F0308035051</v>
          </cell>
          <cell r="B1364" t="str">
            <v>车底右侧前灯条/1150mm</v>
          </cell>
          <cell r="C1364" t="str">
            <v>根</v>
          </cell>
          <cell r="D1364">
            <v>100.139729855613</v>
          </cell>
          <cell r="E1364">
            <v>13.91</v>
          </cell>
        </row>
        <row r="1365">
          <cell r="A1365" t="str">
            <v>F0308035052</v>
          </cell>
          <cell r="B1365" t="str">
            <v>车底右侧后灯条/350mm</v>
          </cell>
          <cell r="C1365" t="str">
            <v>根</v>
          </cell>
          <cell r="D1365">
            <v>30.2748020493712</v>
          </cell>
          <cell r="E1365">
            <v>4.2</v>
          </cell>
        </row>
        <row r="1366">
          <cell r="A1366" t="str">
            <v>F0305021012</v>
          </cell>
          <cell r="B1366" t="str">
            <v>鼓风机</v>
          </cell>
          <cell r="C1366" t="str">
            <v>件</v>
          </cell>
          <cell r="D1366">
            <v>277.13088029809</v>
          </cell>
          <cell r="E1366">
            <v>38.49</v>
          </cell>
        </row>
        <row r="1367">
          <cell r="A1367" t="str">
            <v>F0103019030</v>
          </cell>
          <cell r="B1367" t="str">
            <v>阻燃PVC暖风波纹管(45*200)</v>
          </cell>
          <cell r="C1367" t="str">
            <v>根</v>
          </cell>
          <cell r="D1367">
            <v>2.44527247321844</v>
          </cell>
          <cell r="E1367">
            <v>0.34</v>
          </cell>
        </row>
        <row r="1368">
          <cell r="A1368" t="str">
            <v>F0103019031</v>
          </cell>
          <cell r="B1368" t="str">
            <v>阻燃PVC暖风波纹管(45*350)</v>
          </cell>
          <cell r="C1368" t="str">
            <v>根</v>
          </cell>
          <cell r="D1368">
            <v>2.85281788542152</v>
          </cell>
          <cell r="E1368">
            <v>0.4</v>
          </cell>
        </row>
        <row r="1369">
          <cell r="A1369" t="str">
            <v>Y0302001061</v>
          </cell>
          <cell r="B1369" t="str">
            <v>阻燃PVC暖风波纹管（45*500）</v>
          </cell>
          <cell r="C1369" t="str">
            <v>根</v>
          </cell>
          <cell r="D1369">
            <v>4.07545412203074</v>
          </cell>
          <cell r="E1369">
            <v>0.57</v>
          </cell>
        </row>
        <row r="1370">
          <cell r="A1370" t="str">
            <v>F2111000221</v>
          </cell>
          <cell r="B1370" t="str">
            <v>4+2座标准件</v>
          </cell>
          <cell r="C1370" t="str">
            <v>件</v>
          </cell>
          <cell r="D1370">
            <v>200.512342803912</v>
          </cell>
          <cell r="E1370">
            <v>27.85</v>
          </cell>
        </row>
        <row r="1371">
          <cell r="A1371" t="str">
            <v>F0103027136</v>
          </cell>
          <cell r="B1371" t="str">
            <v>4座S款成型地板革/SIVO</v>
          </cell>
          <cell r="C1371" t="str">
            <v>件</v>
          </cell>
          <cell r="D1371">
            <v>326.036329762459</v>
          </cell>
          <cell r="E1371">
            <v>45.28</v>
          </cell>
        </row>
        <row r="1372">
          <cell r="A1372" t="str">
            <v>F0103009054</v>
          </cell>
          <cell r="B1372" t="str">
            <v>S款前挡玻璃/4座/DOT</v>
          </cell>
          <cell r="C1372" t="str">
            <v>套</v>
          </cell>
          <cell r="D1372">
            <v>287.610619469027</v>
          </cell>
          <cell r="E1372">
            <v>39.95</v>
          </cell>
        </row>
        <row r="1373">
          <cell r="A1373" t="str">
            <v>F0203006058</v>
          </cell>
          <cell r="B1373" t="str">
            <v>V2制动硬油管中后</v>
          </cell>
          <cell r="C1373" t="str">
            <v>件</v>
          </cell>
          <cell r="D1373">
            <v>19.7601304145319</v>
          </cell>
          <cell r="E1373">
            <v>2.74</v>
          </cell>
        </row>
        <row r="1374">
          <cell r="A1374" t="str">
            <v>F0203006059</v>
          </cell>
          <cell r="B1374" t="str">
            <v>V2制动硬油管左后</v>
          </cell>
          <cell r="C1374" t="str">
            <v>件</v>
          </cell>
          <cell r="D1374">
            <v>19.5621797857476</v>
          </cell>
          <cell r="E1374">
            <v>2.72</v>
          </cell>
        </row>
        <row r="1375">
          <cell r="A1375" t="str">
            <v>F0203006060</v>
          </cell>
          <cell r="B1375" t="str">
            <v>V2制动硬油管右后</v>
          </cell>
          <cell r="C1375" t="str">
            <v>件</v>
          </cell>
          <cell r="D1375">
            <v>19.5621797857476</v>
          </cell>
          <cell r="E1375">
            <v>2.72</v>
          </cell>
        </row>
        <row r="1376">
          <cell r="A1376" t="str">
            <v>F0308007031</v>
          </cell>
          <cell r="B1376" t="str">
            <v>左后尾灯</v>
          </cell>
          <cell r="C1376" t="str">
            <v>件</v>
          </cell>
          <cell r="D1376">
            <v>87.3311597578016</v>
          </cell>
          <cell r="E1376">
            <v>12.13</v>
          </cell>
        </row>
        <row r="1377">
          <cell r="A1377" t="str">
            <v>F0308007032</v>
          </cell>
          <cell r="B1377" t="str">
            <v>右后尾灯</v>
          </cell>
          <cell r="C1377" t="str">
            <v>件</v>
          </cell>
          <cell r="D1377">
            <v>87.3311597578016</v>
          </cell>
          <cell r="E1377">
            <v>12.13</v>
          </cell>
        </row>
        <row r="1378">
          <cell r="A1378" t="str">
            <v>F0308002015</v>
          </cell>
          <cell r="B1378" t="str">
            <v>后轮眉转向灯 左</v>
          </cell>
          <cell r="C1378" t="str">
            <v>件</v>
          </cell>
          <cell r="D1378">
            <v>32.6036329762459</v>
          </cell>
          <cell r="E1378">
            <v>4.53</v>
          </cell>
        </row>
        <row r="1379">
          <cell r="A1379" t="str">
            <v>F0308002016</v>
          </cell>
          <cell r="B1379" t="str">
            <v>后轮眉转向灯 右</v>
          </cell>
          <cell r="C1379" t="str">
            <v>件</v>
          </cell>
          <cell r="D1379">
            <v>32.6036329762459</v>
          </cell>
          <cell r="E1379">
            <v>4.53</v>
          </cell>
        </row>
        <row r="1380">
          <cell r="A1380" t="str">
            <v>F0308035041</v>
          </cell>
          <cell r="B1380" t="str">
            <v>顶棚左侧灯条/1850mm</v>
          </cell>
          <cell r="C1380" t="str">
            <v>根</v>
          </cell>
          <cell r="D1380">
            <v>161.504424778761</v>
          </cell>
          <cell r="E1380">
            <v>22.43</v>
          </cell>
        </row>
        <row r="1381">
          <cell r="A1381" t="str">
            <v>F0308035042</v>
          </cell>
          <cell r="B1381" t="str">
            <v>顶棚右侧灯条/1850mm</v>
          </cell>
          <cell r="C1381" t="str">
            <v>根</v>
          </cell>
          <cell r="D1381">
            <v>161.504424778761</v>
          </cell>
          <cell r="E1381">
            <v>22.43</v>
          </cell>
        </row>
        <row r="1382">
          <cell r="A1382" t="str">
            <v>F0308035043</v>
          </cell>
          <cell r="B1382" t="str">
            <v>车底左侧前灯条/400mm</v>
          </cell>
          <cell r="C1382" t="str">
            <v>根</v>
          </cell>
          <cell r="D1382">
            <v>34.9324639031206</v>
          </cell>
          <cell r="E1382">
            <v>4.85</v>
          </cell>
        </row>
        <row r="1383">
          <cell r="A1383" t="str">
            <v>F0308035044</v>
          </cell>
          <cell r="B1383" t="str">
            <v>车底左侧后灯条/800mm</v>
          </cell>
          <cell r="C1383" t="str">
            <v>根</v>
          </cell>
          <cell r="D1383">
            <v>69.8649278062413</v>
          </cell>
          <cell r="E1383">
            <v>9.7</v>
          </cell>
        </row>
        <row r="1384">
          <cell r="A1384" t="str">
            <v>F0308035045</v>
          </cell>
          <cell r="B1384" t="str">
            <v>车底右侧前灯条/400mm</v>
          </cell>
          <cell r="C1384" t="str">
            <v>根</v>
          </cell>
          <cell r="D1384">
            <v>34.9324639031206</v>
          </cell>
          <cell r="E1384">
            <v>4.85</v>
          </cell>
        </row>
        <row r="1385">
          <cell r="A1385" t="str">
            <v>F0308035046</v>
          </cell>
          <cell r="B1385" t="str">
            <v>车底右侧后灯条/800mm</v>
          </cell>
          <cell r="C1385" t="str">
            <v>根</v>
          </cell>
          <cell r="D1385">
            <v>69.8649278062413</v>
          </cell>
          <cell r="E1385">
            <v>9.7</v>
          </cell>
        </row>
        <row r="1386">
          <cell r="A1386" t="str">
            <v>F2111000224</v>
          </cell>
          <cell r="B1386" t="str">
            <v>V2-4SA款标准件盒</v>
          </cell>
          <cell r="C1386" t="str">
            <v>件</v>
          </cell>
          <cell r="D1386">
            <v>166.220307405682</v>
          </cell>
          <cell r="E1386">
            <v>23.09</v>
          </cell>
        </row>
        <row r="1387">
          <cell r="A1387" t="str">
            <v>F0103027131</v>
          </cell>
          <cell r="B1387" t="str">
            <v>前地板垫</v>
          </cell>
          <cell r="C1387" t="str">
            <v>片</v>
          </cell>
          <cell r="D1387">
            <v>163.01816488123</v>
          </cell>
          <cell r="E1387">
            <v>22.64</v>
          </cell>
        </row>
        <row r="1388">
          <cell r="A1388" t="str">
            <v>F0103027132</v>
          </cell>
          <cell r="B1388" t="str">
            <v>后地板垫</v>
          </cell>
          <cell r="C1388" t="str">
            <v>片</v>
          </cell>
          <cell r="D1388">
            <v>163.01816488123</v>
          </cell>
          <cell r="E1388">
            <v>22.64</v>
          </cell>
        </row>
        <row r="1389">
          <cell r="A1389" t="str">
            <v>F0103035103</v>
          </cell>
          <cell r="B1389" t="str">
            <v>电池框橡胶板（毒液G款/570*544*3/配安装孔）</v>
          </cell>
          <cell r="C1389" t="str">
            <v>块</v>
          </cell>
          <cell r="D1389">
            <v>128.09</v>
          </cell>
          <cell r="E1389">
            <v>17.79</v>
          </cell>
        </row>
        <row r="1390">
          <cell r="A1390" t="str">
            <v>F0103035099</v>
          </cell>
          <cell r="B1390" t="str">
            <v>烟斗橡胶套/黑色</v>
          </cell>
          <cell r="C1390" t="str">
            <v>件</v>
          </cell>
          <cell r="D1390">
            <v>1.47</v>
          </cell>
          <cell r="E1390">
            <v>0.2</v>
          </cell>
        </row>
        <row r="1391">
          <cell r="A1391" t="str">
            <v>F210103010</v>
          </cell>
          <cell r="B1391" t="str">
            <v>内六角法兰面自攻钉(4.8*16）</v>
          </cell>
          <cell r="C1391" t="str">
            <v>件</v>
          </cell>
          <cell r="D1391">
            <v>0.14</v>
          </cell>
          <cell r="E1391">
            <v>0.02</v>
          </cell>
        </row>
        <row r="1392">
          <cell r="A1392" t="str">
            <v>F0102080003</v>
          </cell>
          <cell r="B1392" t="str">
            <v>加长侧护板 左</v>
          </cell>
          <cell r="C1392" t="str">
            <v>件</v>
          </cell>
          <cell r="D1392">
            <v>9.47</v>
          </cell>
          <cell r="E1392">
            <v>1.32</v>
          </cell>
        </row>
        <row r="1393">
          <cell r="A1393" t="str">
            <v>F0102080004</v>
          </cell>
          <cell r="B1393" t="str">
            <v>加长侧护板 右</v>
          </cell>
          <cell r="C1393" t="str">
            <v>件</v>
          </cell>
          <cell r="D1393">
            <v>9.47</v>
          </cell>
          <cell r="E1393">
            <v>1.32</v>
          </cell>
        </row>
        <row r="1394">
          <cell r="A1394" t="str">
            <v>Y0301007014</v>
          </cell>
          <cell r="B1394" t="str">
            <v>不锈钢平头内六角自攻钉</v>
          </cell>
          <cell r="C1394" t="str">
            <v>只</v>
          </cell>
          <cell r="D1394">
            <v>0.0209734513274336</v>
          </cell>
          <cell r="E1394">
            <v>0.01</v>
          </cell>
        </row>
        <row r="1395">
          <cell r="A1395" t="str">
            <v>F0102089097</v>
          </cell>
          <cell r="B1395" t="str">
            <v>靠背杯托堵盖</v>
          </cell>
          <cell r="C1395" t="str">
            <v>件</v>
          </cell>
          <cell r="D1395">
            <v>0.51</v>
          </cell>
          <cell r="E1395">
            <v>0.07</v>
          </cell>
        </row>
        <row r="1396">
          <cell r="A1396" t="str">
            <v>F99001043065</v>
          </cell>
          <cell r="B1396" t="str">
            <v>S款塑件开孔定位卡板</v>
          </cell>
          <cell r="C1396" t="str">
            <v>套</v>
          </cell>
          <cell r="D1396">
            <v>3097.34513274336</v>
          </cell>
          <cell r="E1396">
            <v>430.19</v>
          </cell>
        </row>
        <row r="1397">
          <cell r="A1397" t="str">
            <v>F2101013001</v>
          </cell>
          <cell r="B1397" t="str">
            <v>内六角沉头螺钉</v>
          </cell>
          <cell r="C1397" t="str">
            <v>只</v>
          </cell>
          <cell r="D1397">
            <v>0.132743362831858</v>
          </cell>
          <cell r="E1397">
            <v>0.02</v>
          </cell>
        </row>
        <row r="1398">
          <cell r="A1398" t="str">
            <v>F2101013002</v>
          </cell>
          <cell r="B1398" t="str">
            <v>内六角沉头螺钉</v>
          </cell>
          <cell r="C1398" t="str">
            <v>只</v>
          </cell>
          <cell r="D1398">
            <v>0.108407079646018</v>
          </cell>
          <cell r="E1398">
            <v>0.02</v>
          </cell>
        </row>
        <row r="1399">
          <cell r="A1399" t="str">
            <v>F2101043017</v>
          </cell>
          <cell r="B1399" t="str">
            <v>六角法兰面螺栓</v>
          </cell>
          <cell r="C1399" t="str">
            <v>只</v>
          </cell>
          <cell r="D1399">
            <v>0.147433628318584</v>
          </cell>
          <cell r="E1399">
            <v>0.02</v>
          </cell>
        </row>
        <row r="1400">
          <cell r="A1400" t="str">
            <v>F2101013010</v>
          </cell>
          <cell r="B1400" t="str">
            <v>内六角沉头螺钉</v>
          </cell>
          <cell r="C1400" t="str">
            <v>只</v>
          </cell>
          <cell r="D1400">
            <v>0.160442477876106</v>
          </cell>
          <cell r="E1400">
            <v>0.02</v>
          </cell>
        </row>
        <row r="1401">
          <cell r="A1401" t="str">
            <v>F2101027001</v>
          </cell>
          <cell r="B1401" t="str">
            <v>平头内六角自攻钉</v>
          </cell>
          <cell r="C1401" t="str">
            <v>只</v>
          </cell>
          <cell r="D1401">
            <v>0.0741592920353982</v>
          </cell>
          <cell r="E1401">
            <v>0.01</v>
          </cell>
        </row>
        <row r="1402">
          <cell r="A1402" t="str">
            <v>F2101021141</v>
          </cell>
          <cell r="B1402" t="str">
            <v>十字平底自攻钉</v>
          </cell>
          <cell r="C1402" t="str">
            <v>只</v>
          </cell>
          <cell r="D1402">
            <v>0.0507079646017699</v>
          </cell>
          <cell r="E1402">
            <v>0.01</v>
          </cell>
        </row>
        <row r="1403">
          <cell r="A1403" t="str">
            <v>F2101081026</v>
          </cell>
          <cell r="B1403" t="str">
            <v>平垫片(10)</v>
          </cell>
          <cell r="C1403" t="str">
            <v>只</v>
          </cell>
          <cell r="D1403">
            <v>0.079646017699115</v>
          </cell>
          <cell r="E1403">
            <v>0.01</v>
          </cell>
        </row>
        <row r="1404">
          <cell r="A1404" t="str">
            <v>F2101041028</v>
          </cell>
          <cell r="B1404" t="str">
            <v>不锈钢六角头螺栓</v>
          </cell>
          <cell r="C1404" t="str">
            <v>只</v>
          </cell>
          <cell r="D1404">
            <v>1.18761061946903</v>
          </cell>
          <cell r="E1404">
            <v>0.16</v>
          </cell>
        </row>
        <row r="1405">
          <cell r="A1405" t="str">
            <v>Y0301019034</v>
          </cell>
          <cell r="B1405" t="str">
            <v>不锈钢螺母</v>
          </cell>
          <cell r="C1405" t="str">
            <v>只</v>
          </cell>
          <cell r="D1405">
            <v>0.0449557522123894</v>
          </cell>
          <cell r="E1405">
            <v>0.01</v>
          </cell>
        </row>
        <row r="1406">
          <cell r="A1406" t="str">
            <v>Y0301021008</v>
          </cell>
          <cell r="B1406" t="str">
            <v>不锈钢弹垫</v>
          </cell>
          <cell r="C1406" t="str">
            <v>件</v>
          </cell>
          <cell r="D1406">
            <v>0.079646017699115</v>
          </cell>
          <cell r="E1406">
            <v>0.01</v>
          </cell>
        </row>
        <row r="1407">
          <cell r="A1407" t="str">
            <v>Y0301014026</v>
          </cell>
          <cell r="B1407" t="str">
            <v>不锈钢六角罗丝</v>
          </cell>
          <cell r="C1407" t="str">
            <v>只</v>
          </cell>
          <cell r="D1407">
            <v>0.767522123893805</v>
          </cell>
          <cell r="E1407">
            <v>0.11</v>
          </cell>
        </row>
        <row r="1408">
          <cell r="A1408" t="str">
            <v>F2101002015</v>
          </cell>
          <cell r="B1408" t="str">
            <v>十字槽沉头螺钉</v>
          </cell>
          <cell r="C1408" t="str">
            <v>5*16（黑梓，晋）</v>
          </cell>
          <cell r="D1408">
            <v>0.132743362831858</v>
          </cell>
          <cell r="E1408">
            <v>0.02</v>
          </cell>
        </row>
        <row r="1409">
          <cell r="A1409" t="str">
            <v>F2101002017</v>
          </cell>
          <cell r="B1409" t="str">
            <v>十字槽沉头螺钉</v>
          </cell>
          <cell r="C1409" t="str">
            <v>5*20 （普，黑梓）</v>
          </cell>
          <cell r="D1409">
            <v>0.15929203539823</v>
          </cell>
          <cell r="E1409">
            <v>0.02</v>
          </cell>
        </row>
        <row r="1410">
          <cell r="A1410" t="str">
            <v>Y030101104613</v>
          </cell>
          <cell r="B1410" t="str">
            <v>内六角平头罗丝（6*16）</v>
          </cell>
          <cell r="C1410" t="str">
            <v>普通镀黑梓</v>
          </cell>
          <cell r="D1410">
            <v>0.141592920353982</v>
          </cell>
          <cell r="E1410">
            <v>0.02</v>
          </cell>
        </row>
        <row r="1411">
          <cell r="A1411" t="str">
            <v>F2101081014</v>
          </cell>
          <cell r="B1411" t="str">
            <v>平垫片</v>
          </cell>
          <cell r="C1411" t="str">
            <v>M12</v>
          </cell>
          <cell r="D1411">
            <v>0.164159292035398</v>
          </cell>
          <cell r="E1411">
            <v>0.02</v>
          </cell>
        </row>
        <row r="1412">
          <cell r="A1412" t="str">
            <v>F2101083005</v>
          </cell>
          <cell r="B1412" t="str">
            <v>不锈钢弹垫</v>
          </cell>
          <cell r="C1412" t="str">
            <v>φ5</v>
          </cell>
          <cell r="D1412">
            <v>0.0398230088495575</v>
          </cell>
          <cell r="E1412">
            <v>0.01</v>
          </cell>
        </row>
        <row r="1413">
          <cell r="A1413" t="str">
            <v>Y0301019057</v>
          </cell>
          <cell r="B1413" t="str">
            <v>12*1.25罗母</v>
          </cell>
        </row>
        <row r="1413">
          <cell r="D1413">
            <v>0.216814159292035</v>
          </cell>
          <cell r="E1413">
            <v>0.03</v>
          </cell>
        </row>
        <row r="1414">
          <cell r="A1414" t="str">
            <v>F0199001034</v>
          </cell>
          <cell r="B1414" t="str">
            <v>色板</v>
          </cell>
          <cell r="C1414" t="str">
            <v>S-M-G-501</v>
          </cell>
          <cell r="D1414">
            <v>18.58</v>
          </cell>
          <cell r="E1414">
            <v>2.58</v>
          </cell>
        </row>
        <row r="1415">
          <cell r="A1415" t="str">
            <v>F0199001029</v>
          </cell>
          <cell r="B1415" t="str">
            <v>色板</v>
          </cell>
          <cell r="C1415" t="str">
            <v>S-PP-G-9003</v>
          </cell>
          <cell r="D1415">
            <v>18.58</v>
          </cell>
          <cell r="E1415">
            <v>2.58</v>
          </cell>
        </row>
        <row r="1416">
          <cell r="A1416" t="str">
            <v>F0199001056</v>
          </cell>
          <cell r="B1416" t="str">
            <v>色板</v>
          </cell>
          <cell r="C1416" t="str">
            <v>S-M-G-750-1</v>
          </cell>
          <cell r="D1416">
            <v>18.58</v>
          </cell>
          <cell r="E1416">
            <v>2.58</v>
          </cell>
        </row>
        <row r="1417">
          <cell r="A1417" t="str">
            <v>F0199001021</v>
          </cell>
          <cell r="B1417" t="str">
            <v>色板</v>
          </cell>
          <cell r="C1417" t="str">
            <v>S-PP-G-2017</v>
          </cell>
          <cell r="D1417">
            <v>18.58</v>
          </cell>
          <cell r="E1417">
            <v>2.58</v>
          </cell>
        </row>
        <row r="1418">
          <cell r="A1418" t="str">
            <v>F0199001027</v>
          </cell>
          <cell r="B1418" t="str">
            <v>色板</v>
          </cell>
          <cell r="C1418" t="str">
            <v>S-M-G-620-4</v>
          </cell>
          <cell r="D1418">
            <v>18.58</v>
          </cell>
          <cell r="E1418">
            <v>2.58</v>
          </cell>
        </row>
        <row r="1419">
          <cell r="A1419" t="str">
            <v>F0199001057</v>
          </cell>
          <cell r="B1419" t="str">
            <v>色板</v>
          </cell>
          <cell r="C1419" t="str">
            <v>S-P-G-6027</v>
          </cell>
          <cell r="D1419">
            <v>18.58</v>
          </cell>
          <cell r="E1419">
            <v>2.58</v>
          </cell>
        </row>
        <row r="1420">
          <cell r="A1420" t="str">
            <v>F0199001058</v>
          </cell>
          <cell r="B1420" t="str">
            <v>色板</v>
          </cell>
          <cell r="C1420" t="str">
            <v>S-M-G-5005</v>
          </cell>
          <cell r="D1420">
            <v>18.58</v>
          </cell>
          <cell r="E1420">
            <v>2.58</v>
          </cell>
        </row>
        <row r="1421">
          <cell r="A1421" t="str">
            <v>F0199001053</v>
          </cell>
          <cell r="B1421" t="str">
            <v>色板</v>
          </cell>
          <cell r="C1421" t="str">
            <v>S-M-G-440-M</v>
          </cell>
          <cell r="D1421">
            <v>18.58</v>
          </cell>
          <cell r="E1421">
            <v>2.58</v>
          </cell>
        </row>
        <row r="1422">
          <cell r="A1422" t="str">
            <v>F0199001032</v>
          </cell>
          <cell r="B1422" t="str">
            <v>色板</v>
          </cell>
          <cell r="C1422" t="str">
            <v>S-P-G-9017</v>
          </cell>
          <cell r="D1422">
            <v>18.58</v>
          </cell>
          <cell r="E1422">
            <v>2.58</v>
          </cell>
        </row>
        <row r="1423">
          <cell r="A1423" t="str">
            <v>F0199001026</v>
          </cell>
          <cell r="B1423" t="str">
            <v>色板</v>
          </cell>
          <cell r="C1423" t="str">
            <v>S-P-G-9016</v>
          </cell>
          <cell r="D1423">
            <v>18.58</v>
          </cell>
          <cell r="E1423">
            <v>2.58</v>
          </cell>
        </row>
        <row r="1424">
          <cell r="A1424" t="str">
            <v>F0199001013</v>
          </cell>
          <cell r="B1424" t="str">
            <v>色板</v>
          </cell>
          <cell r="C1424" t="str">
            <v>S-P-G-5012</v>
          </cell>
          <cell r="D1424">
            <v>18.58</v>
          </cell>
          <cell r="E1424">
            <v>2.58</v>
          </cell>
        </row>
        <row r="1425">
          <cell r="A1425" t="str">
            <v>F0199001014</v>
          </cell>
          <cell r="B1425" t="str">
            <v>色板</v>
          </cell>
          <cell r="C1425" t="str">
            <v>S-P-G-5018</v>
          </cell>
          <cell r="D1425">
            <v>18.58</v>
          </cell>
          <cell r="E1425">
            <v>2.58</v>
          </cell>
        </row>
        <row r="1426">
          <cell r="A1426" t="str">
            <v>F0199001022</v>
          </cell>
          <cell r="B1426" t="str">
            <v>色板</v>
          </cell>
          <cell r="C1426" t="str">
            <v>S-P-F-7011</v>
          </cell>
          <cell r="D1426">
            <v>18.58</v>
          </cell>
          <cell r="E1426">
            <v>2.58</v>
          </cell>
        </row>
        <row r="1427">
          <cell r="A1427" t="str">
            <v>F0199001017</v>
          </cell>
          <cell r="B1427" t="str">
            <v>色板</v>
          </cell>
          <cell r="C1427" t="str">
            <v>S-P-G-7004</v>
          </cell>
          <cell r="D1427">
            <v>18.58</v>
          </cell>
          <cell r="E1427">
            <v>2.58</v>
          </cell>
        </row>
        <row r="1428">
          <cell r="A1428" t="str">
            <v>F0199001009</v>
          </cell>
          <cell r="B1428" t="str">
            <v>色板</v>
          </cell>
          <cell r="C1428" t="str">
            <v>S-P-G-3000</v>
          </cell>
          <cell r="D1428">
            <v>18.58</v>
          </cell>
          <cell r="E1428">
            <v>2.58</v>
          </cell>
        </row>
        <row r="1429">
          <cell r="A1429" t="str">
            <v>F0199001012</v>
          </cell>
          <cell r="B1429" t="str">
            <v>色板</v>
          </cell>
          <cell r="C1429" t="str">
            <v>S-P-G-4010</v>
          </cell>
          <cell r="D1429">
            <v>18.58</v>
          </cell>
          <cell r="E1429">
            <v>2.58</v>
          </cell>
        </row>
        <row r="1430">
          <cell r="A1430" t="str">
            <v>F0199001018</v>
          </cell>
          <cell r="B1430" t="str">
            <v>色板</v>
          </cell>
          <cell r="C1430" t="str">
            <v>S-P-G-4007</v>
          </cell>
          <cell r="D1430">
            <v>18.58</v>
          </cell>
          <cell r="E1430">
            <v>2.58</v>
          </cell>
        </row>
        <row r="1431">
          <cell r="A1431" t="str">
            <v>F0199001059</v>
          </cell>
          <cell r="B1431" t="str">
            <v>色板</v>
          </cell>
          <cell r="C1431" t="str">
            <v>S-P-G-3004</v>
          </cell>
          <cell r="D1431">
            <v>18.58</v>
          </cell>
          <cell r="E1431">
            <v>2.58</v>
          </cell>
        </row>
        <row r="1432">
          <cell r="A1432" t="str">
            <v>F0199001035</v>
          </cell>
          <cell r="B1432" t="str">
            <v>色板</v>
          </cell>
          <cell r="C1432" t="str">
            <v>S-M-G-5026</v>
          </cell>
          <cell r="D1432">
            <v>18.58</v>
          </cell>
          <cell r="E1432">
            <v>2.58</v>
          </cell>
        </row>
        <row r="1433">
          <cell r="A1433" t="str">
            <v>F0199001015</v>
          </cell>
          <cell r="B1433" t="str">
            <v>色板</v>
          </cell>
          <cell r="C1433" t="str">
            <v>S-P-G-5026</v>
          </cell>
          <cell r="D1433">
            <v>18.58</v>
          </cell>
          <cell r="E1433">
            <v>2.58</v>
          </cell>
        </row>
        <row r="1434">
          <cell r="A1434" t="str">
            <v>F0199001023</v>
          </cell>
          <cell r="B1434" t="str">
            <v>色板</v>
          </cell>
          <cell r="C1434" t="str">
            <v>S-M-G-9022</v>
          </cell>
          <cell r="D1434">
            <v>18.58</v>
          </cell>
          <cell r="E1434">
            <v>2.58</v>
          </cell>
        </row>
        <row r="1435">
          <cell r="A1435" t="str">
            <v>F0199001036</v>
          </cell>
          <cell r="B1435" t="str">
            <v>色板</v>
          </cell>
          <cell r="C1435" t="str">
            <v>S-C-G-06</v>
          </cell>
          <cell r="D1435">
            <v>27.88</v>
          </cell>
          <cell r="E1435">
            <v>3.87</v>
          </cell>
        </row>
        <row r="1436">
          <cell r="A1436" t="str">
            <v>F0199001061</v>
          </cell>
          <cell r="B1436" t="str">
            <v>色板</v>
          </cell>
          <cell r="C1436" t="str">
            <v>S-P-F-9017</v>
          </cell>
          <cell r="D1436">
            <v>18.58</v>
          </cell>
          <cell r="E1436">
            <v>2.58</v>
          </cell>
        </row>
        <row r="1437">
          <cell r="A1437" t="str">
            <v>F0199001054</v>
          </cell>
          <cell r="B1437" t="str">
            <v>色板</v>
          </cell>
          <cell r="C1437" t="str">
            <v>S-P-F-11-0601</v>
          </cell>
          <cell r="D1437">
            <v>18.58</v>
          </cell>
          <cell r="E1437">
            <v>2.58</v>
          </cell>
        </row>
        <row r="1438">
          <cell r="A1438" t="str">
            <v>F0199001055</v>
          </cell>
          <cell r="B1438" t="str">
            <v>色板</v>
          </cell>
          <cell r="C1438" t="str">
            <v>S-P-F-187C</v>
          </cell>
          <cell r="D1438">
            <v>18.58</v>
          </cell>
          <cell r="E1438">
            <v>2.58</v>
          </cell>
        </row>
        <row r="1439">
          <cell r="A1439" t="str">
            <v>F0199001050</v>
          </cell>
          <cell r="B1439" t="str">
            <v>色板</v>
          </cell>
          <cell r="C1439" t="str">
            <v>S-P-F-CG4C</v>
          </cell>
          <cell r="D1439">
            <v>18.58</v>
          </cell>
          <cell r="E1439">
            <v>2.58</v>
          </cell>
        </row>
        <row r="1440">
          <cell r="A1440" t="str">
            <v>F0199001060</v>
          </cell>
          <cell r="B1440" t="str">
            <v>色板</v>
          </cell>
          <cell r="C1440" t="str">
            <v>S-P-F-9016</v>
          </cell>
          <cell r="D1440">
            <v>18.58</v>
          </cell>
          <cell r="E1440">
            <v>2.58</v>
          </cell>
        </row>
        <row r="1441">
          <cell r="A1441" t="str">
            <v>F0199001062</v>
          </cell>
          <cell r="B1441" t="str">
            <v>色板</v>
          </cell>
          <cell r="C1441" t="str">
            <v>S-P-F-9007</v>
          </cell>
          <cell r="D1441">
            <v>18.58</v>
          </cell>
          <cell r="E1441">
            <v>2.58</v>
          </cell>
        </row>
        <row r="1442">
          <cell r="A1442" t="str">
            <v>F0199001051</v>
          </cell>
          <cell r="B1442" t="str">
            <v>色板</v>
          </cell>
          <cell r="C1442" t="str">
            <v>S-M-P-1035</v>
          </cell>
          <cell r="D1442">
            <v>18.58</v>
          </cell>
          <cell r="E1442">
            <v>2.58</v>
          </cell>
        </row>
        <row r="1443">
          <cell r="A1443" t="str">
            <v>F0103015106</v>
          </cell>
          <cell r="B1443" t="str">
            <v>靠背蒙皮</v>
          </cell>
          <cell r="C1443" t="str">
            <v>V1G</v>
          </cell>
          <cell r="D1443">
            <v>151.37</v>
          </cell>
          <cell r="E1443">
            <v>21.02</v>
          </cell>
        </row>
        <row r="1444">
          <cell r="A1444" t="str">
            <v>F0103015107</v>
          </cell>
          <cell r="B1444" t="str">
            <v>坐垫蒙皮</v>
          </cell>
          <cell r="C1444" t="str">
            <v>V1G</v>
          </cell>
          <cell r="D1444">
            <v>151.37</v>
          </cell>
          <cell r="E1444">
            <v>21.02</v>
          </cell>
        </row>
        <row r="1445">
          <cell r="A1445" t="str">
            <v>F0304001570</v>
          </cell>
          <cell r="B1445" t="str">
            <v>WH2047K  4座球车锂电线束</v>
          </cell>
          <cell r="C1445" t="str">
            <v>凡已S1电控/ECO锂电/电磁制动/中控大屏速度仪表/旋钮档位器</v>
          </cell>
          <cell r="D1445">
            <v>590.43</v>
          </cell>
          <cell r="E1445">
            <v>82</v>
          </cell>
        </row>
        <row r="1446">
          <cell r="A1446" t="str">
            <v>F0203013013</v>
          </cell>
          <cell r="B1446" t="str">
            <v>强力全钢卡箍/16-18</v>
          </cell>
          <cell r="C1446" t="str">
            <v>件</v>
          </cell>
          <cell r="D1446">
            <v>2.92035398230088</v>
          </cell>
          <cell r="E1446">
            <v>0.41</v>
          </cell>
        </row>
        <row r="1447">
          <cell r="A1447" t="str">
            <v>F2101043020</v>
          </cell>
          <cell r="B1447" t="str">
            <v>六角法兰面螺栓</v>
          </cell>
          <cell r="C1447" t="str">
            <v>只</v>
          </cell>
          <cell r="D1447">
            <v>0.193628318584071</v>
          </cell>
          <cell r="E1447">
            <v>0.03</v>
          </cell>
        </row>
        <row r="1448">
          <cell r="A1448" t="str">
            <v>F99001043068</v>
          </cell>
          <cell r="B1448" t="str">
            <v>模具芯轴螺母及扳手</v>
          </cell>
          <cell r="C1448" t="str">
            <v>件</v>
          </cell>
          <cell r="D1448">
            <v>1274.33628318584</v>
          </cell>
          <cell r="E1448">
            <v>176.99</v>
          </cell>
        </row>
        <row r="1449">
          <cell r="A1449" t="str">
            <v>F0102089073</v>
          </cell>
          <cell r="B1449" t="str">
            <v>中座桶骨架</v>
          </cell>
          <cell r="C1449" t="str">
            <v>件</v>
          </cell>
          <cell r="D1449">
            <v>65.79</v>
          </cell>
          <cell r="E1449">
            <v>9.14</v>
          </cell>
        </row>
        <row r="1450">
          <cell r="A1450" t="str">
            <v>F0102089083</v>
          </cell>
          <cell r="B1450" t="str">
            <v>前排靠背骨架</v>
          </cell>
          <cell r="C1450" t="str">
            <v>件</v>
          </cell>
          <cell r="D1450">
            <v>78.05</v>
          </cell>
          <cell r="E1450">
            <v>10.84</v>
          </cell>
        </row>
        <row r="1451">
          <cell r="A1451" t="str">
            <v>F0102089084</v>
          </cell>
          <cell r="B1451" t="str">
            <v>后排靠背骨架</v>
          </cell>
          <cell r="C1451" t="str">
            <v>件</v>
          </cell>
          <cell r="D1451">
            <v>64.42</v>
          </cell>
          <cell r="E1451">
            <v>8.95</v>
          </cell>
        </row>
        <row r="1452">
          <cell r="A1452" t="str">
            <v>F0102089077</v>
          </cell>
          <cell r="B1452" t="str">
            <v>顶棚U形骨架</v>
          </cell>
          <cell r="C1452" t="str">
            <v>件</v>
          </cell>
          <cell r="D1452">
            <v>73.21</v>
          </cell>
          <cell r="E1452">
            <v>10.17</v>
          </cell>
        </row>
        <row r="1453">
          <cell r="A1453" t="str">
            <v>F0102089085</v>
          </cell>
          <cell r="B1453" t="str">
            <v>牌照灯支架</v>
          </cell>
          <cell r="C1453" t="str">
            <v>件</v>
          </cell>
          <cell r="D1453">
            <v>22.12</v>
          </cell>
          <cell r="E1453">
            <v>3.07</v>
          </cell>
        </row>
        <row r="1454">
          <cell r="A1454" t="str">
            <v>F0102080010</v>
          </cell>
          <cell r="B1454" t="str">
            <v>座椅桶支架/含保险盒支架</v>
          </cell>
          <cell r="C1454" t="str">
            <v>件</v>
          </cell>
          <cell r="D1454">
            <v>25.31</v>
          </cell>
          <cell r="E1454">
            <v>3.52</v>
          </cell>
        </row>
        <row r="1455">
          <cell r="A1455" t="str">
            <v>F0102089090</v>
          </cell>
          <cell r="B1455" t="str">
            <v>铁质侧踏板 左</v>
          </cell>
          <cell r="C1455" t="str">
            <v>件</v>
          </cell>
          <cell r="D1455">
            <v>176.99</v>
          </cell>
          <cell r="E1455">
            <v>24.58</v>
          </cell>
        </row>
        <row r="1456">
          <cell r="A1456" t="str">
            <v>F0102089091</v>
          </cell>
          <cell r="B1456" t="str">
            <v>铁质侧踏板 右</v>
          </cell>
          <cell r="C1456" t="str">
            <v>件</v>
          </cell>
          <cell r="D1456">
            <v>176.99</v>
          </cell>
          <cell r="E1456">
            <v>24.58</v>
          </cell>
        </row>
        <row r="1457">
          <cell r="A1457" t="str">
            <v>F0102080008</v>
          </cell>
          <cell r="B1457" t="str">
            <v>充电机/氛围灯CAN控盒支架</v>
          </cell>
          <cell r="C1457" t="str">
            <v>件</v>
          </cell>
          <cell r="D1457">
            <v>28.32</v>
          </cell>
          <cell r="E1457">
            <v>3.93</v>
          </cell>
        </row>
        <row r="1458">
          <cell r="A1458" t="str">
            <v>Y0301012016</v>
          </cell>
          <cell r="B1458" t="str">
            <v>半圆头内六角螺丝</v>
          </cell>
          <cell r="C1458" t="str">
            <v>只</v>
          </cell>
          <cell r="D1458">
            <v>0.127787610619469</v>
          </cell>
          <cell r="E1458">
            <v>0.02</v>
          </cell>
        </row>
        <row r="1459">
          <cell r="A1459" t="str">
            <v>F2101022009</v>
          </cell>
          <cell r="B1459" t="str">
            <v>十字槽沉头自攻钉</v>
          </cell>
          <cell r="C1459" t="str">
            <v>只</v>
          </cell>
          <cell r="D1459">
            <v>0.0476991150442478</v>
          </cell>
          <cell r="E1459">
            <v>0.01</v>
          </cell>
        </row>
        <row r="1460">
          <cell r="A1460" t="str">
            <v>F2101043006</v>
          </cell>
          <cell r="B1460" t="str">
            <v>六角法兰面螺栓</v>
          </cell>
          <cell r="C1460" t="str">
            <v>只</v>
          </cell>
          <cell r="D1460">
            <v>0.1</v>
          </cell>
          <cell r="E1460">
            <v>0.01</v>
          </cell>
        </row>
        <row r="1461">
          <cell r="A1461" t="str">
            <v>F3104000392</v>
          </cell>
          <cell r="B1461" t="str">
            <v>弯管模</v>
          </cell>
          <cell r="C1461" t="str">
            <v>付</v>
          </cell>
          <cell r="D1461" t="e">
            <v>#REF!</v>
          </cell>
          <cell r="E1461" t="e">
            <v>#REF!</v>
          </cell>
        </row>
        <row r="1462">
          <cell r="A1462" t="str">
            <v>F2111000225</v>
          </cell>
          <cell r="B1462" t="str">
            <v>V2-4SK款标准件盒</v>
          </cell>
          <cell r="C1462" t="str">
            <v>盒</v>
          </cell>
          <cell r="D1462">
            <v>166.51</v>
          </cell>
          <cell r="E1462">
            <v>23.13</v>
          </cell>
        </row>
        <row r="1463">
          <cell r="A1463" t="str">
            <v>F0103020036</v>
          </cell>
          <cell r="B1463" t="str">
            <v>左前挡泥板/S款球车</v>
          </cell>
          <cell r="C1463" t="str">
            <v>件</v>
          </cell>
          <cell r="D1463">
            <v>44.73</v>
          </cell>
          <cell r="E1463">
            <v>6.21</v>
          </cell>
        </row>
        <row r="1464">
          <cell r="A1464" t="str">
            <v>F0103020037</v>
          </cell>
          <cell r="B1464" t="str">
            <v>右前挡泥板/S款球车</v>
          </cell>
          <cell r="C1464" t="str">
            <v>件</v>
          </cell>
          <cell r="D1464">
            <v>44.73</v>
          </cell>
          <cell r="E1464">
            <v>6.21</v>
          </cell>
        </row>
        <row r="1465">
          <cell r="A1465" t="str">
            <v>F0102077529</v>
          </cell>
          <cell r="B1465" t="str">
            <v>靠背支架-左</v>
          </cell>
          <cell r="C1465" t="str">
            <v>件</v>
          </cell>
          <cell r="D1465">
            <v>61.95</v>
          </cell>
          <cell r="E1465">
            <v>8.6</v>
          </cell>
        </row>
        <row r="1466">
          <cell r="A1466" t="str">
            <v>F0102077530</v>
          </cell>
          <cell r="B1466" t="str">
            <v>靠背支架-右</v>
          </cell>
          <cell r="C1466" t="str">
            <v>件</v>
          </cell>
          <cell r="D1466">
            <v>61.95</v>
          </cell>
          <cell r="E1466">
            <v>8.6</v>
          </cell>
        </row>
        <row r="1467">
          <cell r="A1467" t="str">
            <v>F0102077528</v>
          </cell>
          <cell r="B1467" t="str">
            <v>2座牌照灯支架</v>
          </cell>
          <cell r="C1467" t="str">
            <v>件</v>
          </cell>
          <cell r="D1467">
            <v>22.12</v>
          </cell>
          <cell r="E1467">
            <v>3.07</v>
          </cell>
        </row>
        <row r="1468">
          <cell r="A1468" t="str">
            <v>F0103014331</v>
          </cell>
          <cell r="B1468" t="str">
            <v>座椅靠背</v>
          </cell>
          <cell r="C1468" t="str">
            <v>件</v>
          </cell>
          <cell r="D1468">
            <v>565.91</v>
          </cell>
          <cell r="E1468">
            <v>78.6</v>
          </cell>
        </row>
        <row r="1469">
          <cell r="A1469" t="str">
            <v>F0102063065</v>
          </cell>
          <cell r="B1469" t="str">
            <v>左前侧护板</v>
          </cell>
          <cell r="C1469" t="str">
            <v>件</v>
          </cell>
          <cell r="D1469">
            <v>9.47</v>
          </cell>
          <cell r="E1469">
            <v>1.32</v>
          </cell>
        </row>
        <row r="1470">
          <cell r="A1470" t="str">
            <v>F0102063066</v>
          </cell>
          <cell r="B1470" t="str">
            <v>右前侧护板</v>
          </cell>
          <cell r="C1470" t="str">
            <v>件</v>
          </cell>
          <cell r="D1470">
            <v>9.47</v>
          </cell>
          <cell r="E1470">
            <v>1.32</v>
          </cell>
        </row>
        <row r="1471">
          <cell r="A1471" t="str">
            <v>F0102063502</v>
          </cell>
          <cell r="B1471" t="str">
            <v>前挡板/电泳、喷塑</v>
          </cell>
          <cell r="C1471" t="str">
            <v>件</v>
          </cell>
          <cell r="D1471">
            <v>16.94</v>
          </cell>
          <cell r="E1471">
            <v>2.35</v>
          </cell>
        </row>
        <row r="1472">
          <cell r="A1472" t="str">
            <v>F0102081509</v>
          </cell>
          <cell r="B1472" t="str">
            <v>方向机安装支架</v>
          </cell>
          <cell r="C1472" t="str">
            <v>件</v>
          </cell>
          <cell r="D1472">
            <v>18.37</v>
          </cell>
          <cell r="E1472">
            <v>2.55</v>
          </cell>
        </row>
        <row r="1473">
          <cell r="A1473" t="str">
            <v>F0102086528</v>
          </cell>
          <cell r="B1473" t="str">
            <v>后摄像头支架1/小草帽/电泳、喷塑</v>
          </cell>
          <cell r="C1473" t="str">
            <v>件</v>
          </cell>
          <cell r="D1473">
            <v>3.79</v>
          </cell>
          <cell r="E1473">
            <v>0.53</v>
          </cell>
        </row>
        <row r="1474">
          <cell r="A1474" t="str">
            <v>F0102081526</v>
          </cell>
          <cell r="B1474" t="str">
            <v>充电插座加强版</v>
          </cell>
          <cell r="C1474" t="str">
            <v>件</v>
          </cell>
          <cell r="D1474">
            <v>2.28</v>
          </cell>
          <cell r="E1474">
            <v>0.32</v>
          </cell>
        </row>
        <row r="1475">
          <cell r="A1475" t="str">
            <v>F0102081501</v>
          </cell>
          <cell r="B1475" t="str">
            <v>顶棚前支架</v>
          </cell>
          <cell r="C1475" t="str">
            <v>件</v>
          </cell>
          <cell r="D1475">
            <v>47.37</v>
          </cell>
          <cell r="E1475">
            <v>6.58</v>
          </cell>
        </row>
        <row r="1476">
          <cell r="A1476" t="str">
            <v>F0102081510</v>
          </cell>
          <cell r="B1476" t="str">
            <v>顶棚加强梁</v>
          </cell>
          <cell r="C1476" t="str">
            <v>件</v>
          </cell>
          <cell r="D1476">
            <v>21.07</v>
          </cell>
          <cell r="E1476">
            <v>2.93</v>
          </cell>
        </row>
        <row r="1477">
          <cell r="A1477" t="str">
            <v>F0102077501</v>
          </cell>
          <cell r="B1477" t="str">
            <v>前保支架</v>
          </cell>
          <cell r="C1477" t="str">
            <v>件</v>
          </cell>
          <cell r="D1477">
            <v>2.02</v>
          </cell>
          <cell r="E1477">
            <v>0.28</v>
          </cell>
        </row>
        <row r="1478">
          <cell r="A1478" t="str">
            <v>F0102081527</v>
          </cell>
          <cell r="B1478" t="str">
            <v>J款球车铁制前保险杠</v>
          </cell>
          <cell r="C1478" t="str">
            <v>件</v>
          </cell>
          <cell r="D1478">
            <v>207.42</v>
          </cell>
          <cell r="E1478">
            <v>28.81</v>
          </cell>
        </row>
        <row r="1479">
          <cell r="A1479" t="str">
            <v>F0102077502</v>
          </cell>
          <cell r="B1479" t="str">
            <v>前保险杠/J款打猎车</v>
          </cell>
          <cell r="C1479" t="str">
            <v>件</v>
          </cell>
          <cell r="D1479">
            <v>207.42</v>
          </cell>
          <cell r="E1479">
            <v>28.81</v>
          </cell>
        </row>
        <row r="1480">
          <cell r="A1480" t="str">
            <v>F0103009060</v>
          </cell>
          <cell r="B1480" t="str">
            <v>下合页衬套</v>
          </cell>
          <cell r="C1480" t="str">
            <v>件</v>
          </cell>
          <cell r="D1480">
            <v>1.05</v>
          </cell>
          <cell r="E1480">
            <v>0.15</v>
          </cell>
        </row>
        <row r="1481">
          <cell r="A1481" t="str">
            <v>F0103009061</v>
          </cell>
          <cell r="B1481" t="str">
            <v>前档限位块</v>
          </cell>
          <cell r="C1481" t="str">
            <v>件</v>
          </cell>
          <cell r="D1481">
            <v>4.08</v>
          </cell>
          <cell r="E1481">
            <v>0.57</v>
          </cell>
        </row>
        <row r="1482">
          <cell r="A1482" t="str">
            <v>F2111000216</v>
          </cell>
          <cell r="B1482" t="str">
            <v>4+2座标准件</v>
          </cell>
          <cell r="C1482" t="str">
            <v>盒</v>
          </cell>
          <cell r="D1482">
            <v>199.12</v>
          </cell>
          <cell r="E1482">
            <v>27.66</v>
          </cell>
        </row>
        <row r="1483">
          <cell r="A1483" t="str">
            <v>F0307004011</v>
          </cell>
          <cell r="B1483" t="str">
            <v>扬声器网罩/带氛围灯/亚光黑</v>
          </cell>
          <cell r="C1483" t="str">
            <v>件</v>
          </cell>
          <cell r="D1483">
            <v>3.49</v>
          </cell>
          <cell r="E1483">
            <v>0.48</v>
          </cell>
        </row>
        <row r="1484">
          <cell r="A1484" t="str">
            <v>F0103009058</v>
          </cell>
          <cell r="B1484" t="str">
            <v>G款4座合页玻璃/卡扣式色</v>
          </cell>
          <cell r="C1484" t="str">
            <v>套</v>
          </cell>
          <cell r="D1484">
            <v>291.99</v>
          </cell>
          <cell r="E1484">
            <v>40.55</v>
          </cell>
        </row>
        <row r="1485">
          <cell r="A1485" t="str">
            <v>F0103009059</v>
          </cell>
          <cell r="B1485" t="str">
            <v>前档玻璃卡槽</v>
          </cell>
          <cell r="C1485" t="str">
            <v>件</v>
          </cell>
          <cell r="D1485">
            <v>5.82</v>
          </cell>
          <cell r="E1485">
            <v>0.81</v>
          </cell>
        </row>
        <row r="1486">
          <cell r="A1486" t="str">
            <v>F2101043015</v>
          </cell>
          <cell r="B1486" t="str">
            <v>六角法兰面螺丝</v>
          </cell>
          <cell r="C1486" t="str">
            <v>只</v>
          </cell>
          <cell r="D1486">
            <v>0.111061946902655</v>
          </cell>
          <cell r="E1486">
            <v>0.02</v>
          </cell>
        </row>
        <row r="1487">
          <cell r="A1487" t="str">
            <v>F2101032001</v>
          </cell>
          <cell r="B1487" t="str">
            <v>十字平头自攻钉（4.2*13）</v>
          </cell>
          <cell r="C1487" t="str">
            <v>件</v>
          </cell>
          <cell r="D1487">
            <v>0.1</v>
          </cell>
          <cell r="E1487">
            <v>0.01</v>
          </cell>
        </row>
        <row r="1488">
          <cell r="A1488" t="str">
            <v>F0201003112</v>
          </cell>
          <cell r="B1488" t="str">
            <v>后桥总成/电磁驻车/碟刹制动器</v>
          </cell>
          <cell r="C1488" t="str">
            <v>件</v>
          </cell>
          <cell r="D1488">
            <v>1566.13879832324</v>
          </cell>
          <cell r="E1488">
            <v>217.52</v>
          </cell>
        </row>
        <row r="1489">
          <cell r="A1489" t="str">
            <v>F0204001011.1</v>
          </cell>
          <cell r="B1489" t="str">
            <v>特色方向盘/款式见图片</v>
          </cell>
          <cell r="C1489" t="str">
            <v>件</v>
          </cell>
          <cell r="D1489">
            <v>98.9753143921751</v>
          </cell>
          <cell r="E1489">
            <v>13.75</v>
          </cell>
        </row>
        <row r="1490">
          <cell r="A1490" t="str">
            <v>F0204002034</v>
          </cell>
          <cell r="B1490" t="str">
            <v>转向轴管</v>
          </cell>
          <cell r="C1490" t="str">
            <v>件</v>
          </cell>
          <cell r="D1490">
            <v>93.1532370749884</v>
          </cell>
          <cell r="E1490">
            <v>12.94</v>
          </cell>
        </row>
        <row r="1491">
          <cell r="A1491" t="str">
            <v>F0102045042</v>
          </cell>
          <cell r="B1491" t="str">
            <v>轴管护套（方向管柱护套）</v>
          </cell>
          <cell r="C1491" t="str">
            <v>件</v>
          </cell>
          <cell r="D1491">
            <v>8.61667442943642</v>
          </cell>
          <cell r="E1491">
            <v>1.2</v>
          </cell>
        </row>
        <row r="1492">
          <cell r="A1492" t="str">
            <v>F0204004037</v>
          </cell>
          <cell r="B1492" t="str">
            <v>转向下轴</v>
          </cell>
          <cell r="C1492" t="str">
            <v>件</v>
          </cell>
          <cell r="D1492">
            <v>61.783884489986</v>
          </cell>
          <cell r="E1492">
            <v>8.58</v>
          </cell>
        </row>
        <row r="1493">
          <cell r="A1493" t="str">
            <v>Y0316020008</v>
          </cell>
          <cell r="B1493" t="str">
            <v>离合器油管(内径10mm)</v>
          </cell>
          <cell r="C1493" t="str">
            <v>件</v>
          </cell>
          <cell r="D1493">
            <v>13.4722869119702</v>
          </cell>
          <cell r="E1493">
            <v>1.87</v>
          </cell>
        </row>
        <row r="1494">
          <cell r="A1494" t="str">
            <v>F0102076003</v>
          </cell>
          <cell r="B1494" t="str">
            <v>前罩</v>
          </cell>
          <cell r="C1494" t="str">
            <v>件</v>
          </cell>
          <cell r="D1494">
            <v>95.4703539823009</v>
          </cell>
          <cell r="E1494">
            <v>13.26</v>
          </cell>
        </row>
        <row r="1495">
          <cell r="A1495" t="str">
            <v>F0102076006</v>
          </cell>
          <cell r="B1495" t="str">
            <v>前立柱护套左</v>
          </cell>
          <cell r="C1495" t="str">
            <v>件</v>
          </cell>
          <cell r="D1495">
            <v>1.34336283185841</v>
          </cell>
          <cell r="E1495">
            <v>0.19</v>
          </cell>
        </row>
        <row r="1496">
          <cell r="A1496" t="str">
            <v>F0102076007</v>
          </cell>
          <cell r="B1496" t="str">
            <v>前立柱护套右</v>
          </cell>
          <cell r="C1496" t="str">
            <v>件</v>
          </cell>
          <cell r="D1496">
            <v>1.34336283185841</v>
          </cell>
          <cell r="E1496">
            <v>0.19</v>
          </cell>
        </row>
        <row r="1497">
          <cell r="A1497" t="str">
            <v>F0102076030</v>
          </cell>
          <cell r="B1497" t="str">
            <v>仪表台</v>
          </cell>
          <cell r="C1497" t="str">
            <v>件</v>
          </cell>
          <cell r="D1497">
            <v>54.6606194690265</v>
          </cell>
          <cell r="E1497">
            <v>7.59</v>
          </cell>
        </row>
        <row r="1498">
          <cell r="A1498" t="str">
            <v>F0103027137</v>
          </cell>
          <cell r="B1498" t="str">
            <v>2座B款成型地板革</v>
          </cell>
          <cell r="C1498" t="str">
            <v>件</v>
          </cell>
          <cell r="D1498">
            <v>163.01816488123</v>
          </cell>
          <cell r="E1498">
            <v>22.64</v>
          </cell>
        </row>
        <row r="1499">
          <cell r="A1499" t="str">
            <v>F0102076016</v>
          </cell>
          <cell r="B1499" t="str">
            <v>前中网-大</v>
          </cell>
          <cell r="C1499" t="str">
            <v>件</v>
          </cell>
          <cell r="D1499">
            <v>18.7358407079646</v>
          </cell>
          <cell r="E1499">
            <v>2.6</v>
          </cell>
        </row>
        <row r="1500">
          <cell r="A1500" t="str">
            <v>F0102076017</v>
          </cell>
          <cell r="B1500" t="str">
            <v>前中网-小</v>
          </cell>
          <cell r="C1500" t="str">
            <v>件</v>
          </cell>
          <cell r="D1500">
            <v>9.40353982300885</v>
          </cell>
          <cell r="E1500">
            <v>1.31</v>
          </cell>
        </row>
        <row r="1501">
          <cell r="A1501" t="str">
            <v>F0102079008</v>
          </cell>
          <cell r="B1501" t="str">
            <v>左后侧护板</v>
          </cell>
          <cell r="C1501" t="str">
            <v>件</v>
          </cell>
          <cell r="D1501">
            <v>6.76769911504425</v>
          </cell>
          <cell r="E1501">
            <v>0.94</v>
          </cell>
        </row>
        <row r="1502">
          <cell r="A1502" t="str">
            <v>F0102079010</v>
          </cell>
          <cell r="B1502" t="str">
            <v>侧护板盖帽/卡扣式</v>
          </cell>
          <cell r="C1502" t="str">
            <v>件</v>
          </cell>
          <cell r="D1502">
            <v>0.0407079646017699</v>
          </cell>
          <cell r="E1502">
            <v>0.01</v>
          </cell>
        </row>
        <row r="1503">
          <cell r="A1503" t="str">
            <v>F0102047005</v>
          </cell>
          <cell r="B1503" t="str">
            <v>顶棚</v>
          </cell>
          <cell r="C1503" t="str">
            <v>件</v>
          </cell>
          <cell r="D1503">
            <v>395.58</v>
          </cell>
          <cell r="E1503">
            <v>54.94</v>
          </cell>
        </row>
        <row r="1504">
          <cell r="A1504" t="str">
            <v>F0102047007</v>
          </cell>
          <cell r="B1504" t="str">
            <v>顶棚拉手</v>
          </cell>
          <cell r="C1504" t="str">
            <v>件</v>
          </cell>
          <cell r="D1504">
            <v>2.50442477876106</v>
          </cell>
          <cell r="E1504">
            <v>0.35</v>
          </cell>
        </row>
        <row r="1505">
          <cell r="A1505" t="str">
            <v>F0102045112</v>
          </cell>
          <cell r="B1505" t="str">
            <v>顶棚后支架/降低后移</v>
          </cell>
          <cell r="C1505" t="str">
            <v>件</v>
          </cell>
          <cell r="D1505">
            <v>10.929203539823</v>
          </cell>
          <cell r="E1505">
            <v>1.52</v>
          </cell>
        </row>
        <row r="1506">
          <cell r="A1506" t="str">
            <v>F0102045146</v>
          </cell>
          <cell r="B1506" t="str">
            <v>橡胶垫片</v>
          </cell>
          <cell r="C1506" t="str">
            <v>件</v>
          </cell>
          <cell r="D1506">
            <v>0.420353982300885</v>
          </cell>
          <cell r="E1506">
            <v>0.06</v>
          </cell>
        </row>
        <row r="1507">
          <cell r="A1507" t="str">
            <v>F0103035051</v>
          </cell>
          <cell r="B1507" t="str">
            <v>硅胶垫片</v>
          </cell>
          <cell r="C1507" t="str">
            <v>件</v>
          </cell>
          <cell r="D1507">
            <v>0.232883092687471</v>
          </cell>
          <cell r="E1507">
            <v>0.03</v>
          </cell>
        </row>
        <row r="1508">
          <cell r="A1508" t="str">
            <v>F0102045084</v>
          </cell>
          <cell r="B1508" t="str">
            <v>球童拉手</v>
          </cell>
          <cell r="C1508" t="str">
            <v>件</v>
          </cell>
          <cell r="D1508">
            <v>8.58</v>
          </cell>
          <cell r="E1508">
            <v>1.19</v>
          </cell>
        </row>
        <row r="1509">
          <cell r="A1509" t="str">
            <v>F0102074005</v>
          </cell>
          <cell r="B1509" t="str">
            <v>顶棚加强梁</v>
          </cell>
          <cell r="C1509" t="str">
            <v>件</v>
          </cell>
          <cell r="D1509">
            <v>15.59</v>
          </cell>
          <cell r="E1509">
            <v>2.17</v>
          </cell>
        </row>
        <row r="1510">
          <cell r="A1510" t="str">
            <v>F0103009014</v>
          </cell>
          <cell r="B1510" t="str">
            <v>前挡玻璃/4座/DOT</v>
          </cell>
          <cell r="C1510" t="str">
            <v>件</v>
          </cell>
          <cell r="D1510">
            <v>279.459711224965</v>
          </cell>
          <cell r="E1510">
            <v>38.81</v>
          </cell>
        </row>
        <row r="1511">
          <cell r="A1511" t="str">
            <v>F0103020028</v>
          </cell>
          <cell r="B1511" t="str">
            <v>左前挡泥板/Y款球车</v>
          </cell>
          <cell r="C1511" t="str">
            <v>件</v>
          </cell>
          <cell r="D1511">
            <v>33.3805309734513</v>
          </cell>
          <cell r="E1511">
            <v>4.64</v>
          </cell>
        </row>
        <row r="1512">
          <cell r="A1512" t="str">
            <v>F0103020029</v>
          </cell>
          <cell r="B1512" t="str">
            <v>右前挡泥板/Y款球车</v>
          </cell>
          <cell r="C1512" t="str">
            <v>件</v>
          </cell>
          <cell r="D1512">
            <v>33.3805309734513</v>
          </cell>
          <cell r="E1512">
            <v>4.64</v>
          </cell>
        </row>
        <row r="1513">
          <cell r="A1513" t="str">
            <v>F0199002065</v>
          </cell>
          <cell r="B1513" t="str">
            <v>点火锁钥匙Logo</v>
          </cell>
          <cell r="C1513" t="str">
            <v>件</v>
          </cell>
          <cell r="D1513">
            <v>0.116441546343735</v>
          </cell>
          <cell r="E1513">
            <v>0.02</v>
          </cell>
        </row>
        <row r="1514">
          <cell r="A1514" t="str">
            <v>F0199002064</v>
          </cell>
          <cell r="B1514" t="str">
            <v>方向盘Logo</v>
          </cell>
          <cell r="C1514" t="str">
            <v>件</v>
          </cell>
          <cell r="D1514">
            <v>0.442477876106195</v>
          </cell>
          <cell r="E1514">
            <v>0.06</v>
          </cell>
        </row>
        <row r="1515">
          <cell r="A1515" t="str">
            <v>F0199002156</v>
          </cell>
          <cell r="B1515" t="str">
            <v>时钟安装孔Logo</v>
          </cell>
          <cell r="C1515" t="str">
            <v>件</v>
          </cell>
          <cell r="D1515">
            <v>4.65766185374942</v>
          </cell>
          <cell r="E1515">
            <v>0.65</v>
          </cell>
        </row>
        <row r="1516">
          <cell r="A1516" t="str">
            <v>F0302012149</v>
          </cell>
          <cell r="B1516" t="str">
            <v>锂电电控/球车/锂电池/CAN</v>
          </cell>
          <cell r="C1516" t="str">
            <v>件</v>
          </cell>
          <cell r="D1516">
            <v>1306.47414997671</v>
          </cell>
          <cell r="E1516">
            <v>181.45</v>
          </cell>
        </row>
        <row r="1517">
          <cell r="A1517" t="str">
            <v>F0308010007</v>
          </cell>
          <cell r="B1517" t="str">
            <v>中网位置灯左</v>
          </cell>
          <cell r="C1517" t="str">
            <v>件</v>
          </cell>
          <cell r="D1517">
            <v>27.9459711224965</v>
          </cell>
          <cell r="E1517">
            <v>3.88</v>
          </cell>
        </row>
        <row r="1518">
          <cell r="A1518" t="str">
            <v>F0308010008</v>
          </cell>
          <cell r="B1518" t="str">
            <v>中网位置灯右</v>
          </cell>
          <cell r="C1518" t="str">
            <v>件</v>
          </cell>
          <cell r="D1518">
            <v>27.9459711224965</v>
          </cell>
          <cell r="E1518">
            <v>3.88</v>
          </cell>
        </row>
        <row r="1519">
          <cell r="A1519" t="str">
            <v>F0308001045</v>
          </cell>
          <cell r="B1519" t="str">
            <v>前大灯左</v>
          </cell>
          <cell r="C1519" t="str">
            <v>件</v>
          </cell>
          <cell r="D1519">
            <v>192.128551467163</v>
          </cell>
          <cell r="E1519">
            <v>26.68</v>
          </cell>
        </row>
        <row r="1520">
          <cell r="A1520" t="str">
            <v>F0308001046</v>
          </cell>
          <cell r="B1520" t="str">
            <v>前大灯右</v>
          </cell>
          <cell r="C1520" t="str">
            <v>件</v>
          </cell>
          <cell r="D1520">
            <v>192.128551467163</v>
          </cell>
          <cell r="E1520">
            <v>26.68</v>
          </cell>
        </row>
        <row r="1521">
          <cell r="A1521" t="str">
            <v>F0309001102</v>
          </cell>
          <cell r="B1521" t="str">
            <v>组合开关/单柄</v>
          </cell>
          <cell r="C1521" t="str">
            <v>件</v>
          </cell>
          <cell r="D1521">
            <v>31.4392175128086</v>
          </cell>
          <cell r="E1521">
            <v>4.37</v>
          </cell>
        </row>
        <row r="1522">
          <cell r="A1522" t="str">
            <v>F0102049014</v>
          </cell>
          <cell r="B1522" t="str">
            <v>组合开关罩前</v>
          </cell>
          <cell r="C1522" t="str">
            <v>件</v>
          </cell>
          <cell r="D1522">
            <v>8.09070796460177</v>
          </cell>
          <cell r="E1522">
            <v>1.12</v>
          </cell>
        </row>
        <row r="1523">
          <cell r="A1523" t="str">
            <v>F0102049015</v>
          </cell>
          <cell r="B1523" t="str">
            <v>组合开关罩后</v>
          </cell>
          <cell r="C1523" t="str">
            <v>件</v>
          </cell>
          <cell r="D1523">
            <v>5.64823008849558</v>
          </cell>
          <cell r="E1523">
            <v>0.78</v>
          </cell>
        </row>
        <row r="1524">
          <cell r="A1524" t="str">
            <v>F0203013008</v>
          </cell>
          <cell r="B1524" t="str">
            <v>组合开关抱箍</v>
          </cell>
          <cell r="C1524" t="str">
            <v>件</v>
          </cell>
          <cell r="D1524">
            <v>1.39729855612483</v>
          </cell>
          <cell r="E1524">
            <v>0.19</v>
          </cell>
        </row>
        <row r="1525">
          <cell r="A1525" t="str">
            <v>F0308031112</v>
          </cell>
          <cell r="B1525" t="str">
            <v>组合仪表/CAN</v>
          </cell>
          <cell r="C1525" t="str">
            <v>件</v>
          </cell>
          <cell r="D1525">
            <v>159.524918490918</v>
          </cell>
          <cell r="E1525">
            <v>22.16</v>
          </cell>
        </row>
        <row r="1526">
          <cell r="A1526" t="str">
            <v>F0309003009</v>
          </cell>
          <cell r="B1526" t="str">
            <v>翘板开关/档位/圆弧面/带指示灯</v>
          </cell>
          <cell r="C1526" t="str">
            <v>件</v>
          </cell>
          <cell r="D1526">
            <v>13.3558453656265</v>
          </cell>
          <cell r="E1526">
            <v>1.85</v>
          </cell>
        </row>
        <row r="1527">
          <cell r="A1527" t="str">
            <v>F0307001041</v>
          </cell>
          <cell r="B1527" t="str">
            <v>10.1寸多功能仪表中控屏/带电池</v>
          </cell>
          <cell r="C1527" t="str">
            <v>件</v>
          </cell>
          <cell r="D1527">
            <v>812.761993479273</v>
          </cell>
          <cell r="E1527">
            <v>112.88</v>
          </cell>
        </row>
        <row r="1528">
          <cell r="A1528" t="str">
            <v>F0309002207</v>
          </cell>
          <cell r="B1528" t="str">
            <v>电锁开关</v>
          </cell>
          <cell r="C1528" t="str">
            <v>件</v>
          </cell>
          <cell r="D1528">
            <v>28.5281788542152</v>
          </cell>
          <cell r="E1528">
            <v>3.96</v>
          </cell>
        </row>
        <row r="1529">
          <cell r="A1529" t="str">
            <v>F0308035053</v>
          </cell>
          <cell r="B1529" t="str">
            <v>整车氛围灯总成（不含喇叭罩电镀件、导光件和座椅靠背灯、侧围灯）</v>
          </cell>
          <cell r="C1529" t="str">
            <v>件</v>
          </cell>
          <cell r="D1529">
            <v>628.784350256171</v>
          </cell>
          <cell r="E1529">
            <v>87.33</v>
          </cell>
        </row>
        <row r="1530">
          <cell r="A1530" t="str">
            <v>F0103035099</v>
          </cell>
          <cell r="B1530" t="str">
            <v>烟斗橡胶套/黑色</v>
          </cell>
          <cell r="C1530" t="str">
            <v>件</v>
          </cell>
          <cell r="D1530">
            <v>1.47</v>
          </cell>
          <cell r="E1530">
            <v>0.2</v>
          </cell>
        </row>
        <row r="1531">
          <cell r="A1531" t="str">
            <v>F2111000193</v>
          </cell>
          <cell r="B1531" t="str">
            <v>4+2座Y款标准件盒</v>
          </cell>
          <cell r="C1531" t="str">
            <v>件</v>
          </cell>
          <cell r="D1531">
            <v>132.568700512343</v>
          </cell>
          <cell r="E1531">
            <v>18.41</v>
          </cell>
        </row>
        <row r="1532">
          <cell r="A1532" t="str">
            <v>F0102077001</v>
          </cell>
          <cell r="B1532" t="str">
            <v>车架总成/双横臂球车/2座J款</v>
          </cell>
          <cell r="C1532" t="str">
            <v>件</v>
          </cell>
          <cell r="D1532">
            <v>1088.49557522124</v>
          </cell>
          <cell r="E1532">
            <v>151.18</v>
          </cell>
        </row>
        <row r="1533">
          <cell r="A1533" t="str">
            <v>F0102081511</v>
          </cell>
          <cell r="B1533" t="str">
            <v>底座骨架总成</v>
          </cell>
          <cell r="C1533" t="str">
            <v>件</v>
          </cell>
          <cell r="D1533">
            <v>104.331268436578</v>
          </cell>
          <cell r="E1533">
            <v>14.49</v>
          </cell>
        </row>
        <row r="1534">
          <cell r="A1534" t="str">
            <v>F0102081515</v>
          </cell>
          <cell r="B1534" t="str">
            <v>后扶手</v>
          </cell>
          <cell r="C1534" t="str">
            <v>件</v>
          </cell>
          <cell r="D1534">
            <v>45.7970501474926</v>
          </cell>
          <cell r="E1534">
            <v>6.36</v>
          </cell>
        </row>
        <row r="1535">
          <cell r="A1535" t="str">
            <v>F0102077514</v>
          </cell>
          <cell r="B1535" t="str">
            <v>顶棚U型骨架</v>
          </cell>
          <cell r="C1535" t="str">
            <v>件</v>
          </cell>
          <cell r="D1535">
            <v>105.870206489676</v>
          </cell>
          <cell r="E1535">
            <v>14.7</v>
          </cell>
        </row>
        <row r="1536">
          <cell r="A1536" t="str">
            <v>F0102077506</v>
          </cell>
          <cell r="B1536" t="str">
            <v>电池框</v>
          </cell>
          <cell r="C1536" t="str">
            <v>件</v>
          </cell>
          <cell r="D1536">
            <v>129.008849557522</v>
          </cell>
          <cell r="E1536">
            <v>17.92</v>
          </cell>
        </row>
        <row r="1537">
          <cell r="A1537" t="str">
            <v>F0102081514</v>
          </cell>
          <cell r="B1537" t="str">
            <v>踏板骨架总成</v>
          </cell>
          <cell r="C1537" t="str">
            <v>件</v>
          </cell>
          <cell r="D1537">
            <v>147.301474926254</v>
          </cell>
          <cell r="E1537">
            <v>20.46</v>
          </cell>
        </row>
        <row r="1538">
          <cell r="A1538" t="str">
            <v>F0102045502</v>
          </cell>
          <cell r="B1538" t="str">
            <v>下底板/电泳、喷塑</v>
          </cell>
          <cell r="C1538" t="str">
            <v>件</v>
          </cell>
          <cell r="D1538">
            <v>24.3501474926254</v>
          </cell>
          <cell r="E1538">
            <v>3.38</v>
          </cell>
        </row>
        <row r="1539">
          <cell r="A1539" t="str">
            <v>F0102047503</v>
          </cell>
          <cell r="B1539" t="str">
            <v>座椅桶支架/电泳、喷塑</v>
          </cell>
          <cell r="C1539" t="str">
            <v>件</v>
          </cell>
          <cell r="D1539">
            <v>22.2327433628319</v>
          </cell>
          <cell r="E1539">
            <v>3.09</v>
          </cell>
        </row>
        <row r="1540">
          <cell r="A1540" t="str">
            <v>F0102047504</v>
          </cell>
          <cell r="B1540" t="str">
            <v>前中排安全带支架/电泳、喷塑</v>
          </cell>
          <cell r="C1540" t="str">
            <v>件</v>
          </cell>
          <cell r="D1540">
            <v>15.5094395280236</v>
          </cell>
          <cell r="E1540">
            <v>2.15</v>
          </cell>
        </row>
        <row r="1541">
          <cell r="A1541" t="str">
            <v>F0102081512</v>
          </cell>
          <cell r="B1541" t="str">
            <v>脚踏板连接梁 左</v>
          </cell>
          <cell r="C1541" t="str">
            <v>件</v>
          </cell>
          <cell r="D1541">
            <v>11.4492625368732</v>
          </cell>
          <cell r="E1541">
            <v>1.59</v>
          </cell>
        </row>
        <row r="1542">
          <cell r="A1542" t="str">
            <v>F0102081513</v>
          </cell>
          <cell r="B1542" t="str">
            <v>脚踏板连接梁 右</v>
          </cell>
          <cell r="C1542" t="str">
            <v>件</v>
          </cell>
          <cell r="D1542">
            <v>11.4492625368732</v>
          </cell>
          <cell r="E1542">
            <v>1.59</v>
          </cell>
        </row>
        <row r="1543">
          <cell r="A1543" t="str">
            <v>F0102081516</v>
          </cell>
          <cell r="B1543" t="str">
            <v>后摄像头支架1</v>
          </cell>
          <cell r="C1543" t="str">
            <v>件</v>
          </cell>
          <cell r="D1543">
            <v>1.64808259587021</v>
          </cell>
          <cell r="E1543">
            <v>0.23</v>
          </cell>
        </row>
        <row r="1544">
          <cell r="A1544" t="str">
            <v>F0102081517</v>
          </cell>
          <cell r="B1544" t="str">
            <v>后摄像头支架2</v>
          </cell>
          <cell r="C1544" t="str">
            <v>件</v>
          </cell>
          <cell r="D1544">
            <v>1.47345132743363</v>
          </cell>
          <cell r="E1544">
            <v>0.2</v>
          </cell>
        </row>
        <row r="1545">
          <cell r="A1545" t="str">
            <v>F0102077507</v>
          </cell>
          <cell r="B1545" t="str">
            <v>靠背支架 左</v>
          </cell>
          <cell r="C1545" t="str">
            <v>件</v>
          </cell>
          <cell r="D1545">
            <v>5.1188790560472</v>
          </cell>
          <cell r="E1545">
            <v>0.71</v>
          </cell>
        </row>
        <row r="1546">
          <cell r="A1546" t="str">
            <v>F0102077508</v>
          </cell>
          <cell r="B1546" t="str">
            <v>靠背支架 右</v>
          </cell>
          <cell r="C1546" t="str">
            <v>件</v>
          </cell>
          <cell r="D1546">
            <v>5.1188790560472</v>
          </cell>
          <cell r="E1546">
            <v>0.71</v>
          </cell>
        </row>
        <row r="1547">
          <cell r="A1547" t="str">
            <v>F0102077509</v>
          </cell>
          <cell r="B1547" t="str">
            <v>后靠背安装座 左</v>
          </cell>
          <cell r="C1547" t="str">
            <v>件</v>
          </cell>
          <cell r="D1547">
            <v>35.1227138643068</v>
          </cell>
          <cell r="E1547">
            <v>4.88</v>
          </cell>
        </row>
        <row r="1548">
          <cell r="A1548" t="str">
            <v>F0102077510</v>
          </cell>
          <cell r="B1548" t="str">
            <v>后靠背安装座 右</v>
          </cell>
          <cell r="C1548" t="str">
            <v>件</v>
          </cell>
          <cell r="D1548">
            <v>35.1227138643068</v>
          </cell>
          <cell r="E1548">
            <v>4.88</v>
          </cell>
        </row>
        <row r="1549">
          <cell r="A1549" t="str">
            <v>F0102077522</v>
          </cell>
          <cell r="B1549" t="str">
            <v>后靠背支架 左</v>
          </cell>
          <cell r="C1549" t="str">
            <v>件</v>
          </cell>
          <cell r="D1549">
            <v>7.86902654867257</v>
          </cell>
          <cell r="E1549">
            <v>1.09</v>
          </cell>
        </row>
        <row r="1550">
          <cell r="A1550" t="str">
            <v>F0102077523</v>
          </cell>
          <cell r="B1550" t="str">
            <v>后靠背支架 右</v>
          </cell>
          <cell r="C1550" t="str">
            <v>件</v>
          </cell>
          <cell r="D1550">
            <v>7.86902654867257</v>
          </cell>
          <cell r="E1550">
            <v>1.09</v>
          </cell>
        </row>
        <row r="1551">
          <cell r="A1551" t="str">
            <v>F0102081518</v>
          </cell>
          <cell r="B1551" t="str">
            <v>电控调试接口安装板</v>
          </cell>
          <cell r="C1551" t="str">
            <v>件</v>
          </cell>
          <cell r="D1551">
            <v>1.09144542772861</v>
          </cell>
          <cell r="E1551">
            <v>0.15</v>
          </cell>
        </row>
        <row r="1552">
          <cell r="A1552" t="str">
            <v>F0199002093</v>
          </cell>
          <cell r="B1552" t="str">
            <v>高尔夫铭牌</v>
          </cell>
          <cell r="C1552" t="str">
            <v>件</v>
          </cell>
          <cell r="D1552">
            <v>5.5891942244993</v>
          </cell>
          <cell r="E1552">
            <v>0.78</v>
          </cell>
        </row>
        <row r="1553">
          <cell r="A1553" t="str">
            <v>F0102081001</v>
          </cell>
          <cell r="B1553" t="str">
            <v>车架总成/双横臂球车/4座J款</v>
          </cell>
          <cell r="C1553" t="str">
            <v>件</v>
          </cell>
          <cell r="D1553">
            <v>1292.03539823009</v>
          </cell>
          <cell r="E1553">
            <v>179.45</v>
          </cell>
        </row>
        <row r="1554">
          <cell r="A1554" t="str">
            <v>F0102064501</v>
          </cell>
          <cell r="B1554" t="str">
            <v>中座框/电泳、喷塑</v>
          </cell>
          <cell r="C1554" t="str">
            <v>件</v>
          </cell>
          <cell r="D1554">
            <v>65.7453982300885</v>
          </cell>
          <cell r="E1554">
            <v>9.13</v>
          </cell>
        </row>
        <row r="1555">
          <cell r="A1555" t="str">
            <v>F0102081502</v>
          </cell>
          <cell r="B1555" t="str">
            <v>顶棚U形骨架</v>
          </cell>
          <cell r="C1555" t="str">
            <v>件</v>
          </cell>
          <cell r="D1555">
            <v>113.837758112094</v>
          </cell>
          <cell r="E1555">
            <v>15.81</v>
          </cell>
        </row>
        <row r="1556">
          <cell r="A1556" t="str">
            <v>F0102077511</v>
          </cell>
          <cell r="B1556" t="str">
            <v>中桶靠背支架 左</v>
          </cell>
          <cell r="C1556" t="str">
            <v>件</v>
          </cell>
          <cell r="D1556">
            <v>36.4106194690265</v>
          </cell>
          <cell r="E1556">
            <v>5.06</v>
          </cell>
        </row>
        <row r="1557">
          <cell r="A1557" t="str">
            <v>F0102077512</v>
          </cell>
          <cell r="B1557" t="str">
            <v>中桶靠背支架 右</v>
          </cell>
          <cell r="C1557" t="str">
            <v>件</v>
          </cell>
          <cell r="D1557">
            <v>36.4106194690265</v>
          </cell>
          <cell r="E1557">
            <v>5.06</v>
          </cell>
        </row>
        <row r="1558">
          <cell r="A1558" t="str">
            <v>F0102081508</v>
          </cell>
          <cell r="B1558" t="str">
            <v>下底板</v>
          </cell>
          <cell r="C1558" t="str">
            <v>件</v>
          </cell>
          <cell r="D1558">
            <v>60.0294985250737</v>
          </cell>
          <cell r="E1558">
            <v>8.34</v>
          </cell>
        </row>
        <row r="1559">
          <cell r="A1559" t="str">
            <v>F0304001537</v>
          </cell>
          <cell r="B1559" t="str">
            <v>WH202LK  2座球车ECO锂电线束(含闪光器）</v>
          </cell>
          <cell r="C1559" t="str">
            <v>套</v>
          </cell>
          <cell r="D1559">
            <v>585.36</v>
          </cell>
          <cell r="E1559">
            <v>81.3</v>
          </cell>
        </row>
        <row r="1560">
          <cell r="A1560" t="str">
            <v>F0102086040</v>
          </cell>
          <cell r="B1560" t="str">
            <v>前排靠背内饰板</v>
          </cell>
          <cell r="C1560" t="str">
            <v>件</v>
          </cell>
          <cell r="D1560">
            <v>32.06</v>
          </cell>
          <cell r="E1560">
            <v>4.45</v>
          </cell>
        </row>
        <row r="1561">
          <cell r="A1561" t="str">
            <v>F0102077051</v>
          </cell>
          <cell r="B1561" t="str">
            <v>靠背支架-左</v>
          </cell>
          <cell r="C1561" t="str">
            <v>件</v>
          </cell>
          <cell r="D1561">
            <v>61.95</v>
          </cell>
          <cell r="E1561">
            <v>8.6</v>
          </cell>
        </row>
        <row r="1562">
          <cell r="A1562" t="str">
            <v>F0102077052</v>
          </cell>
          <cell r="B1562" t="str">
            <v>靠背支架-右</v>
          </cell>
          <cell r="C1562" t="str">
            <v>件</v>
          </cell>
          <cell r="D1562">
            <v>61.95</v>
          </cell>
          <cell r="E1562">
            <v>8.6</v>
          </cell>
        </row>
        <row r="1563">
          <cell r="A1563" t="str">
            <v>F0199001073</v>
          </cell>
          <cell r="B1563" t="str">
            <v>S-PP-G-7004</v>
          </cell>
          <cell r="C1563" t="str">
            <v>件</v>
          </cell>
          <cell r="D1563">
            <v>29.11</v>
          </cell>
          <cell r="E1563">
            <v>4.04</v>
          </cell>
        </row>
        <row r="1564">
          <cell r="A1564" t="str">
            <v>F2101032006</v>
          </cell>
          <cell r="B1564" t="str">
            <v>十字平头自攻螺钉</v>
          </cell>
          <cell r="C1564" t="str">
            <v>只</v>
          </cell>
          <cell r="D1564">
            <v>0.14353982300885</v>
          </cell>
          <cell r="E1564">
            <v>0.02</v>
          </cell>
        </row>
        <row r="1565">
          <cell r="A1565" t="str">
            <v>Y0410024021435</v>
          </cell>
          <cell r="B1565" t="str">
            <v>仪表台上弯管梁（Y款）</v>
          </cell>
          <cell r="C1565" t="str">
            <v>件</v>
          </cell>
          <cell r="D1565">
            <v>70.7964601769912</v>
          </cell>
          <cell r="E1565">
            <v>9.83</v>
          </cell>
        </row>
        <row r="1566">
          <cell r="A1566" t="str">
            <v>Y0410024021436</v>
          </cell>
          <cell r="B1566" t="str">
            <v>仪表台上纵梁（Y款）</v>
          </cell>
          <cell r="C1566" t="str">
            <v>件</v>
          </cell>
          <cell r="D1566">
            <v>8.8495575221239</v>
          </cell>
          <cell r="E1566">
            <v>1.23</v>
          </cell>
        </row>
        <row r="1567">
          <cell r="A1567" t="str">
            <v>Y0301025025</v>
          </cell>
          <cell r="B1567" t="str">
            <v>塑胶卡扣</v>
          </cell>
          <cell r="C1567" t="str">
            <v>只</v>
          </cell>
          <cell r="D1567">
            <v>0.146367023754075</v>
          </cell>
          <cell r="E1567">
            <v>0.02</v>
          </cell>
        </row>
        <row r="1568">
          <cell r="A1568" t="str">
            <v>F0102076033</v>
          </cell>
          <cell r="B1568" t="str">
            <v>左杂物盒盖</v>
          </cell>
          <cell r="C1568" t="str">
            <v>件</v>
          </cell>
          <cell r="D1568">
            <v>2.33053097345133</v>
          </cell>
          <cell r="E1568">
            <v>0.32</v>
          </cell>
        </row>
        <row r="1569">
          <cell r="A1569" t="str">
            <v>F0102076034</v>
          </cell>
          <cell r="B1569" t="str">
            <v>右杂物盒盖</v>
          </cell>
          <cell r="C1569" t="str">
            <v>件</v>
          </cell>
          <cell r="D1569">
            <v>2.33053097345133</v>
          </cell>
          <cell r="E1569">
            <v>0.32</v>
          </cell>
        </row>
        <row r="1570">
          <cell r="A1570" t="str">
            <v>F0102076026</v>
          </cell>
          <cell r="B1570" t="str">
            <v>中控开关面板</v>
          </cell>
          <cell r="C1570" t="str">
            <v>件</v>
          </cell>
          <cell r="D1570">
            <v>2.35088495575221</v>
          </cell>
          <cell r="E1570">
            <v>0.33</v>
          </cell>
        </row>
        <row r="1571">
          <cell r="A1571" t="str">
            <v>F0102076018</v>
          </cell>
          <cell r="B1571" t="str">
            <v>方向管柱套</v>
          </cell>
          <cell r="C1571" t="str">
            <v>件</v>
          </cell>
          <cell r="D1571">
            <v>1.8216814159292</v>
          </cell>
          <cell r="E1571">
            <v>0.25</v>
          </cell>
        </row>
        <row r="1572">
          <cell r="A1572" t="str">
            <v>F0102076014</v>
          </cell>
          <cell r="B1572" t="str">
            <v>左前侧护板</v>
          </cell>
          <cell r="C1572" t="str">
            <v>只</v>
          </cell>
          <cell r="D1572">
            <v>11.3676991150442</v>
          </cell>
          <cell r="E1572">
            <v>1.58</v>
          </cell>
        </row>
        <row r="1573">
          <cell r="A1573" t="str">
            <v>F0102076015</v>
          </cell>
          <cell r="B1573" t="str">
            <v>右前侧护板</v>
          </cell>
          <cell r="C1573" t="str">
            <v>只</v>
          </cell>
          <cell r="D1573">
            <v>11.3676991150442</v>
          </cell>
          <cell r="E1573">
            <v>1.58</v>
          </cell>
        </row>
        <row r="1574">
          <cell r="A1574" t="str">
            <v>F0102076027</v>
          </cell>
          <cell r="B1574" t="str">
            <v>附件电器座</v>
          </cell>
          <cell r="C1574" t="str">
            <v>件</v>
          </cell>
          <cell r="D1574">
            <v>5.66858407079646</v>
          </cell>
          <cell r="E1574">
            <v>0.79</v>
          </cell>
        </row>
        <row r="1575">
          <cell r="A1575" t="str">
            <v>F0102076031</v>
          </cell>
          <cell r="B1575" t="str">
            <v>左杂物盒</v>
          </cell>
          <cell r="C1575" t="str">
            <v>只</v>
          </cell>
          <cell r="D1575">
            <v>6.21814159292035</v>
          </cell>
          <cell r="E1575">
            <v>0.86</v>
          </cell>
        </row>
        <row r="1576">
          <cell r="A1576" t="str">
            <v>F0102076032</v>
          </cell>
          <cell r="B1576" t="str">
            <v>右杂物盒</v>
          </cell>
          <cell r="C1576" t="str">
            <v>只</v>
          </cell>
          <cell r="D1576">
            <v>6.21814159292035</v>
          </cell>
          <cell r="E1576">
            <v>0.86</v>
          </cell>
        </row>
        <row r="1577">
          <cell r="A1577" t="str">
            <v>F0199002158</v>
          </cell>
          <cell r="B1577" t="str">
            <v>金属前标</v>
          </cell>
          <cell r="C1577" t="str">
            <v>件</v>
          </cell>
          <cell r="D1577">
            <v>20</v>
          </cell>
          <cell r="E1577">
            <v>2.78</v>
          </cell>
        </row>
        <row r="1578">
          <cell r="A1578" t="str">
            <v>F0199002159</v>
          </cell>
          <cell r="B1578" t="str">
            <v>金属侧标</v>
          </cell>
          <cell r="C1578" t="str">
            <v>件</v>
          </cell>
          <cell r="D1578">
            <v>20</v>
          </cell>
          <cell r="E1578">
            <v>2.78</v>
          </cell>
        </row>
        <row r="1579">
          <cell r="A1579" t="str">
            <v>F0102076008</v>
          </cell>
          <cell r="B1579" t="str">
            <v>前保险杠</v>
          </cell>
          <cell r="C1579" t="str">
            <v>只</v>
          </cell>
          <cell r="D1579">
            <v>13.4438053097345</v>
          </cell>
          <cell r="E1579">
            <v>1.87</v>
          </cell>
        </row>
        <row r="1580">
          <cell r="A1580" t="str">
            <v>F2101022001</v>
          </cell>
          <cell r="B1580" t="str">
            <v>十字槽平头自攻螺丝</v>
          </cell>
          <cell r="C1580" t="str">
            <v>件</v>
          </cell>
          <cell r="D1580">
            <v>0.044014904517932</v>
          </cell>
          <cell r="E1580">
            <v>0.01</v>
          </cell>
        </row>
        <row r="1581">
          <cell r="A1581" t="str">
            <v>Y0301001025</v>
          </cell>
          <cell r="B1581" t="str">
            <v>平头螺丝</v>
          </cell>
          <cell r="C1581" t="str">
            <v>只</v>
          </cell>
          <cell r="D1581">
            <v>0.0591523055426176</v>
          </cell>
          <cell r="E1581">
            <v>0.01</v>
          </cell>
        </row>
        <row r="1582">
          <cell r="A1582" t="str">
            <v>F2101186001</v>
          </cell>
          <cell r="B1582" t="str">
            <v>外六角十字法兰螺栓</v>
          </cell>
          <cell r="C1582" t="str">
            <v>只</v>
          </cell>
          <cell r="D1582">
            <v>0.169422449930135</v>
          </cell>
          <cell r="E1582">
            <v>0.02</v>
          </cell>
        </row>
        <row r="1583">
          <cell r="A1583" t="str">
            <v>Y0301001027</v>
          </cell>
          <cell r="B1583" t="str">
            <v>平头螺丝</v>
          </cell>
          <cell r="C1583" t="str">
            <v>只</v>
          </cell>
          <cell r="D1583">
            <v>0.0604331625523987</v>
          </cell>
          <cell r="E1583">
            <v>0.01</v>
          </cell>
        </row>
        <row r="1584">
          <cell r="A1584" t="str">
            <v>F2101001010</v>
          </cell>
          <cell r="B1584" t="str">
            <v>不锈钢十字槽盘头螺钉</v>
          </cell>
          <cell r="C1584" t="str">
            <v>只</v>
          </cell>
          <cell r="D1584">
            <v>0.554494643688868</v>
          </cell>
          <cell r="E1584">
            <v>0.08</v>
          </cell>
        </row>
        <row r="1585">
          <cell r="A1585" t="str">
            <v>Y0301013013</v>
          </cell>
          <cell r="B1585" t="str">
            <v>法兰面六角罗丝</v>
          </cell>
          <cell r="C1585" t="str">
            <v>只</v>
          </cell>
          <cell r="D1585">
            <v>0.346879366557988</v>
          </cell>
          <cell r="E1585">
            <v>0.05</v>
          </cell>
        </row>
        <row r="1586">
          <cell r="A1586" t="str">
            <v>Y0301004008</v>
          </cell>
          <cell r="B1586" t="str">
            <v>不锈钢十字槽沉头螺钉</v>
          </cell>
          <cell r="C1586" t="str">
            <v>只</v>
          </cell>
          <cell r="D1586">
            <v>0.436190032603633</v>
          </cell>
          <cell r="E1586">
            <v>0.06</v>
          </cell>
        </row>
        <row r="1587">
          <cell r="A1587" t="str">
            <v>Y0301008004</v>
          </cell>
          <cell r="B1587" t="str">
            <v>不锈钢圆头自攻罗丝</v>
          </cell>
          <cell r="C1587" t="str">
            <v>只</v>
          </cell>
          <cell r="D1587">
            <v>0.215999068467629</v>
          </cell>
          <cell r="E1587">
            <v>0.03</v>
          </cell>
        </row>
        <row r="1588">
          <cell r="A1588" t="str">
            <v>Y0301005022</v>
          </cell>
          <cell r="B1588" t="str">
            <v>十字槽圆头自攻罗丝</v>
          </cell>
          <cell r="C1588" t="str">
            <v>只</v>
          </cell>
          <cell r="D1588">
            <v>0.0421892396367024</v>
          </cell>
          <cell r="E1588">
            <v>0.01</v>
          </cell>
        </row>
        <row r="1589">
          <cell r="A1589" t="str">
            <v>Y0301003011</v>
          </cell>
          <cell r="B1589" t="str">
            <v>不锈钢十字槽盘头螺钉</v>
          </cell>
          <cell r="C1589" t="str">
            <v>只</v>
          </cell>
          <cell r="D1589">
            <v>0.439916162086633</v>
          </cell>
          <cell r="E1589">
            <v>0.06</v>
          </cell>
        </row>
        <row r="1590">
          <cell r="A1590" t="str">
            <v>Y0301002041</v>
          </cell>
          <cell r="B1590" t="str">
            <v>十字槽盘头螺钉</v>
          </cell>
          <cell r="C1590" t="str">
            <v>只</v>
          </cell>
          <cell r="D1590">
            <v>0.0529809035863996</v>
          </cell>
          <cell r="E1590">
            <v>0.01</v>
          </cell>
        </row>
        <row r="1591">
          <cell r="A1591" t="str">
            <v>F0301014043</v>
          </cell>
          <cell r="B1591" t="str">
            <v>防水充电插头带线总成/2.5米</v>
          </cell>
          <cell r="C1591" t="str">
            <v>件</v>
          </cell>
          <cell r="D1591">
            <v>98.9753143921751</v>
          </cell>
          <cell r="E1591">
            <v>13.75</v>
          </cell>
        </row>
        <row r="1592">
          <cell r="A1592" t="str">
            <v>F0301014044</v>
          </cell>
          <cell r="B1592" t="str">
            <v>防水充电插座带线总成/0.8米</v>
          </cell>
          <cell r="C1592" t="str">
            <v>件</v>
          </cell>
          <cell r="D1592">
            <v>40.7545412203074</v>
          </cell>
          <cell r="E1592">
            <v>5.66</v>
          </cell>
        </row>
        <row r="1593">
          <cell r="A1593" t="str">
            <v>F0202009209</v>
          </cell>
          <cell r="B1593" t="str">
            <v>轮胎</v>
          </cell>
          <cell r="C1593" t="str">
            <v>条</v>
          </cell>
          <cell r="D1593">
            <v>152.538425710293</v>
          </cell>
          <cell r="E1593">
            <v>21.19</v>
          </cell>
        </row>
        <row r="1594">
          <cell r="A1594" t="str">
            <v>F0307004010</v>
          </cell>
          <cell r="B1594" t="str">
            <v>喇叭罩电镀件</v>
          </cell>
          <cell r="C1594" t="str">
            <v>件</v>
          </cell>
          <cell r="D1594">
            <v>17.47</v>
          </cell>
          <cell r="E1594">
            <v>2.43</v>
          </cell>
        </row>
        <row r="1595">
          <cell r="A1595" t="str">
            <v>F0102087029</v>
          </cell>
          <cell r="B1595" t="str">
            <v>车架转接支架</v>
          </cell>
          <cell r="C1595" t="str">
            <v>件</v>
          </cell>
          <cell r="D1595">
            <v>10.13</v>
          </cell>
          <cell r="E1595">
            <v>1.41</v>
          </cell>
        </row>
        <row r="1596">
          <cell r="A1596" t="str">
            <v>F0102089092</v>
          </cell>
          <cell r="B1596" t="str">
            <v>侧踏板连接梁</v>
          </cell>
          <cell r="C1596" t="str">
            <v>件</v>
          </cell>
          <cell r="D1596">
            <v>12.48</v>
          </cell>
          <cell r="E1596">
            <v>1.73</v>
          </cell>
        </row>
        <row r="1597">
          <cell r="A1597" t="str">
            <v>F0102077022.3</v>
          </cell>
          <cell r="B1597" t="str">
            <v>连接梁</v>
          </cell>
          <cell r="C1597" t="str">
            <v>件</v>
          </cell>
          <cell r="D1597">
            <v>12.04</v>
          </cell>
          <cell r="E1597">
            <v>1.67</v>
          </cell>
        </row>
        <row r="1598">
          <cell r="A1598" t="str">
            <v>F0201003118.4</v>
          </cell>
          <cell r="B1598" t="str">
            <v>左后制动钳</v>
          </cell>
          <cell r="C1598" t="str">
            <v>件</v>
          </cell>
          <cell r="D1598">
            <v>100.84</v>
          </cell>
          <cell r="E1598">
            <v>14.01</v>
          </cell>
        </row>
        <row r="1599">
          <cell r="A1599" t="str">
            <v>F0201003118.5</v>
          </cell>
          <cell r="B1599" t="str">
            <v>右后制动钳</v>
          </cell>
          <cell r="C1599" t="str">
            <v>件</v>
          </cell>
          <cell r="D1599">
            <v>100.84</v>
          </cell>
          <cell r="E1599">
            <v>14.01</v>
          </cell>
        </row>
        <row r="1600">
          <cell r="A1600" t="str">
            <v>F0103009062</v>
          </cell>
          <cell r="B1600" t="str">
            <v>S款4座合页玻璃/卡扣式</v>
          </cell>
          <cell r="C1600" t="str">
            <v>套</v>
          </cell>
          <cell r="D1600">
            <v>298.28</v>
          </cell>
          <cell r="E1600">
            <v>41.43</v>
          </cell>
        </row>
        <row r="1601">
          <cell r="A1601" t="str">
            <v>F0308035025</v>
          </cell>
          <cell r="B1601" t="str">
            <v>靠背氛围灯延长线
Backrest LED light extension wires</v>
          </cell>
          <cell r="C1601" t="str">
            <v>件</v>
          </cell>
          <cell r="D1601">
            <v>11.03</v>
          </cell>
          <cell r="E1601">
            <v>1.53</v>
          </cell>
        </row>
        <row r="1602">
          <cell r="A1602" t="str">
            <v>F0199002157</v>
          </cell>
          <cell r="B1602" t="str">
            <v>狼头Logo过渡安装板</v>
          </cell>
          <cell r="C1602" t="str">
            <v>件</v>
          </cell>
          <cell r="D1602">
            <v>8.73</v>
          </cell>
          <cell r="E1602">
            <v>1.21</v>
          </cell>
        </row>
        <row r="1603">
          <cell r="A1603" t="str">
            <v>Z007</v>
          </cell>
          <cell r="B1603" t="str">
            <v>ABS料50KG(本色+灰色母)</v>
          </cell>
          <cell r="C1603" t="str">
            <v>套</v>
          </cell>
          <cell r="D1603">
            <v>873.31</v>
          </cell>
          <cell r="E1603">
            <v>121.29</v>
          </cell>
        </row>
        <row r="1604">
          <cell r="A1604" t="str">
            <v>F2101018012</v>
          </cell>
          <cell r="B1604" t="str">
            <v>8.8级外六角螺栓</v>
          </cell>
          <cell r="C1604" t="str">
            <v>件</v>
          </cell>
          <cell r="D1604">
            <v>0.7</v>
          </cell>
          <cell r="E1604">
            <v>0.1</v>
          </cell>
        </row>
        <row r="1605">
          <cell r="A1605" t="str">
            <v>F0199003206</v>
          </cell>
          <cell r="B1605" t="str">
            <v>侧翻承重警示标贴</v>
          </cell>
          <cell r="C1605" t="str">
            <v>件</v>
          </cell>
          <cell r="D1605">
            <v>0.6</v>
          </cell>
          <cell r="E1605">
            <v>0.08</v>
          </cell>
        </row>
        <row r="1606">
          <cell r="A1606" t="str">
            <v>F0102073058</v>
          </cell>
          <cell r="B1606" t="str">
            <v>前立柱胶塞 左</v>
          </cell>
          <cell r="C1606" t="str">
            <v>只</v>
          </cell>
          <cell r="D1606">
            <v>2.79</v>
          </cell>
          <cell r="E1606">
            <v>0.39</v>
          </cell>
        </row>
        <row r="1607">
          <cell r="A1607" t="str">
            <v>F0102073059</v>
          </cell>
          <cell r="B1607" t="str">
            <v>前立柱胶塞 右</v>
          </cell>
          <cell r="C1607" t="str">
            <v>只</v>
          </cell>
          <cell r="D1607">
            <v>2.49</v>
          </cell>
          <cell r="E1607">
            <v>0.35</v>
          </cell>
        </row>
        <row r="1608">
          <cell r="A1608" t="str">
            <v>F0202010220</v>
          </cell>
          <cell r="B1608" t="str">
            <v>铝轮辋</v>
          </cell>
          <cell r="C1608" t="str">
            <v>只</v>
          </cell>
          <cell r="D1608">
            <v>383.09</v>
          </cell>
          <cell r="E1608">
            <v>53.21</v>
          </cell>
        </row>
        <row r="1609">
          <cell r="A1609" t="str">
            <v>F0202010221</v>
          </cell>
          <cell r="B1609" t="str">
            <v>铝轮辋</v>
          </cell>
          <cell r="C1609" t="str">
            <v>只</v>
          </cell>
          <cell r="D1609">
            <v>434.33</v>
          </cell>
          <cell r="E1609">
            <v>60.32</v>
          </cell>
        </row>
        <row r="1610">
          <cell r="A1610" t="str">
            <v>F0202008505</v>
          </cell>
          <cell r="B1610" t="str">
            <v>22*10-14轮胎总成</v>
          </cell>
          <cell r="C1610" t="str">
            <v>套</v>
          </cell>
          <cell r="D1610">
            <v>533.3</v>
          </cell>
          <cell r="E1610">
            <v>74.07</v>
          </cell>
        </row>
        <row r="1611">
          <cell r="A1611" t="str">
            <v>F0202008523</v>
          </cell>
          <cell r="B1611" t="str">
            <v>215/35-14轮胎总成</v>
          </cell>
          <cell r="C1611" t="str">
            <v>套</v>
          </cell>
          <cell r="D1611">
            <v>533.1</v>
          </cell>
          <cell r="E1611">
            <v>74.04</v>
          </cell>
        </row>
        <row r="1612">
          <cell r="A1612" t="str">
            <v>F0202008522</v>
          </cell>
          <cell r="B1612" t="str">
            <v>215/35-14轮胎总成</v>
          </cell>
          <cell r="C1612" t="str">
            <v>套</v>
          </cell>
          <cell r="D1612">
            <v>562.41</v>
          </cell>
          <cell r="E1612">
            <v>78.11</v>
          </cell>
        </row>
        <row r="1613">
          <cell r="A1613" t="str">
            <v>F0202008520</v>
          </cell>
          <cell r="B1613" t="str">
            <v>22*10-14轮胎总成</v>
          </cell>
          <cell r="C1613" t="str">
            <v>套</v>
          </cell>
          <cell r="D1613">
            <v>562.41</v>
          </cell>
          <cell r="E1613">
            <v>78.11</v>
          </cell>
        </row>
        <row r="1614">
          <cell r="A1614" t="str">
            <v>F0202008518</v>
          </cell>
          <cell r="B1614" t="str">
            <v>215/35-14轮胎总成</v>
          </cell>
          <cell r="C1614" t="str">
            <v>套</v>
          </cell>
          <cell r="D1614">
            <v>553.1</v>
          </cell>
          <cell r="E1614">
            <v>76.82</v>
          </cell>
        </row>
        <row r="1615">
          <cell r="A1615" t="str">
            <v>F0202008020</v>
          </cell>
          <cell r="B1615" t="str">
            <v>12寸周转轮胎</v>
          </cell>
          <cell r="C1615" t="str">
            <v>套</v>
          </cell>
          <cell r="D1615">
            <v>465.77</v>
          </cell>
          <cell r="E1615">
            <v>64.69</v>
          </cell>
        </row>
        <row r="1616">
          <cell r="A1616" t="str">
            <v>F0103009055</v>
          </cell>
          <cell r="B1616" t="str">
            <v>G款2座合页玻璃/卡扣式/茶色</v>
          </cell>
          <cell r="C1616" t="str">
            <v>件</v>
          </cell>
          <cell r="D1616">
            <v>293.62</v>
          </cell>
          <cell r="E1616">
            <v>40.78</v>
          </cell>
        </row>
        <row r="1617">
          <cell r="A1617" t="str">
            <v>F0304001561</v>
          </cell>
          <cell r="B1617" t="str">
            <v>ECO锂电池通讯连接线</v>
          </cell>
          <cell r="C1617" t="str">
            <v>件</v>
          </cell>
          <cell r="D1617">
            <v>46.58</v>
          </cell>
          <cell r="E1617">
            <v>6.47</v>
          </cell>
        </row>
        <row r="1618">
          <cell r="A1618" t="str">
            <v>F0308035010</v>
          </cell>
          <cell r="B1618" t="str">
            <v>2+2座球车整车氛围灯总成</v>
          </cell>
          <cell r="C1618" t="str">
            <v>套</v>
          </cell>
          <cell r="D1618">
            <v>597.35</v>
          </cell>
          <cell r="E1618">
            <v>82.97</v>
          </cell>
        </row>
        <row r="1619">
          <cell r="A1619" t="str">
            <v>F0102073509</v>
          </cell>
          <cell r="B1619" t="str">
            <v>前保球车车架过渡支架/电泳、喷塑</v>
          </cell>
          <cell r="C1619" t="str">
            <v>件</v>
          </cell>
          <cell r="D1619">
            <v>2.23</v>
          </cell>
          <cell r="E1619">
            <v>0.31</v>
          </cell>
        </row>
        <row r="1620">
          <cell r="A1620" t="str">
            <v>F0102045565</v>
          </cell>
          <cell r="B1620" t="str">
            <v>声霸支架</v>
          </cell>
          <cell r="C1620" t="str">
            <v>件</v>
          </cell>
          <cell r="D1620">
            <v>13.87</v>
          </cell>
          <cell r="E1620">
            <v>1.93</v>
          </cell>
        </row>
        <row r="1621">
          <cell r="A1621" t="str">
            <v>F0308035023</v>
          </cell>
          <cell r="B1621" t="str">
            <v>电源开关及线束</v>
          </cell>
          <cell r="C1621" t="str">
            <v>件</v>
          </cell>
          <cell r="D1621">
            <v>12.17</v>
          </cell>
          <cell r="E1621">
            <v>1.69</v>
          </cell>
        </row>
        <row r="1622">
          <cell r="A1622" t="str">
            <v>F0308035022</v>
          </cell>
          <cell r="B1622" t="str">
            <v>喇叭罩三通</v>
          </cell>
          <cell r="C1622" t="str">
            <v>件</v>
          </cell>
          <cell r="D1622">
            <v>4.42</v>
          </cell>
          <cell r="E1622">
            <v>0.61</v>
          </cell>
        </row>
        <row r="1623">
          <cell r="A1623" t="str">
            <v>F0308035005</v>
          </cell>
          <cell r="B1623" t="str">
            <v>车底灯</v>
          </cell>
          <cell r="C1623" t="str">
            <v>件</v>
          </cell>
          <cell r="D1623">
            <v>49.84</v>
          </cell>
          <cell r="E1623">
            <v>6.92</v>
          </cell>
        </row>
        <row r="1624">
          <cell r="A1624" t="str">
            <v>F0308035027</v>
          </cell>
          <cell r="B1624" t="str">
            <v>座椅靠背延长线/单根延长</v>
          </cell>
          <cell r="C1624" t="str">
            <v>件</v>
          </cell>
          <cell r="D1624">
            <v>7.8</v>
          </cell>
          <cell r="E1624">
            <v>1.08</v>
          </cell>
        </row>
        <row r="1625">
          <cell r="A1625" t="str">
            <v>F0102063064</v>
          </cell>
          <cell r="B1625" t="str">
            <v>顶棚后支架/降低后移</v>
          </cell>
          <cell r="C1625" t="str">
            <v>件</v>
          </cell>
          <cell r="D1625">
            <v>13.27</v>
          </cell>
          <cell r="E1625">
            <v>1.84</v>
          </cell>
        </row>
        <row r="1626">
          <cell r="A1626" t="str">
            <v>F0102045529</v>
          </cell>
          <cell r="B1626" t="str">
            <v>顶棚/油漆件</v>
          </cell>
          <cell r="C1626" t="str">
            <v>件</v>
          </cell>
          <cell r="D1626">
            <v>345.02</v>
          </cell>
          <cell r="E1626">
            <v>47.92</v>
          </cell>
        </row>
        <row r="1627">
          <cell r="A1627" t="str">
            <v>F0102045542</v>
          </cell>
          <cell r="B1627" t="str">
            <v>顶棚/金属油漆件</v>
          </cell>
          <cell r="C1627" t="str">
            <v>件</v>
          </cell>
          <cell r="D1627">
            <v>524.57</v>
          </cell>
          <cell r="E1627">
            <v>72.86</v>
          </cell>
        </row>
        <row r="1628">
          <cell r="A1628" t="str">
            <v>F0102045543</v>
          </cell>
          <cell r="B1628" t="str">
            <v>顶棚/哑光油漆件</v>
          </cell>
          <cell r="C1628" t="str">
            <v>件</v>
          </cell>
          <cell r="D1628">
            <v>316.72</v>
          </cell>
          <cell r="E1628">
            <v>43.99</v>
          </cell>
        </row>
        <row r="1629">
          <cell r="A1629" t="str">
            <v>F0102047507</v>
          </cell>
          <cell r="B1629" t="str">
            <v>顶棚/油漆件</v>
          </cell>
          <cell r="C1629" t="str">
            <v>件</v>
          </cell>
          <cell r="D1629">
            <v>722.99</v>
          </cell>
          <cell r="E1629">
            <v>100.42</v>
          </cell>
        </row>
        <row r="1630">
          <cell r="A1630" t="str">
            <v>F0102047526</v>
          </cell>
          <cell r="B1630" t="str">
            <v>顶棚/金属油漆件</v>
          </cell>
          <cell r="C1630" t="str">
            <v>件</v>
          </cell>
          <cell r="D1630">
            <v>378.44</v>
          </cell>
          <cell r="E1630">
            <v>52.56</v>
          </cell>
        </row>
        <row r="1631">
          <cell r="A1631" t="str">
            <v>F0102047527</v>
          </cell>
          <cell r="B1631" t="str">
            <v>顶棚/哑光油漆件</v>
          </cell>
          <cell r="C1631" t="str">
            <v>件</v>
          </cell>
          <cell r="D1631">
            <v>670.12</v>
          </cell>
          <cell r="E1631">
            <v>93.07</v>
          </cell>
        </row>
        <row r="1632">
          <cell r="A1632" t="str">
            <v>F0102048511</v>
          </cell>
          <cell r="B1632" t="str">
            <v>顶棚/哑光油漆件</v>
          </cell>
          <cell r="C1632" t="str">
            <v>件</v>
          </cell>
          <cell r="D1632">
            <v>812.3</v>
          </cell>
          <cell r="E1632">
            <v>112.82</v>
          </cell>
        </row>
        <row r="1633">
          <cell r="A1633" t="str">
            <v>F0102048501</v>
          </cell>
          <cell r="B1633" t="str">
            <v>顶棚/油漆件</v>
          </cell>
          <cell r="C1633" t="str">
            <v>件</v>
          </cell>
          <cell r="D1633">
            <v>867.37</v>
          </cell>
          <cell r="E1633">
            <v>120.47</v>
          </cell>
        </row>
        <row r="1634">
          <cell r="A1634" t="str">
            <v>F0102048510</v>
          </cell>
          <cell r="B1634" t="str">
            <v>顶棚/金属油漆件</v>
          </cell>
          <cell r="C1634" t="str">
            <v>件</v>
          </cell>
          <cell r="D1634">
            <v>395.9</v>
          </cell>
          <cell r="E1634">
            <v>54.99</v>
          </cell>
        </row>
        <row r="1635">
          <cell r="A1635" t="str">
            <v>F0102081503</v>
          </cell>
          <cell r="B1635" t="str">
            <v>4座注塑顶棚/油漆件</v>
          </cell>
          <cell r="C1635" t="str">
            <v>件</v>
          </cell>
          <cell r="D1635">
            <v>1053.21</v>
          </cell>
          <cell r="E1635">
            <v>146.28</v>
          </cell>
        </row>
        <row r="1636">
          <cell r="A1636" t="str">
            <v>F0102081504</v>
          </cell>
          <cell r="B1636" t="str">
            <v>4座注塑顶棚/金属油漆件</v>
          </cell>
          <cell r="C1636" t="str">
            <v>件</v>
          </cell>
          <cell r="D1636">
            <v>1084.07</v>
          </cell>
          <cell r="E1636">
            <v>150.57</v>
          </cell>
        </row>
        <row r="1637">
          <cell r="A1637" t="str">
            <v>F0102081505</v>
          </cell>
          <cell r="B1637" t="str">
            <v>4座注塑顶棚/哑光油漆件</v>
          </cell>
          <cell r="C1637" t="str">
            <v>件</v>
          </cell>
          <cell r="D1637">
            <v>1170.24</v>
          </cell>
          <cell r="E1637">
            <v>162.53</v>
          </cell>
        </row>
        <row r="1638">
          <cell r="A1638" t="str">
            <v>F0102073520</v>
          </cell>
          <cell r="B1638" t="str">
            <v>顶棚左前支架/2座G款</v>
          </cell>
          <cell r="C1638" t="str">
            <v>件</v>
          </cell>
          <cell r="D1638">
            <v>28.32</v>
          </cell>
          <cell r="E1638">
            <v>3.93</v>
          </cell>
        </row>
        <row r="1639">
          <cell r="A1639" t="str">
            <v>F0102073521</v>
          </cell>
          <cell r="B1639" t="str">
            <v>顶棚右前支架/2座G款</v>
          </cell>
          <cell r="C1639" t="str">
            <v>件</v>
          </cell>
          <cell r="D1639">
            <v>28.32</v>
          </cell>
          <cell r="E1639">
            <v>3.93</v>
          </cell>
        </row>
        <row r="1640">
          <cell r="A1640" t="str">
            <v>F0102045567</v>
          </cell>
          <cell r="B1640" t="str">
            <v>顶棚后支撑 左</v>
          </cell>
          <cell r="C1640" t="str">
            <v>件</v>
          </cell>
          <cell r="D1640">
            <v>28.32</v>
          </cell>
          <cell r="E1640">
            <v>3.93</v>
          </cell>
        </row>
        <row r="1641">
          <cell r="A1641" t="str">
            <v>F0102045568</v>
          </cell>
          <cell r="B1641" t="str">
            <v>顶棚后支撑 右</v>
          </cell>
          <cell r="C1641" t="str">
            <v>件</v>
          </cell>
          <cell r="D1641">
            <v>28.32</v>
          </cell>
          <cell r="E1641">
            <v>3.93</v>
          </cell>
        </row>
        <row r="1642">
          <cell r="A1642" t="str">
            <v>F0102045507</v>
          </cell>
          <cell r="B1642" t="str">
            <v>球童拉手/电泳、喷塑</v>
          </cell>
          <cell r="C1642" t="str">
            <v>件</v>
          </cell>
          <cell r="D1642">
            <v>9.29</v>
          </cell>
          <cell r="E1642">
            <v>1.29</v>
          </cell>
        </row>
        <row r="1643">
          <cell r="A1643" t="str">
            <v>F0102047522</v>
          </cell>
          <cell r="B1643" t="str">
            <v>保温箱（5号）支架/电泳、喷塑</v>
          </cell>
          <cell r="C1643" t="str">
            <v>件</v>
          </cell>
          <cell r="D1643">
            <v>17.52</v>
          </cell>
          <cell r="E1643">
            <v>2.43</v>
          </cell>
        </row>
        <row r="1644">
          <cell r="A1644" t="str">
            <v>F0102074519</v>
          </cell>
          <cell r="B1644" t="str">
            <v>顶棚前支架</v>
          </cell>
          <cell r="C1644" t="str">
            <v>件</v>
          </cell>
          <cell r="D1644">
            <v>53.1</v>
          </cell>
          <cell r="E1644">
            <v>7.38</v>
          </cell>
        </row>
        <row r="1645">
          <cell r="A1645" t="str">
            <v>F0102063528</v>
          </cell>
          <cell r="B1645" t="str">
            <v>顶棚后支撑</v>
          </cell>
          <cell r="C1645" t="str">
            <v>件</v>
          </cell>
          <cell r="D1645">
            <v>22.92</v>
          </cell>
          <cell r="E1645">
            <v>3.18</v>
          </cell>
        </row>
        <row r="1646">
          <cell r="A1646" t="str">
            <v>F0102047547</v>
          </cell>
          <cell r="B1646" t="str">
            <v>顶棚后支撑 左（配声霸线卡）</v>
          </cell>
          <cell r="C1646" t="str">
            <v>件</v>
          </cell>
          <cell r="D1646">
            <v>61.95</v>
          </cell>
          <cell r="E1646">
            <v>8.6</v>
          </cell>
        </row>
        <row r="1647">
          <cell r="A1647" t="str">
            <v>F0102047548</v>
          </cell>
          <cell r="B1647" t="str">
            <v>顶棚后支撑 右（配声霸线卡）</v>
          </cell>
          <cell r="C1647" t="str">
            <v>件</v>
          </cell>
          <cell r="D1647">
            <v>61.95</v>
          </cell>
          <cell r="E1647">
            <v>8.6</v>
          </cell>
        </row>
        <row r="1648">
          <cell r="A1648" t="str">
            <v>F0102045510</v>
          </cell>
          <cell r="B1648" t="str">
            <v>球童拉手/电泳、喷塑</v>
          </cell>
          <cell r="C1648" t="str">
            <v>件</v>
          </cell>
          <cell r="D1648">
            <v>11.15</v>
          </cell>
          <cell r="E1648">
            <v>1.55</v>
          </cell>
        </row>
        <row r="1649">
          <cell r="A1649" t="str">
            <v>F0102047515</v>
          </cell>
          <cell r="B1649" t="str">
            <v>球童拉手/电泳、喷塑</v>
          </cell>
          <cell r="C1649" t="str">
            <v>件</v>
          </cell>
          <cell r="D1649">
            <v>11.15</v>
          </cell>
          <cell r="E1649">
            <v>1.55</v>
          </cell>
        </row>
        <row r="1650">
          <cell r="A1650" t="str">
            <v>F0102074502</v>
          </cell>
          <cell r="B1650" t="str">
            <v>顶棚加强梁/电泳、喷塑</v>
          </cell>
          <cell r="C1650" t="str">
            <v>件</v>
          </cell>
          <cell r="D1650">
            <v>20.18</v>
          </cell>
          <cell r="E1650">
            <v>2.8</v>
          </cell>
        </row>
        <row r="1651">
          <cell r="A1651" t="str">
            <v>F0102075501</v>
          </cell>
          <cell r="B1651" t="str">
            <v>顶棚加强梁/电泳、喷塑</v>
          </cell>
          <cell r="C1651" t="str">
            <v>件</v>
          </cell>
          <cell r="D1651">
            <v>22.12</v>
          </cell>
          <cell r="E1651">
            <v>3.07</v>
          </cell>
        </row>
        <row r="1652">
          <cell r="A1652" t="str">
            <v>F0102073501</v>
          </cell>
          <cell r="B1652" t="str">
            <v>前保险杠/G款打猎车/电泳、喷塑</v>
          </cell>
          <cell r="C1652" t="str">
            <v>件</v>
          </cell>
          <cell r="D1652">
            <v>193.72</v>
          </cell>
          <cell r="E1652">
            <v>26.91</v>
          </cell>
        </row>
        <row r="1653">
          <cell r="A1653" t="str">
            <v>F0102086524</v>
          </cell>
          <cell r="B1653" t="str">
            <v>制动踏板总成</v>
          </cell>
          <cell r="C1653" t="str">
            <v>件</v>
          </cell>
          <cell r="D1653">
            <v>67.88</v>
          </cell>
          <cell r="E1653">
            <v>9.43</v>
          </cell>
        </row>
        <row r="1654">
          <cell r="A1654" t="str">
            <v>F0102086525</v>
          </cell>
          <cell r="B1654" t="str">
            <v>前靠背支架</v>
          </cell>
          <cell r="C1654" t="str">
            <v>件</v>
          </cell>
          <cell r="D1654">
            <v>79.65</v>
          </cell>
          <cell r="E1654">
            <v>11.06</v>
          </cell>
        </row>
        <row r="1655">
          <cell r="A1655" t="str">
            <v>F0102086526</v>
          </cell>
          <cell r="B1655" t="str">
            <v>中座桶骨架</v>
          </cell>
          <cell r="C1655" t="str">
            <v>件</v>
          </cell>
          <cell r="D1655">
            <v>176.99</v>
          </cell>
          <cell r="E1655">
            <v>24.58</v>
          </cell>
        </row>
        <row r="1656">
          <cell r="A1656" t="str">
            <v>F0102086527</v>
          </cell>
          <cell r="B1656" t="str">
            <v>后靠背支架</v>
          </cell>
          <cell r="C1656" t="str">
            <v>件</v>
          </cell>
          <cell r="D1656">
            <v>136.28</v>
          </cell>
          <cell r="E1656">
            <v>18.93</v>
          </cell>
        </row>
        <row r="1657">
          <cell r="A1657" t="str">
            <v>F0102087518</v>
          </cell>
          <cell r="B1657" t="str">
            <v>顶棚前支架/电泳、喷塑</v>
          </cell>
          <cell r="C1657" t="str">
            <v>件</v>
          </cell>
          <cell r="D1657">
            <v>48.67</v>
          </cell>
          <cell r="E1657">
            <v>6.76</v>
          </cell>
        </row>
        <row r="1658">
          <cell r="A1658" t="str">
            <v>F0102087506</v>
          </cell>
          <cell r="B1658" t="str">
            <v>顶棚后支架 左</v>
          </cell>
          <cell r="C1658" t="str">
            <v>件</v>
          </cell>
          <cell r="D1658">
            <v>79.65</v>
          </cell>
          <cell r="E1658">
            <v>11.06</v>
          </cell>
        </row>
        <row r="1659">
          <cell r="A1659" t="str">
            <v>F0102087507</v>
          </cell>
          <cell r="B1659" t="str">
            <v>顶棚后支架 右</v>
          </cell>
          <cell r="C1659" t="str">
            <v>件</v>
          </cell>
          <cell r="D1659">
            <v>79.65</v>
          </cell>
          <cell r="E1659">
            <v>11.06</v>
          </cell>
        </row>
        <row r="1660">
          <cell r="A1660" t="str">
            <v>F0102087519</v>
          </cell>
          <cell r="B1660" t="str">
            <v>铁制保险杠（小）</v>
          </cell>
          <cell r="C1660" t="str">
            <v>件</v>
          </cell>
          <cell r="D1660">
            <v>150.44</v>
          </cell>
          <cell r="E1660">
            <v>20.89</v>
          </cell>
        </row>
        <row r="1661">
          <cell r="A1661" t="str">
            <v>F0102087509</v>
          </cell>
          <cell r="B1661" t="str">
            <v>铁制保险杠（大）</v>
          </cell>
          <cell r="C1661" t="str">
            <v>件</v>
          </cell>
          <cell r="D1661">
            <v>193.72</v>
          </cell>
          <cell r="E1661">
            <v>26.91</v>
          </cell>
        </row>
        <row r="1662">
          <cell r="A1662" t="str">
            <v>F0102086532</v>
          </cell>
          <cell r="B1662" t="str">
            <v>球包架</v>
          </cell>
          <cell r="C1662" t="str">
            <v>件</v>
          </cell>
          <cell r="D1662">
            <v>336.28</v>
          </cell>
          <cell r="E1662">
            <v>46.71</v>
          </cell>
        </row>
        <row r="1663">
          <cell r="A1663" t="str">
            <v>F0102087513</v>
          </cell>
          <cell r="B1663" t="str">
            <v>踏板转接支架</v>
          </cell>
          <cell r="C1663" t="str">
            <v>件</v>
          </cell>
          <cell r="D1663">
            <v>13.1</v>
          </cell>
          <cell r="E1663">
            <v>1.82</v>
          </cell>
        </row>
        <row r="1664">
          <cell r="A1664" t="str">
            <v>F0103017041</v>
          </cell>
          <cell r="B1664" t="str">
            <v>左后视镜/带转向灯</v>
          </cell>
          <cell r="C1664" t="str">
            <v>只</v>
          </cell>
          <cell r="D1664">
            <v>40.75</v>
          </cell>
          <cell r="E1664">
            <v>5.66</v>
          </cell>
        </row>
        <row r="1665">
          <cell r="A1665" t="str">
            <v>F0103017042</v>
          </cell>
          <cell r="B1665" t="str">
            <v>右后视镜/带转向灯</v>
          </cell>
          <cell r="C1665" t="str">
            <v>只</v>
          </cell>
          <cell r="D1665">
            <v>40.75</v>
          </cell>
          <cell r="E1665">
            <v>5.66</v>
          </cell>
        </row>
        <row r="1666">
          <cell r="A1666" t="str">
            <v>F2111000226</v>
          </cell>
          <cell r="B1666" t="str">
            <v>4+2座标准件</v>
          </cell>
          <cell r="C1666" t="str">
            <v>盒</v>
          </cell>
          <cell r="D1666">
            <v>174.66</v>
          </cell>
          <cell r="E1666">
            <v>24.26</v>
          </cell>
        </row>
        <row r="1667">
          <cell r="A1667" t="str">
            <v>F2111000238</v>
          </cell>
          <cell r="B1667" t="str">
            <v>v1G款标准件盒</v>
          </cell>
          <cell r="C1667" t="str">
            <v>盒</v>
          </cell>
          <cell r="D1667">
            <v>175.66</v>
          </cell>
          <cell r="E1667">
            <v>24.4</v>
          </cell>
        </row>
        <row r="1668">
          <cell r="A1668" t="str">
            <v>F0102045013.1</v>
          </cell>
          <cell r="B1668" t="str">
            <v>后轮罩 左</v>
          </cell>
          <cell r="C1668" t="str">
            <v>件</v>
          </cell>
          <cell r="D1668">
            <v>13.54</v>
          </cell>
          <cell r="E1668">
            <v>1.88</v>
          </cell>
        </row>
        <row r="1669">
          <cell r="A1669" t="str">
            <v>F0102045013.2</v>
          </cell>
          <cell r="B1669" t="str">
            <v>后轮罩 右</v>
          </cell>
          <cell r="C1669" t="str">
            <v>件</v>
          </cell>
          <cell r="D1669">
            <v>13.54</v>
          </cell>
          <cell r="E1669">
            <v>1.88</v>
          </cell>
        </row>
        <row r="1670">
          <cell r="A1670" t="str">
            <v>F0102045025.1</v>
          </cell>
          <cell r="B1670" t="str">
            <v>左后轮眉</v>
          </cell>
          <cell r="C1670" t="str">
            <v>件</v>
          </cell>
          <cell r="D1670">
            <v>9.47</v>
          </cell>
          <cell r="E1670">
            <v>1.32</v>
          </cell>
        </row>
        <row r="1671">
          <cell r="A1671" t="str">
            <v>F0102045025.2</v>
          </cell>
          <cell r="B1671" t="str">
            <v>右后轮眉</v>
          </cell>
          <cell r="C1671" t="str">
            <v>件</v>
          </cell>
          <cell r="D1671">
            <v>9.47</v>
          </cell>
          <cell r="E1671">
            <v>1.32</v>
          </cell>
        </row>
        <row r="1672">
          <cell r="A1672" t="str">
            <v>F0102081522</v>
          </cell>
          <cell r="B1672" t="str">
            <v>前罩中网款/金属油漆件</v>
          </cell>
          <cell r="C1672" t="str">
            <v>件</v>
          </cell>
          <cell r="D1672">
            <v>248.37</v>
          </cell>
          <cell r="E1672">
            <v>34.5</v>
          </cell>
        </row>
        <row r="1673">
          <cell r="A1673" t="str">
            <v>F0102045546</v>
          </cell>
          <cell r="B1673" t="str">
            <v>四座中座桶/金属油漆件</v>
          </cell>
          <cell r="C1673" t="str">
            <v>件</v>
          </cell>
          <cell r="D1673">
            <v>291.1</v>
          </cell>
          <cell r="E1673">
            <v>40.43</v>
          </cell>
        </row>
        <row r="1674">
          <cell r="A1674" t="str">
            <v>F0102089502</v>
          </cell>
          <cell r="B1674" t="str">
            <v>前罩/金属油漆件</v>
          </cell>
          <cell r="C1674" t="str">
            <v>件</v>
          </cell>
          <cell r="D1674">
            <v>270.42</v>
          </cell>
          <cell r="E1674">
            <v>37.56</v>
          </cell>
        </row>
        <row r="1675">
          <cell r="A1675" t="str">
            <v>F0199003207</v>
          </cell>
          <cell r="B1675" t="str">
            <v>使用说明警示标贴</v>
          </cell>
          <cell r="C1675" t="str">
            <v>件</v>
          </cell>
          <cell r="D1675">
            <v>0.58</v>
          </cell>
          <cell r="E1675">
            <v>0.08</v>
          </cell>
        </row>
        <row r="1676">
          <cell r="A1676" t="str">
            <v>F0102089545</v>
          </cell>
          <cell r="B1676" t="str">
            <v>铁质侧踏板 左</v>
          </cell>
          <cell r="C1676" t="str">
            <v>件</v>
          </cell>
          <cell r="D1676">
            <v>234.24</v>
          </cell>
          <cell r="E1676">
            <v>32.53</v>
          </cell>
        </row>
        <row r="1677">
          <cell r="A1677" t="str">
            <v>F0102089547</v>
          </cell>
          <cell r="B1677" t="str">
            <v>侧踏板连接梁</v>
          </cell>
          <cell r="C1677" t="str">
            <v>件</v>
          </cell>
          <cell r="D1677">
            <v>15.58</v>
          </cell>
          <cell r="E1677">
            <v>2.16</v>
          </cell>
        </row>
        <row r="1678">
          <cell r="A1678" t="str">
            <v>F99001043034</v>
          </cell>
          <cell r="B1678" t="str">
            <v>翻转夹头</v>
          </cell>
          <cell r="C1678" t="str">
            <v>套</v>
          </cell>
          <cell r="D1678">
            <v>2497.032</v>
          </cell>
          <cell r="E1678">
            <v>346.81</v>
          </cell>
        </row>
        <row r="1679">
          <cell r="A1679" t="str">
            <v>F99001043035</v>
          </cell>
          <cell r="B1679" t="str">
            <v>车架翻转机构</v>
          </cell>
          <cell r="C1679" t="str">
            <v>套</v>
          </cell>
          <cell r="D1679">
            <v>4000</v>
          </cell>
          <cell r="E1679">
            <v>555.56</v>
          </cell>
        </row>
        <row r="1680">
          <cell r="A1680" t="str">
            <v>F0308035008</v>
          </cell>
          <cell r="B1680" t="str">
            <v>座椅靠背氛围灯灯条</v>
          </cell>
          <cell r="C1680" t="str">
            <v>件</v>
          </cell>
          <cell r="D1680">
            <v>29.93</v>
          </cell>
          <cell r="E1680">
            <v>4.16</v>
          </cell>
        </row>
        <row r="1681">
          <cell r="A1681" t="str">
            <v>F0102045509</v>
          </cell>
          <cell r="B1681" t="str">
            <v>顶棚后支撑（后移70，下降140）</v>
          </cell>
          <cell r="C1681" t="str">
            <v>件</v>
          </cell>
          <cell r="D1681">
            <v>14.87</v>
          </cell>
          <cell r="E1681">
            <v>2.07</v>
          </cell>
        </row>
        <row r="1682">
          <cell r="A1682" t="str">
            <v>F0102047513</v>
          </cell>
          <cell r="B1682" t="str">
            <v>顶棚后支撑（后移70.下降140）</v>
          </cell>
          <cell r="C1682" t="str">
            <v>件</v>
          </cell>
          <cell r="D1682">
            <v>14.87</v>
          </cell>
          <cell r="E1682">
            <v>2.07</v>
          </cell>
        </row>
        <row r="1683">
          <cell r="A1683" t="str">
            <v>F0102047523</v>
          </cell>
          <cell r="B1683" t="str">
            <v>顶棚前支架（下降140、配前置物篮）</v>
          </cell>
          <cell r="C1683" t="str">
            <v>件</v>
          </cell>
          <cell r="D1683">
            <v>40.88</v>
          </cell>
          <cell r="E1683">
            <v>5.68</v>
          </cell>
        </row>
        <row r="1684">
          <cell r="A1684" t="str">
            <v>F0102076004</v>
          </cell>
          <cell r="B1684" t="str">
            <v>左前轮眉</v>
          </cell>
          <cell r="C1684" t="str">
            <v>只</v>
          </cell>
          <cell r="D1684">
            <v>12.62</v>
          </cell>
          <cell r="E1684">
            <v>1.75</v>
          </cell>
        </row>
        <row r="1685">
          <cell r="A1685" t="str">
            <v>F0102076005</v>
          </cell>
          <cell r="B1685" t="str">
            <v>右前轮眉</v>
          </cell>
          <cell r="C1685" t="str">
            <v>只</v>
          </cell>
          <cell r="D1685">
            <v>12.62</v>
          </cell>
          <cell r="E1685">
            <v>1.75</v>
          </cell>
        </row>
        <row r="1686">
          <cell r="A1686" t="str">
            <v>F0102078503</v>
          </cell>
          <cell r="B1686" t="str">
            <v>前保险杠/Y款</v>
          </cell>
          <cell r="C1686" t="str">
            <v>件</v>
          </cell>
          <cell r="D1686">
            <v>189.47</v>
          </cell>
          <cell r="E1686">
            <v>26.32</v>
          </cell>
        </row>
        <row r="1687">
          <cell r="A1687" t="str">
            <v>F0103020026</v>
          </cell>
          <cell r="B1687" t="str">
            <v>左前挡泥板/Y款打猎车</v>
          </cell>
          <cell r="C1687" t="str">
            <v>件</v>
          </cell>
          <cell r="D1687">
            <v>35.11</v>
          </cell>
          <cell r="E1687">
            <v>4.88</v>
          </cell>
        </row>
        <row r="1688">
          <cell r="A1688" t="str">
            <v>F0103020027</v>
          </cell>
          <cell r="B1688" t="str">
            <v>右前挡泥板/Y款打猎车</v>
          </cell>
          <cell r="C1688" t="str">
            <v>件</v>
          </cell>
          <cell r="D1688">
            <v>35.11</v>
          </cell>
          <cell r="E1688">
            <v>4.88</v>
          </cell>
        </row>
        <row r="1689">
          <cell r="A1689" t="str">
            <v>F0103027138</v>
          </cell>
          <cell r="B1689" t="str">
            <v>4座B款成型地板革</v>
          </cell>
          <cell r="C1689" t="str">
            <v>件</v>
          </cell>
          <cell r="D1689">
            <v>326.04</v>
          </cell>
          <cell r="E1689">
            <v>45.28</v>
          </cell>
        </row>
        <row r="1690">
          <cell r="A1690" t="str">
            <v>F0103099049.2</v>
          </cell>
          <cell r="B1690" t="str">
            <v>运动踏板</v>
          </cell>
          <cell r="C1690" t="str">
            <v>套</v>
          </cell>
          <cell r="D1690">
            <v>197.95</v>
          </cell>
          <cell r="E1690">
            <v>27.49</v>
          </cell>
        </row>
        <row r="1691">
          <cell r="A1691" t="str">
            <v>F0204002029</v>
          </cell>
          <cell r="B1691" t="str">
            <v>转向轴管</v>
          </cell>
          <cell r="C1691" t="str">
            <v>件</v>
          </cell>
          <cell r="D1691">
            <v>93.22</v>
          </cell>
          <cell r="E1691">
            <v>12.95</v>
          </cell>
        </row>
        <row r="1692">
          <cell r="A1692" t="str">
            <v>F0204003034</v>
          </cell>
          <cell r="B1692" t="str">
            <v>方向机总成</v>
          </cell>
          <cell r="C1692" t="str">
            <v>件</v>
          </cell>
          <cell r="D1692">
            <v>178.81</v>
          </cell>
          <cell r="E1692">
            <v>24.83</v>
          </cell>
        </row>
        <row r="1693">
          <cell r="A1693" t="str">
            <v>F0204003035</v>
          </cell>
          <cell r="B1693" t="str">
            <v>方向机总成  加长</v>
          </cell>
          <cell r="C1693" t="str">
            <v>件</v>
          </cell>
          <cell r="D1693">
            <v>178.85</v>
          </cell>
          <cell r="E1693">
            <v>24.84</v>
          </cell>
        </row>
        <row r="1694">
          <cell r="A1694" t="str">
            <v>F0308031101</v>
          </cell>
          <cell r="B1694" t="str">
            <v>组合仪表/CAN</v>
          </cell>
          <cell r="C1694" t="str">
            <v>件</v>
          </cell>
          <cell r="D1694">
            <v>159.52</v>
          </cell>
          <cell r="E1694">
            <v>22.16</v>
          </cell>
        </row>
        <row r="1695">
          <cell r="A1695" t="str">
            <v>F2111000234</v>
          </cell>
          <cell r="B1695" t="str">
            <v>Y款标准件盒</v>
          </cell>
          <cell r="C1695" t="str">
            <v>盒</v>
          </cell>
          <cell r="D1695">
            <v>174.66</v>
          </cell>
          <cell r="E1695">
            <v>24.26</v>
          </cell>
        </row>
        <row r="1696">
          <cell r="A1696" t="str">
            <v>F2111000235</v>
          </cell>
          <cell r="B1696" t="str">
            <v>Y款标准件盒</v>
          </cell>
          <cell r="C1696" t="str">
            <v>盒</v>
          </cell>
          <cell r="D1696">
            <v>174.66</v>
          </cell>
          <cell r="E1696">
            <v>24.26</v>
          </cell>
        </row>
        <row r="1697">
          <cell r="A1697" t="str">
            <v>F0102089524</v>
          </cell>
          <cell r="B1697" t="str">
            <v>中座框骨架</v>
          </cell>
          <cell r="C1697" t="str">
            <v>件</v>
          </cell>
          <cell r="D1697">
            <v>137.17</v>
          </cell>
          <cell r="E1697">
            <v>19.05</v>
          </cell>
        </row>
        <row r="1698">
          <cell r="A1698" t="str">
            <v>F0102089534</v>
          </cell>
          <cell r="B1698" t="str">
            <v>前排靠背骨架</v>
          </cell>
          <cell r="C1698" t="str">
            <v>件</v>
          </cell>
          <cell r="D1698">
            <v>133.27</v>
          </cell>
          <cell r="E1698">
            <v>18.51</v>
          </cell>
        </row>
        <row r="1699">
          <cell r="A1699" t="str">
            <v>F0102089535</v>
          </cell>
          <cell r="B1699" t="str">
            <v>后排靠背骨架</v>
          </cell>
          <cell r="C1699" t="str">
            <v>件</v>
          </cell>
          <cell r="D1699">
            <v>80</v>
          </cell>
          <cell r="E1699">
            <v>11.11</v>
          </cell>
        </row>
        <row r="1700">
          <cell r="A1700" t="str">
            <v>F0102089537</v>
          </cell>
          <cell r="B1700" t="str">
            <v>球包带支架</v>
          </cell>
          <cell r="C1700" t="str">
            <v>件</v>
          </cell>
          <cell r="D1700">
            <v>37.17</v>
          </cell>
          <cell r="E1700">
            <v>5.16</v>
          </cell>
        </row>
        <row r="1701">
          <cell r="A1701" t="str">
            <v>F0102063527</v>
          </cell>
          <cell r="B1701" t="str">
            <v>顶棚U型骨架</v>
          </cell>
          <cell r="C1701" t="str">
            <v>件</v>
          </cell>
          <cell r="D1701">
            <v>137.17</v>
          </cell>
          <cell r="E1701">
            <v>19.05</v>
          </cell>
        </row>
        <row r="1702">
          <cell r="A1702" t="str">
            <v>F2111000228</v>
          </cell>
          <cell r="B1702" t="str">
            <v>G款标准件盒</v>
          </cell>
          <cell r="C1702" t="str">
            <v>套</v>
          </cell>
          <cell r="D1702">
            <v>174.66</v>
          </cell>
          <cell r="E1702">
            <v>24.26</v>
          </cell>
        </row>
        <row r="1703">
          <cell r="A1703" t="str">
            <v>F2111000229</v>
          </cell>
          <cell r="B1703" t="str">
            <v>G款标准件盒</v>
          </cell>
          <cell r="C1703" t="str">
            <v>套</v>
          </cell>
          <cell r="D1703">
            <v>174.66</v>
          </cell>
          <cell r="E1703">
            <v>24.26</v>
          </cell>
        </row>
        <row r="1704">
          <cell r="A1704" t="str">
            <v>F2111000232</v>
          </cell>
          <cell r="B1704" t="str">
            <v>J款标准件盒</v>
          </cell>
          <cell r="C1704" t="str">
            <v>套</v>
          </cell>
          <cell r="D1704">
            <v>174.66</v>
          </cell>
          <cell r="E1704">
            <v>24.26</v>
          </cell>
        </row>
        <row r="1705">
          <cell r="A1705" t="str">
            <v>F2111000233</v>
          </cell>
          <cell r="B1705" t="str">
            <v>J款标准件盒</v>
          </cell>
          <cell r="C1705" t="str">
            <v>套</v>
          </cell>
          <cell r="D1705">
            <v>174.66</v>
          </cell>
          <cell r="E1705">
            <v>24.26</v>
          </cell>
        </row>
        <row r="1706">
          <cell r="A1706" t="str">
            <v>F2111000230</v>
          </cell>
          <cell r="B1706" t="str">
            <v>J款标准件盒</v>
          </cell>
          <cell r="C1706" t="str">
            <v>套</v>
          </cell>
          <cell r="D1706">
            <v>174.66</v>
          </cell>
          <cell r="E1706">
            <v>24.26</v>
          </cell>
        </row>
        <row r="1707">
          <cell r="A1707" t="str">
            <v>F2111000231</v>
          </cell>
          <cell r="B1707" t="str">
            <v>J款标准件盒</v>
          </cell>
          <cell r="C1707" t="str">
            <v>套</v>
          </cell>
          <cell r="D1707">
            <v>174.66</v>
          </cell>
          <cell r="E1707">
            <v>24.26</v>
          </cell>
        </row>
        <row r="1708">
          <cell r="A1708" t="str">
            <v>F2111000227</v>
          </cell>
          <cell r="B1708" t="str">
            <v>G款标准件盒</v>
          </cell>
          <cell r="C1708" t="str">
            <v>套</v>
          </cell>
          <cell r="D1708">
            <v>174.66</v>
          </cell>
          <cell r="E1708">
            <v>24.26</v>
          </cell>
        </row>
        <row r="1709">
          <cell r="A1709" t="str">
            <v>F0102077515</v>
          </cell>
          <cell r="B1709" t="str">
            <v>顶棚后支撑 左</v>
          </cell>
          <cell r="C1709" t="str">
            <v>件</v>
          </cell>
          <cell r="D1709">
            <v>21.95</v>
          </cell>
          <cell r="E1709">
            <v>3.05</v>
          </cell>
        </row>
        <row r="1710">
          <cell r="A1710" t="str">
            <v>F0102077516</v>
          </cell>
          <cell r="B1710" t="str">
            <v>顶棚后支撑 右</v>
          </cell>
          <cell r="C1710" t="str">
            <v>件</v>
          </cell>
          <cell r="D1710">
            <v>22.92</v>
          </cell>
          <cell r="E1710">
            <v>3.18</v>
          </cell>
        </row>
        <row r="1711">
          <cell r="A1711" t="str">
            <v>F0102081042</v>
          </cell>
          <cell r="B1711" t="str">
            <v>安全带螺栓盖帽1</v>
          </cell>
          <cell r="C1711" t="str">
            <v>件</v>
          </cell>
          <cell r="D1711">
            <v>1.4</v>
          </cell>
          <cell r="E1711">
            <v>0.19</v>
          </cell>
        </row>
        <row r="1712">
          <cell r="A1712" t="str">
            <v>F0102081043</v>
          </cell>
          <cell r="B1712" t="str">
            <v>安全带螺栓盖帽2</v>
          </cell>
          <cell r="C1712" t="str">
            <v>件</v>
          </cell>
          <cell r="D1712">
            <v>1.11</v>
          </cell>
          <cell r="E1712">
            <v>0.15</v>
          </cell>
        </row>
        <row r="1713">
          <cell r="A1713" t="str">
            <v>F0102081044</v>
          </cell>
          <cell r="B1713" t="str">
            <v>安全带螺栓盖帽3</v>
          </cell>
          <cell r="C1713" t="str">
            <v>件</v>
          </cell>
          <cell r="D1713">
            <v>0.87</v>
          </cell>
          <cell r="E1713">
            <v>0.12</v>
          </cell>
        </row>
        <row r="1714">
          <cell r="A1714" t="str">
            <v>F0102077517</v>
          </cell>
          <cell r="B1714" t="str">
            <v>球童拉手</v>
          </cell>
          <cell r="C1714" t="str">
            <v>件</v>
          </cell>
          <cell r="D1714">
            <v>11.33</v>
          </cell>
          <cell r="E1714">
            <v>1.57</v>
          </cell>
        </row>
        <row r="1715">
          <cell r="A1715" t="str">
            <v>F0102077505.3</v>
          </cell>
          <cell r="B1715" t="str">
            <v>连接梁</v>
          </cell>
          <cell r="C1715" t="str">
            <v>件</v>
          </cell>
          <cell r="D1715">
            <v>10.27</v>
          </cell>
          <cell r="E1715">
            <v>1.43</v>
          </cell>
        </row>
        <row r="1716">
          <cell r="A1716" t="str">
            <v>F0103025021</v>
          </cell>
          <cell r="B1716" t="str">
            <v>前靠背拉手</v>
          </cell>
          <cell r="C1716" t="str">
            <v>件</v>
          </cell>
          <cell r="D1716">
            <v>8.14</v>
          </cell>
          <cell r="E1716">
            <v>1.13</v>
          </cell>
        </row>
        <row r="1717">
          <cell r="A1717" t="str">
            <v>F0102089529</v>
          </cell>
          <cell r="B1717" t="str">
            <v>顶棚后支撑 左</v>
          </cell>
          <cell r="C1717" t="str">
            <v>件</v>
          </cell>
          <cell r="D1717">
            <v>57.35</v>
          </cell>
          <cell r="E1717">
            <v>7.97</v>
          </cell>
        </row>
        <row r="1718">
          <cell r="A1718" t="str">
            <v>F0102089530</v>
          </cell>
          <cell r="B1718" t="str">
            <v>顶棚后支撑 右</v>
          </cell>
          <cell r="C1718" t="str">
            <v>件</v>
          </cell>
          <cell r="D1718">
            <v>57.35</v>
          </cell>
          <cell r="E1718">
            <v>7.97</v>
          </cell>
        </row>
        <row r="1719">
          <cell r="A1719" t="str">
            <v>Y0301012006</v>
          </cell>
          <cell r="B1719" t="str">
            <v>半圆头内六角螺丝</v>
          </cell>
          <cell r="C1719" t="str">
            <v>只</v>
          </cell>
          <cell r="D1719">
            <v>0.08</v>
          </cell>
          <cell r="E1719">
            <v>0.01</v>
          </cell>
        </row>
        <row r="1720">
          <cell r="A1720" t="str">
            <v>F2111000239</v>
          </cell>
          <cell r="B1720" t="str">
            <v>安全带标准件套件</v>
          </cell>
          <cell r="C1720" t="str">
            <v>件</v>
          </cell>
          <cell r="D1720">
            <v>5.82</v>
          </cell>
          <cell r="E1720">
            <v>0.81</v>
          </cell>
        </row>
        <row r="1721">
          <cell r="A1721" t="str">
            <v>Y0316038050</v>
          </cell>
          <cell r="B1721" t="str">
            <v>黑色卡扣</v>
          </cell>
          <cell r="C1721" t="str">
            <v>个</v>
          </cell>
          <cell r="D1721">
            <v>0.58</v>
          </cell>
          <cell r="E1721">
            <v>0.08</v>
          </cell>
        </row>
        <row r="1722">
          <cell r="A1722" t="str">
            <v>F2111000108</v>
          </cell>
          <cell r="B1722" t="str">
            <v>硬质旋钮锉
Hard rotary file</v>
          </cell>
          <cell r="C1722" t="str">
            <v>个</v>
          </cell>
          <cell r="D1722">
            <v>15.84</v>
          </cell>
          <cell r="E1722">
            <v>2.2</v>
          </cell>
        </row>
        <row r="1723">
          <cell r="A1723" t="str">
            <v>Y0301010014</v>
          </cell>
          <cell r="B1723" t="str">
            <v>六角罗丝(6*40)</v>
          </cell>
          <cell r="C1723" t="str">
            <v>个</v>
          </cell>
          <cell r="D1723">
            <v>0.36</v>
          </cell>
          <cell r="E1723">
            <v>0.05</v>
          </cell>
        </row>
        <row r="1724">
          <cell r="A1724" t="str">
            <v>F01030080008</v>
          </cell>
          <cell r="B1724" t="str">
            <v>前挡风玻璃（夹胶）</v>
          </cell>
          <cell r="C1724" t="str">
            <v>件</v>
          </cell>
          <cell r="D1724">
            <v>443.99</v>
          </cell>
          <cell r="E1724">
            <v>61.67</v>
          </cell>
        </row>
        <row r="1725">
          <cell r="A1725" t="str">
            <v>F0102089539</v>
          </cell>
          <cell r="B1725" t="str">
            <v>铁制前保险杠</v>
          </cell>
          <cell r="C1725" t="str">
            <v>件</v>
          </cell>
          <cell r="D1725">
            <v>193.98</v>
          </cell>
          <cell r="E1725">
            <v>26.94</v>
          </cell>
        </row>
        <row r="1726">
          <cell r="A1726" t="str">
            <v>F0204001030</v>
          </cell>
          <cell r="B1726" t="str">
            <v>多功能方向盘/配达迅方控</v>
          </cell>
          <cell r="C1726" t="str">
            <v>只</v>
          </cell>
          <cell r="D1726">
            <v>407.55</v>
          </cell>
          <cell r="E1726">
            <v>56.6</v>
          </cell>
        </row>
        <row r="1727">
          <cell r="A1727" t="str">
            <v>F0102089553</v>
          </cell>
          <cell r="B1727" t="str">
            <v>顶棚前支架</v>
          </cell>
          <cell r="C1727" t="str">
            <v>件</v>
          </cell>
          <cell r="D1727">
            <v>53.1</v>
          </cell>
          <cell r="E1727">
            <v>7.38</v>
          </cell>
        </row>
        <row r="1728">
          <cell r="A1728" t="str">
            <v>F0399011003</v>
          </cell>
          <cell r="B1728" t="str">
            <v>无线充电器总成（S款）</v>
          </cell>
          <cell r="C1728" t="str">
            <v>套</v>
          </cell>
          <cell r="D1728">
            <v>81.97</v>
          </cell>
          <cell r="E1728">
            <v>11.38</v>
          </cell>
        </row>
        <row r="1729">
          <cell r="A1729" t="str">
            <v>F0307001050</v>
          </cell>
          <cell r="B1729" t="str">
            <v>10.1寸多功能仪表中控屏/带电池/方控</v>
          </cell>
          <cell r="C1729" t="str">
            <v>件</v>
          </cell>
          <cell r="D1729">
            <v>812.76</v>
          </cell>
          <cell r="E1729">
            <v>112.88</v>
          </cell>
        </row>
        <row r="1730">
          <cell r="A1730" t="str">
            <v>F0102080504</v>
          </cell>
          <cell r="B1730" t="str">
            <v>顶棚后支架 右</v>
          </cell>
          <cell r="C1730" t="str">
            <v>件</v>
          </cell>
          <cell r="D1730">
            <v>32.74</v>
          </cell>
          <cell r="E1730">
            <v>4.55</v>
          </cell>
        </row>
        <row r="1731">
          <cell r="A1731" t="str">
            <v>F0102080503</v>
          </cell>
          <cell r="B1731" t="str">
            <v>顶棚后支架 左</v>
          </cell>
          <cell r="C1731" t="str">
            <v>件</v>
          </cell>
          <cell r="D1731">
            <v>32.74</v>
          </cell>
          <cell r="E1731">
            <v>4.55</v>
          </cell>
        </row>
        <row r="1732">
          <cell r="A1732" t="str">
            <v>F0307001046.9</v>
          </cell>
          <cell r="B1732" t="str">
            <v>10.1寸多功能仪表中控屏说明书</v>
          </cell>
          <cell r="C1732" t="str">
            <v>件</v>
          </cell>
          <cell r="D1732">
            <v>2.91</v>
          </cell>
          <cell r="E1732">
            <v>0.4</v>
          </cell>
        </row>
        <row r="1733">
          <cell r="A1733" t="str">
            <v>F2111000240</v>
          </cell>
          <cell r="B1733" t="str">
            <v>安全带螺栓(短)</v>
          </cell>
          <cell r="C1733" t="str">
            <v>件</v>
          </cell>
          <cell r="D1733">
            <v>0.5</v>
          </cell>
          <cell r="E1733">
            <v>0.07</v>
          </cell>
        </row>
        <row r="1734">
          <cell r="A1734" t="str">
            <v>F0103003096</v>
          </cell>
          <cell r="B1734" t="str">
            <v>门锁套件-V0</v>
          </cell>
          <cell r="C1734" t="str">
            <v>套</v>
          </cell>
          <cell r="D1734">
            <v>65.91</v>
          </cell>
          <cell r="E1734">
            <v>9.15</v>
          </cell>
        </row>
        <row r="1735">
          <cell r="A1735" t="str">
            <v>F0102089100</v>
          </cell>
          <cell r="B1735" t="str">
            <v>后备箱总成</v>
          </cell>
          <cell r="C1735" t="str">
            <v>件</v>
          </cell>
          <cell r="D1735">
            <v>228.63</v>
          </cell>
          <cell r="E1735">
            <v>31.75</v>
          </cell>
        </row>
        <row r="1736">
          <cell r="A1736" t="str">
            <v>F0102079509</v>
          </cell>
          <cell r="B1736" t="str">
            <v>后扶手</v>
          </cell>
          <cell r="C1736" t="str">
            <v>件</v>
          </cell>
          <cell r="D1736">
            <v>48.67</v>
          </cell>
          <cell r="E1736">
            <v>6.76</v>
          </cell>
        </row>
        <row r="1737">
          <cell r="A1737" t="str">
            <v>F0102089099</v>
          </cell>
          <cell r="B1737" t="str">
            <v>后罩储物盒</v>
          </cell>
          <cell r="C1737" t="str">
            <v>件</v>
          </cell>
          <cell r="D1737">
            <v>23.41</v>
          </cell>
          <cell r="E1737">
            <v>3.25</v>
          </cell>
        </row>
        <row r="1738">
          <cell r="A1738" t="str">
            <v>F0103003097</v>
          </cell>
          <cell r="B1738" t="str">
            <v>门锁套件-V1</v>
          </cell>
          <cell r="C1738" t="str">
            <v>套</v>
          </cell>
          <cell r="D1738">
            <v>65.91</v>
          </cell>
          <cell r="E1738">
            <v>9.15</v>
          </cell>
        </row>
        <row r="1739">
          <cell r="A1739" t="str">
            <v>F0102089101</v>
          </cell>
          <cell r="B1739" t="str">
            <v>后罩储物盒橡胶圈</v>
          </cell>
          <cell r="C1739" t="str">
            <v>件</v>
          </cell>
          <cell r="D1739">
            <v>0.35</v>
          </cell>
          <cell r="E1739">
            <v>0.05</v>
          </cell>
        </row>
        <row r="1740">
          <cell r="A1740" t="str">
            <v>F2101175006</v>
          </cell>
          <cell r="B1740" t="str">
            <v>簧片</v>
          </cell>
          <cell r="C1740" t="str">
            <v>只</v>
          </cell>
          <cell r="D1740">
            <v>0.3</v>
          </cell>
          <cell r="E1740">
            <v>0.04</v>
          </cell>
        </row>
        <row r="1741">
          <cell r="A1741" t="str">
            <v>F2101175005</v>
          </cell>
          <cell r="B1741" t="str">
            <v>卡片螺母</v>
          </cell>
          <cell r="C1741" t="str">
            <v>只</v>
          </cell>
          <cell r="D1741">
            <v>0.3</v>
          </cell>
          <cell r="E1741">
            <v>0.04</v>
          </cell>
        </row>
        <row r="1742">
          <cell r="A1742" t="str">
            <v>F0203009049</v>
          </cell>
          <cell r="B1742" t="str">
            <v>加速制动踏板总成</v>
          </cell>
          <cell r="C1742" t="str">
            <v>套</v>
          </cell>
          <cell r="D1742">
            <v>392.83</v>
          </cell>
          <cell r="E1742">
            <v>54.56</v>
          </cell>
        </row>
        <row r="1743">
          <cell r="A1743" t="str">
            <v>Y0301010017</v>
          </cell>
          <cell r="B1743" t="str">
            <v>六角罗丝</v>
          </cell>
          <cell r="C1743" t="str">
            <v>只</v>
          </cell>
          <cell r="D1743">
            <v>0.5</v>
          </cell>
          <cell r="E1743">
            <v>0.07</v>
          </cell>
        </row>
        <row r="1744">
          <cell r="A1744" t="str">
            <v>F2111000241</v>
          </cell>
          <cell r="B1744" t="str">
            <v>安全带螺栓弹簧垫片</v>
          </cell>
          <cell r="C1744" t="str">
            <v>只</v>
          </cell>
          <cell r="D1744">
            <v>0.3</v>
          </cell>
          <cell r="E1744">
            <v>0.04</v>
          </cell>
        </row>
        <row r="1745">
          <cell r="A1745" t="str">
            <v>F0308035017</v>
          </cell>
          <cell r="B1745" t="str">
            <v>氛围灯主副模块</v>
          </cell>
          <cell r="C1745" t="str">
            <v>件</v>
          </cell>
          <cell r="D1745">
            <v>191.43</v>
          </cell>
          <cell r="E1745">
            <v>26.59</v>
          </cell>
        </row>
        <row r="1746">
          <cell r="A1746" t="str">
            <v>F0204003025.2</v>
          </cell>
          <cell r="B1746" t="str">
            <v>方向机总成/仅提供防尘罩
steering gear assembly/dust cover only provided</v>
          </cell>
          <cell r="C1746" t="str">
            <v>件</v>
          </cell>
          <cell r="D1746">
            <v>5.09</v>
          </cell>
          <cell r="E1746">
            <v>0.71</v>
          </cell>
        </row>
        <row r="1747">
          <cell r="A1747" t="str">
            <v>F0204003026.2</v>
          </cell>
          <cell r="B1747" t="str">
            <v>方向机总成  加长/仅提供防尘罩
Extended steering assembly/dust cover only provided</v>
          </cell>
          <cell r="C1747" t="str">
            <v>件</v>
          </cell>
          <cell r="D1747">
            <v>5.09</v>
          </cell>
          <cell r="E1747">
            <v>0.71</v>
          </cell>
        </row>
        <row r="1748">
          <cell r="A1748" t="str">
            <v>F2101188002</v>
          </cell>
          <cell r="B1748" t="str">
            <v>塞打螺丝
screw</v>
          </cell>
          <cell r="C1748" t="str">
            <v>件</v>
          </cell>
          <cell r="D1748">
            <v>3.7</v>
          </cell>
          <cell r="E1748">
            <v>0.51</v>
          </cell>
        </row>
        <row r="1749">
          <cell r="A1749" t="str">
            <v>F2101188003</v>
          </cell>
          <cell r="B1749" t="str">
            <v>塞打螺丝
screw</v>
          </cell>
          <cell r="C1749" t="str">
            <v>件</v>
          </cell>
          <cell r="D1749">
            <v>3.7</v>
          </cell>
          <cell r="E1749">
            <v>0.51</v>
          </cell>
        </row>
        <row r="1755">
          <cell r="B1755">
            <v>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N78"/>
  <sheetViews>
    <sheetView zoomScale="115" zoomScaleNormal="115" zoomScaleSheetLayoutView="130" topLeftCell="A70" workbookViewId="0">
      <selection activeCell="C79" sqref="C79"/>
    </sheetView>
  </sheetViews>
  <sheetFormatPr defaultColWidth="9.1047619047619" defaultRowHeight="12.75"/>
  <cols>
    <col min="1" max="1" width="5.42857142857143" style="9" customWidth="1"/>
    <col min="2" max="2" width="15.7142857142857" style="24" customWidth="1"/>
    <col min="3" max="3" width="35.7142857142857" style="24" customWidth="1"/>
    <col min="4" max="4" width="7.28571428571429" style="24" hidden="1" customWidth="1"/>
    <col min="5" max="5" width="6.85714285714286" style="25" hidden="1" customWidth="1"/>
    <col min="6" max="6" width="13.4095238095238" style="26" customWidth="1"/>
    <col min="7" max="7" width="20.7142857142857" style="26" customWidth="1"/>
    <col min="8" max="8" width="15.7142857142857" style="26" customWidth="1"/>
    <col min="9" max="9" width="15.7142857142857" customWidth="1"/>
    <col min="10" max="10" width="14.1619047619048" customWidth="1"/>
    <col min="11" max="12" width="8.94285714285714" customWidth="1"/>
    <col min="13" max="13" width="16.0380952380952" customWidth="1"/>
  </cols>
  <sheetData>
    <row r="1" ht="53.25" customHeight="1" spans="1:14">
      <c r="A1" s="27" t="s">
        <v>0</v>
      </c>
      <c r="B1" s="28"/>
      <c r="C1" s="28"/>
      <c r="D1" s="28"/>
      <c r="E1" s="28"/>
      <c r="F1" s="29"/>
      <c r="G1" s="29"/>
      <c r="H1" s="29"/>
      <c r="I1" s="30"/>
    </row>
    <row r="2" ht="29" customHeight="1" spans="1:14">
      <c r="A2" s="31" t="s">
        <v>1</v>
      </c>
      <c r="B2" s="32"/>
      <c r="C2" s="33" t="s">
        <v>2</v>
      </c>
      <c r="D2" s="34"/>
      <c r="E2" s="34"/>
      <c r="F2" s="34"/>
      <c r="G2" s="34"/>
      <c r="H2" s="34"/>
      <c r="I2" s="35"/>
      <c r="K2" s="36" t="s">
        <v>3</v>
      </c>
      <c r="L2" s="37" t="s">
        <v>4</v>
      </c>
      <c r="M2" s="38" t="s">
        <v>5</v>
      </c>
    </row>
    <row r="3" ht="29" customHeight="1" spans="1:14">
      <c r="A3" s="33" t="s">
        <v>6</v>
      </c>
      <c r="B3" s="39"/>
      <c r="C3" s="40" t="s">
        <v>7</v>
      </c>
      <c r="D3" s="41"/>
      <c r="E3" s="41"/>
      <c r="F3" s="42" t="s">
        <v>8</v>
      </c>
      <c r="G3" s="34">
        <v>202512370</v>
      </c>
      <c r="H3" s="34"/>
      <c r="I3" s="35"/>
      <c r="K3" s="43"/>
      <c r="L3" s="44" t="s">
        <v>9</v>
      </c>
      <c r="M3" s="45" t="s">
        <v>10</v>
      </c>
    </row>
    <row r="4" ht="29" customHeight="1" spans="1:14">
      <c r="A4" s="46" t="s">
        <v>11</v>
      </c>
      <c r="B4" s="47"/>
      <c r="C4" s="48" t="s">
        <v>12</v>
      </c>
      <c r="D4" s="49"/>
      <c r="E4" s="50"/>
      <c r="F4" s="51" t="s">
        <v>13</v>
      </c>
      <c r="G4" s="52" t="s">
        <v>14</v>
      </c>
      <c r="H4" s="52"/>
      <c r="I4" s="53"/>
      <c r="K4" s="54"/>
      <c r="L4" s="44" t="s">
        <v>15</v>
      </c>
      <c r="M4" s="55" t="s">
        <v>16</v>
      </c>
    </row>
    <row r="5" ht="29" customHeight="1" spans="1:14">
      <c r="A5" s="46" t="s">
        <v>17</v>
      </c>
      <c r="B5" s="56"/>
      <c r="C5" s="57" t="s">
        <v>18</v>
      </c>
      <c r="D5" s="58"/>
      <c r="E5" s="59"/>
      <c r="F5" s="42" t="s">
        <v>19</v>
      </c>
      <c r="G5" s="52" t="s">
        <v>14</v>
      </c>
      <c r="H5" s="52"/>
      <c r="I5" s="53"/>
      <c r="K5" s="60"/>
      <c r="L5" s="44" t="s">
        <v>20</v>
      </c>
      <c r="M5" s="55"/>
    </row>
    <row r="6" ht="29" customHeight="1" spans="1:14">
      <c r="A6" s="33" t="s">
        <v>21</v>
      </c>
      <c r="B6" s="39"/>
      <c r="C6" s="61" t="s">
        <v>22</v>
      </c>
      <c r="D6" s="62"/>
      <c r="E6" s="63"/>
      <c r="F6" s="33" t="s">
        <v>23</v>
      </c>
      <c r="G6" s="64" t="s">
        <v>13</v>
      </c>
      <c r="H6" s="65"/>
      <c r="I6" s="66"/>
    </row>
    <row r="7" ht="29" customHeight="1" spans="1:14">
      <c r="A7" s="46" t="s">
        <v>24</v>
      </c>
      <c r="B7" s="52"/>
      <c r="C7" s="67" t="s">
        <v>25</v>
      </c>
      <c r="D7" s="68"/>
      <c r="E7" s="68"/>
      <c r="F7" s="69">
        <v>10</v>
      </c>
      <c r="G7" s="69" t="s">
        <v>26</v>
      </c>
      <c r="H7" s="34"/>
      <c r="I7" s="70"/>
      <c r="K7" s="71"/>
      <c r="L7" s="72"/>
      <c r="M7" s="73"/>
    </row>
    <row r="8" ht="29" customHeight="1" spans="1:14">
      <c r="A8" s="46" t="s">
        <v>27</v>
      </c>
      <c r="B8" s="52"/>
      <c r="C8" s="67" t="s">
        <v>28</v>
      </c>
      <c r="D8" s="68"/>
      <c r="E8" s="68"/>
      <c r="F8" s="74">
        <v>50</v>
      </c>
      <c r="G8" s="75" t="s">
        <v>26</v>
      </c>
      <c r="H8" s="76"/>
      <c r="I8" s="77"/>
    </row>
    <row r="9" ht="29" customHeight="1" spans="1:14">
      <c r="A9" s="46" t="s">
        <v>29</v>
      </c>
      <c r="B9" s="52"/>
      <c r="C9" s="67" t="s">
        <v>30</v>
      </c>
      <c r="D9" s="68"/>
      <c r="E9" s="68"/>
      <c r="F9" s="33">
        <v>50</v>
      </c>
      <c r="G9" s="33" t="s">
        <v>31</v>
      </c>
      <c r="H9" s="34"/>
      <c r="I9" s="70"/>
    </row>
    <row r="10" ht="29" customHeight="1" spans="1:14">
      <c r="A10" s="46" t="s">
        <v>32</v>
      </c>
      <c r="B10" s="52"/>
      <c r="C10" s="78" t="s">
        <v>33</v>
      </c>
      <c r="D10" s="68"/>
      <c r="E10" s="79"/>
      <c r="F10" s="33">
        <v>50</v>
      </c>
      <c r="G10" s="33" t="s">
        <v>34</v>
      </c>
      <c r="H10" s="34"/>
      <c r="I10" s="70"/>
    </row>
    <row r="11" ht="29" customHeight="1" spans="1:14">
      <c r="A11" s="46" t="s">
        <v>35</v>
      </c>
      <c r="B11" s="52"/>
      <c r="C11" s="67" t="s">
        <v>36</v>
      </c>
      <c r="D11" s="68"/>
      <c r="E11" s="68"/>
      <c r="F11" s="33">
        <v>30</v>
      </c>
      <c r="G11" s="33" t="s">
        <v>37</v>
      </c>
      <c r="H11" s="34"/>
      <c r="I11" s="70"/>
    </row>
    <row r="12" ht="29" customHeight="1" spans="1:14">
      <c r="A12" s="46" t="s">
        <v>38</v>
      </c>
      <c r="B12" s="52"/>
      <c r="C12" s="67" t="s">
        <v>39</v>
      </c>
      <c r="D12" s="68"/>
      <c r="E12" s="80"/>
      <c r="F12" s="33">
        <v>30</v>
      </c>
      <c r="G12" s="33" t="s">
        <v>40</v>
      </c>
      <c r="H12" s="34"/>
      <c r="I12" s="70"/>
    </row>
    <row r="13" s="23" customFormat="1" ht="20" customHeight="1" spans="1:14">
      <c r="A13" s="81" t="s">
        <v>41</v>
      </c>
      <c r="B13" s="82" t="s">
        <v>42</v>
      </c>
      <c r="C13" s="82" t="s">
        <v>43</v>
      </c>
      <c r="D13" s="82" t="s">
        <v>44</v>
      </c>
      <c r="E13" s="83" t="s">
        <v>45</v>
      </c>
      <c r="F13" s="82" t="s">
        <v>46</v>
      </c>
      <c r="G13" s="84" t="s">
        <v>47</v>
      </c>
      <c r="H13" s="85" t="s">
        <v>48</v>
      </c>
      <c r="I13" s="86" t="s">
        <v>49</v>
      </c>
      <c r="J13" s="87" t="s">
        <v>50</v>
      </c>
      <c r="K13" s="87" t="s">
        <v>51</v>
      </c>
      <c r="L13" s="87" t="s">
        <v>52</v>
      </c>
    </row>
    <row r="14" s="23" customFormat="1" ht="20" customHeight="1" spans="1:14">
      <c r="A14" s="88">
        <v>1</v>
      </c>
      <c r="B14" s="89" t="s">
        <v>53</v>
      </c>
      <c r="C14" s="89" t="s">
        <v>54</v>
      </c>
      <c r="D14" s="89" t="s">
        <v>55</v>
      </c>
      <c r="E14" s="90">
        <v>1</v>
      </c>
      <c r="F14" s="90">
        <v>36</v>
      </c>
      <c r="G14" s="91" t="s">
        <v>56</v>
      </c>
      <c r="H14" s="92"/>
      <c r="I14" s="93" t="s">
        <v>57</v>
      </c>
      <c r="J14" s="94" t="str">
        <f>VLOOKUP(B14,'[1]6.16分类'!$A$1:$D$10000,4,0)</f>
        <v>车身部件</v>
      </c>
      <c r="K14" s="94">
        <f>VLOOKUP(B14,'[2]7.2美元汇率7月1日版本'!$A$1:$E$10000,5,0)</f>
        <v>9.13</v>
      </c>
      <c r="L14" s="94">
        <f t="shared" ref="L14:L69" si="0">K14*F14</f>
        <v>328.68</v>
      </c>
    </row>
    <row r="15" s="23" customFormat="1" ht="20" customHeight="1" spans="1:14">
      <c r="A15" s="95">
        <v>2</v>
      </c>
      <c r="B15" s="96" t="s">
        <v>53</v>
      </c>
      <c r="C15" s="96" t="s">
        <v>54</v>
      </c>
      <c r="D15" s="96" t="s">
        <v>55</v>
      </c>
      <c r="E15" s="97">
        <v>1</v>
      </c>
      <c r="F15" s="97">
        <v>36</v>
      </c>
      <c r="G15" s="98" t="s">
        <v>58</v>
      </c>
      <c r="H15" s="99"/>
      <c r="I15" s="100"/>
      <c r="J15" s="94" t="str">
        <f>VLOOKUP(B15,'[1]6.16分类'!$A$1:$D$10000,4,0)</f>
        <v>车身部件</v>
      </c>
      <c r="K15" s="94">
        <f>VLOOKUP(B15,'[2]7.2美元汇率7月1日版本'!$A$1:$E$10000,5,0)</f>
        <v>9.13</v>
      </c>
      <c r="L15" s="94">
        <f t="shared" si="0"/>
        <v>328.68</v>
      </c>
    </row>
    <row r="16" s="23" customFormat="1" ht="20" customHeight="1" spans="1:14">
      <c r="A16" s="95">
        <v>3</v>
      </c>
      <c r="B16" s="96" t="s">
        <v>59</v>
      </c>
      <c r="C16" s="96" t="s">
        <v>60</v>
      </c>
      <c r="D16" s="96" t="s">
        <v>55</v>
      </c>
      <c r="E16" s="97">
        <v>1</v>
      </c>
      <c r="F16" s="97">
        <v>50</v>
      </c>
      <c r="G16" s="101" t="s">
        <v>61</v>
      </c>
      <c r="H16" s="99"/>
      <c r="I16" s="100"/>
      <c r="J16" s="94" t="str">
        <f>VLOOKUP(B16,'[1]6.16分类'!$A$1:$D$10000,4,0)</f>
        <v>塑料件</v>
      </c>
      <c r="K16" s="94">
        <f>VLOOKUP(B16,'[2]7.2美元汇率7月1日版本'!$A$1:$E$10000,5,0)</f>
        <v>4.64</v>
      </c>
      <c r="L16" s="94">
        <f t="shared" si="0"/>
        <v>232</v>
      </c>
      <c r="N16" s="23">
        <v>5</v>
      </c>
    </row>
    <row r="17" s="23" customFormat="1" ht="20" customHeight="1" spans="1:14">
      <c r="A17" s="95">
        <v>4</v>
      </c>
      <c r="B17" s="96" t="s">
        <v>62</v>
      </c>
      <c r="C17" s="96" t="s">
        <v>63</v>
      </c>
      <c r="D17" s="96" t="s">
        <v>55</v>
      </c>
      <c r="E17" s="97">
        <v>1</v>
      </c>
      <c r="F17" s="97">
        <v>50</v>
      </c>
      <c r="G17" s="101"/>
      <c r="H17" s="99"/>
      <c r="I17" s="100"/>
      <c r="J17" s="94" t="str">
        <f>VLOOKUP(B17,'[1]6.16分类'!$A$1:$D$10000,4,0)</f>
        <v>塑料件</v>
      </c>
      <c r="K17" s="94">
        <f>VLOOKUP(B17,'[2]7.2美元汇率7月1日版本'!$A$1:$E$10000,5,0)</f>
        <v>4.64</v>
      </c>
      <c r="L17" s="94">
        <f t="shared" si="0"/>
        <v>232</v>
      </c>
      <c r="N17" s="23">
        <v>7</v>
      </c>
    </row>
    <row r="18" s="23" customFormat="1" ht="20" customHeight="1" spans="1:14">
      <c r="A18" s="95">
        <v>5</v>
      </c>
      <c r="B18" s="96" t="s">
        <v>64</v>
      </c>
      <c r="C18" s="96" t="s">
        <v>65</v>
      </c>
      <c r="D18" s="96" t="s">
        <v>55</v>
      </c>
      <c r="E18" s="97">
        <v>1</v>
      </c>
      <c r="F18" s="97">
        <v>70</v>
      </c>
      <c r="G18" s="102" t="s">
        <v>66</v>
      </c>
      <c r="H18" s="99"/>
      <c r="I18" s="100"/>
      <c r="J18" s="94" t="str">
        <f>VLOOKUP(B18,'[1]6.16分类'!$A$1:$D$10000,4,0)</f>
        <v>塑料件</v>
      </c>
      <c r="K18" s="94">
        <f>VLOOKUP(B18,'[2]7.2美元汇率7月1日版本'!$A$1:$E$10000,5,0)</f>
        <v>5.13</v>
      </c>
      <c r="L18" s="94">
        <f t="shared" si="0"/>
        <v>359.1</v>
      </c>
      <c r="N18" s="23">
        <v>2</v>
      </c>
    </row>
    <row r="19" s="23" customFormat="1" ht="20" customHeight="1" spans="1:14">
      <c r="A19" s="95">
        <v>6</v>
      </c>
      <c r="B19" s="96" t="s">
        <v>67</v>
      </c>
      <c r="C19" s="96" t="s">
        <v>68</v>
      </c>
      <c r="D19" s="96" t="s">
        <v>55</v>
      </c>
      <c r="E19" s="97">
        <v>1</v>
      </c>
      <c r="F19" s="97">
        <v>70</v>
      </c>
      <c r="G19" s="98"/>
      <c r="H19" s="99"/>
      <c r="I19" s="100"/>
      <c r="J19" s="94" t="str">
        <f>VLOOKUP(B19,'[1]6.16分类'!$A$1:$D$10000,4,0)</f>
        <v>塑料件</v>
      </c>
      <c r="K19" s="94">
        <f>VLOOKUP(B19,'[2]7.2美元汇率7月1日版本'!$A$1:$E$10000,5,0)</f>
        <v>5.13</v>
      </c>
      <c r="L19" s="94">
        <f t="shared" si="0"/>
        <v>359.1</v>
      </c>
      <c r="N19" s="23">
        <v>4</v>
      </c>
    </row>
    <row r="20" s="23" customFormat="1" ht="20" customHeight="1" spans="1:14">
      <c r="A20" s="95">
        <v>7</v>
      </c>
      <c r="B20" s="96" t="s">
        <v>53</v>
      </c>
      <c r="C20" s="96" t="s">
        <v>54</v>
      </c>
      <c r="D20" s="96" t="s">
        <v>55</v>
      </c>
      <c r="E20" s="97">
        <v>1</v>
      </c>
      <c r="F20" s="97">
        <v>36</v>
      </c>
      <c r="G20" s="103" t="s">
        <v>69</v>
      </c>
      <c r="H20" s="99"/>
      <c r="I20" s="100"/>
      <c r="J20" s="94" t="str">
        <f>VLOOKUP(B20,'[1]6.16分类'!$A$1:$D$10000,4,0)</f>
        <v>车身部件</v>
      </c>
      <c r="K20" s="94">
        <f>VLOOKUP(B20,'[2]7.2美元汇率7月1日版本'!$A$1:$E$10000,5,0)</f>
        <v>9.13</v>
      </c>
      <c r="L20" s="94">
        <f t="shared" si="0"/>
        <v>328.68</v>
      </c>
    </row>
    <row r="21" s="23" customFormat="1" ht="20" customHeight="1" spans="1:14">
      <c r="A21" s="95">
        <v>8</v>
      </c>
      <c r="B21" s="96" t="s">
        <v>53</v>
      </c>
      <c r="C21" s="96" t="s">
        <v>54</v>
      </c>
      <c r="D21" s="96" t="s">
        <v>55</v>
      </c>
      <c r="E21" s="97">
        <v>1</v>
      </c>
      <c r="F21" s="104">
        <v>32</v>
      </c>
      <c r="G21" s="103" t="s">
        <v>70</v>
      </c>
      <c r="H21" s="99"/>
      <c r="I21" s="100"/>
      <c r="J21" s="94" t="str">
        <f>VLOOKUP(B21,'[1]6.16分类'!$A$1:$D$10000,4,0)</f>
        <v>车身部件</v>
      </c>
      <c r="K21" s="94">
        <f>VLOOKUP(B21,'[2]7.2美元汇率7月1日版本'!$A$1:$E$10000,5,0)</f>
        <v>9.13</v>
      </c>
      <c r="L21" s="94">
        <f t="shared" si="0"/>
        <v>292.16</v>
      </c>
    </row>
    <row r="22" s="23" customFormat="1" ht="20" customHeight="1" spans="1:14">
      <c r="A22" s="95">
        <v>9</v>
      </c>
      <c r="B22" s="105" t="s">
        <v>71</v>
      </c>
      <c r="C22" s="105" t="s">
        <v>72</v>
      </c>
      <c r="D22" s="105" t="s">
        <v>55</v>
      </c>
      <c r="E22" s="97">
        <v>1</v>
      </c>
      <c r="F22" s="97">
        <v>32</v>
      </c>
      <c r="G22" s="98" t="s">
        <v>73</v>
      </c>
      <c r="H22" s="99"/>
      <c r="I22" s="100"/>
      <c r="J22" s="94" t="str">
        <f>VLOOKUP(B22,'[1]6.16分类'!$A$1:$D$10000,4,0)</f>
        <v>车载液晶显示器</v>
      </c>
      <c r="K22" s="94">
        <f>VLOOKUP(B22,'[2]7.2美元汇率7月1日版本'!$A$1:$E$10000,5,0)</f>
        <v>112.88</v>
      </c>
      <c r="L22" s="94">
        <f t="shared" si="0"/>
        <v>3612.16</v>
      </c>
    </row>
    <row r="23" s="23" customFormat="1" ht="20" customHeight="1" spans="1:14">
      <c r="A23" s="95">
        <v>10</v>
      </c>
      <c r="B23" s="105" t="s">
        <v>74</v>
      </c>
      <c r="C23" s="105" t="s">
        <v>75</v>
      </c>
      <c r="D23" s="105" t="s">
        <v>55</v>
      </c>
      <c r="E23" s="97">
        <v>4</v>
      </c>
      <c r="F23" s="97">
        <v>242</v>
      </c>
      <c r="G23" s="98" t="s">
        <v>76</v>
      </c>
      <c r="H23" s="99"/>
      <c r="I23" s="100"/>
      <c r="J23" s="94" t="str">
        <f>VLOOKUP(B23,'[1]6.16分类'!$A$1:$D$10000,4,0)</f>
        <v>车身部件</v>
      </c>
      <c r="K23" s="94">
        <f>VLOOKUP(B23,'[2]7.2美元汇率7月1日版本'!$A$1:$E$10000,5,0)</f>
        <v>4.85</v>
      </c>
      <c r="L23" s="94">
        <f t="shared" si="0"/>
        <v>1173.7</v>
      </c>
    </row>
    <row r="24" s="23" customFormat="1" ht="20" customHeight="1" spans="1:14">
      <c r="A24" s="95">
        <v>11</v>
      </c>
      <c r="B24" s="96" t="s">
        <v>59</v>
      </c>
      <c r="C24" s="96" t="s">
        <v>60</v>
      </c>
      <c r="D24" s="96" t="s">
        <v>55</v>
      </c>
      <c r="E24" s="97">
        <v>1</v>
      </c>
      <c r="F24" s="97">
        <v>20</v>
      </c>
      <c r="G24" s="106" t="s">
        <v>77</v>
      </c>
      <c r="H24" s="99"/>
      <c r="I24" s="100"/>
      <c r="J24" s="94" t="str">
        <f>VLOOKUP(B24,'[1]6.16分类'!$A$1:$D$10000,4,0)</f>
        <v>塑料件</v>
      </c>
      <c r="K24" s="94">
        <f>VLOOKUP(B24,'[2]7.2美元汇率7月1日版本'!$A$1:$E$10000,5,0)</f>
        <v>4.64</v>
      </c>
      <c r="L24" s="94">
        <f t="shared" si="0"/>
        <v>92.8</v>
      </c>
      <c r="N24" s="23">
        <v>10</v>
      </c>
    </row>
    <row r="25" s="23" customFormat="1" ht="20" customHeight="1" spans="1:14">
      <c r="A25" s="95">
        <v>12</v>
      </c>
      <c r="B25" s="96" t="s">
        <v>62</v>
      </c>
      <c r="C25" s="96" t="s">
        <v>63</v>
      </c>
      <c r="D25" s="96" t="s">
        <v>55</v>
      </c>
      <c r="E25" s="97">
        <v>1</v>
      </c>
      <c r="F25" s="97">
        <v>20</v>
      </c>
      <c r="G25" s="107"/>
      <c r="H25" s="99"/>
      <c r="I25" s="100"/>
      <c r="J25" s="94" t="str">
        <f>VLOOKUP(B25,'[1]6.16分类'!$A$1:$D$10000,4,0)</f>
        <v>塑料件</v>
      </c>
      <c r="K25" s="94">
        <f>VLOOKUP(B25,'[2]7.2美元汇率7月1日版本'!$A$1:$E$10000,5,0)</f>
        <v>4.64</v>
      </c>
      <c r="L25" s="94">
        <f t="shared" si="0"/>
        <v>92.8</v>
      </c>
      <c r="N25" s="23">
        <v>3</v>
      </c>
    </row>
    <row r="26" s="23" customFormat="1" ht="20" customHeight="1" spans="1:14">
      <c r="A26" s="95">
        <v>13</v>
      </c>
      <c r="B26" s="153" t="s">
        <v>78</v>
      </c>
      <c r="C26" s="153" t="s">
        <v>79</v>
      </c>
      <c r="D26" s="153" t="s">
        <v>80</v>
      </c>
      <c r="E26" s="97">
        <v>2</v>
      </c>
      <c r="F26" s="97">
        <v>140</v>
      </c>
      <c r="G26" s="98" t="s">
        <v>73</v>
      </c>
      <c r="H26" s="99"/>
      <c r="I26" s="100"/>
      <c r="J26" s="94" t="str">
        <f>VLOOKUP(B26,'[1]6.16分类'!$A$1:$D$10000,4,0)</f>
        <v>塑料件</v>
      </c>
      <c r="K26" s="94">
        <f>VLOOKUP(B26,'[2]7.2美元汇率7月1日版本'!$A$1:$E$10000,5,0)</f>
        <v>1.38</v>
      </c>
      <c r="L26" s="94">
        <f t="shared" si="0"/>
        <v>193.2</v>
      </c>
      <c r="N26" s="23">
        <v>4</v>
      </c>
    </row>
    <row r="27" s="23" customFormat="1" ht="20" customHeight="1" spans="1:14">
      <c r="A27" s="95">
        <v>14</v>
      </c>
      <c r="B27" s="105" t="s">
        <v>81</v>
      </c>
      <c r="C27" s="105" t="s">
        <v>82</v>
      </c>
      <c r="D27" s="96" t="s">
        <v>55</v>
      </c>
      <c r="E27" s="97">
        <v>1</v>
      </c>
      <c r="F27" s="104">
        <v>40</v>
      </c>
      <c r="G27" s="98" t="s">
        <v>83</v>
      </c>
      <c r="H27" s="99"/>
      <c r="I27" s="100"/>
      <c r="J27" s="94" t="str">
        <f>VLOOKUP(B27,'[1]6.16分类'!$A$1:$D$10000,4,0)</f>
        <v>车身部件</v>
      </c>
      <c r="K27" s="94">
        <f>VLOOKUP(B27,'[2]7.2美元汇率7月1日版本'!$A$1:$E$10000,5,0)</f>
        <v>28.81</v>
      </c>
      <c r="L27" s="94">
        <f t="shared" si="0"/>
        <v>1152.4</v>
      </c>
    </row>
    <row r="28" s="23" customFormat="1" ht="20" customHeight="1" spans="1:14">
      <c r="A28" s="95">
        <v>15</v>
      </c>
      <c r="B28" s="105" t="s">
        <v>81</v>
      </c>
      <c r="C28" s="105" t="s">
        <v>82</v>
      </c>
      <c r="D28" s="96" t="s">
        <v>55</v>
      </c>
      <c r="E28" s="97">
        <v>1</v>
      </c>
      <c r="F28" s="104">
        <v>30</v>
      </c>
      <c r="G28" s="98" t="s">
        <v>84</v>
      </c>
      <c r="H28" s="99"/>
      <c r="I28" s="100"/>
      <c r="J28" s="94" t="str">
        <f>VLOOKUP(B28,'[1]6.16分类'!$A$1:$D$10000,4,0)</f>
        <v>车身部件</v>
      </c>
      <c r="K28" s="94">
        <f>VLOOKUP(B28,'[2]7.2美元汇率7月1日版本'!$A$1:$E$10000,5,0)</f>
        <v>28.81</v>
      </c>
      <c r="L28" s="94">
        <f t="shared" si="0"/>
        <v>864.3</v>
      </c>
    </row>
    <row r="29" s="23" customFormat="1" ht="20" customHeight="1" spans="1:14">
      <c r="A29" s="95">
        <v>16</v>
      </c>
      <c r="B29" s="153" t="s">
        <v>85</v>
      </c>
      <c r="C29" s="153" t="s">
        <v>86</v>
      </c>
      <c r="D29" s="153" t="s">
        <v>80</v>
      </c>
      <c r="E29" s="108">
        <v>1</v>
      </c>
      <c r="F29" s="97">
        <v>100</v>
      </c>
      <c r="G29" s="98" t="s">
        <v>87</v>
      </c>
      <c r="H29" s="99"/>
      <c r="I29" s="100"/>
      <c r="J29" s="94" t="str">
        <f>VLOOKUP(B29,'[1]6.16分类'!$A$1:$D$10000,4,0)</f>
        <v>塑料件</v>
      </c>
      <c r="K29" s="94">
        <f>VLOOKUP(B29,'[2]7.2美元汇率7月1日版本'!$A$1:$E$10000,5,0)</f>
        <v>4.1</v>
      </c>
      <c r="L29" s="94">
        <f t="shared" si="0"/>
        <v>410</v>
      </c>
      <c r="N29" s="23">
        <v>3</v>
      </c>
    </row>
    <row r="30" s="23" customFormat="1" ht="20" customHeight="1" spans="1:14">
      <c r="A30" s="95">
        <v>17</v>
      </c>
      <c r="B30" s="105" t="s">
        <v>88</v>
      </c>
      <c r="C30" s="105" t="s">
        <v>89</v>
      </c>
      <c r="D30" s="96" t="s">
        <v>55</v>
      </c>
      <c r="E30" s="97">
        <v>1</v>
      </c>
      <c r="F30" s="104">
        <v>30</v>
      </c>
      <c r="G30" s="98" t="s">
        <v>90</v>
      </c>
      <c r="H30" s="99"/>
      <c r="I30" s="100"/>
      <c r="J30" s="94" t="str">
        <f>VLOOKUP(B30,'[1]6.16分类'!$A$1:$D$10000,4,0)</f>
        <v>车身部件</v>
      </c>
      <c r="K30" s="94">
        <f>VLOOKUP(B30,'[2]7.2美元汇率7月1日版本'!$A$1:$E$10000,5,0)</f>
        <v>28.81</v>
      </c>
      <c r="L30" s="94">
        <f t="shared" si="0"/>
        <v>864.3</v>
      </c>
    </row>
    <row r="31" s="23" customFormat="1" ht="20" customHeight="1" spans="1:14">
      <c r="A31" s="95">
        <v>18</v>
      </c>
      <c r="B31" s="105" t="s">
        <v>88</v>
      </c>
      <c r="C31" s="105" t="s">
        <v>89</v>
      </c>
      <c r="D31" s="96" t="s">
        <v>55</v>
      </c>
      <c r="E31" s="97">
        <v>1</v>
      </c>
      <c r="F31" s="97">
        <v>40</v>
      </c>
      <c r="G31" s="98" t="s">
        <v>91</v>
      </c>
      <c r="H31" s="99"/>
      <c r="I31" s="100"/>
      <c r="J31" s="94" t="str">
        <f>VLOOKUP(B31,'[1]6.16分类'!$A$1:$D$10000,4,0)</f>
        <v>车身部件</v>
      </c>
      <c r="K31" s="94">
        <f>VLOOKUP(B31,'[2]7.2美元汇率7月1日版本'!$A$1:$E$10000,5,0)</f>
        <v>28.81</v>
      </c>
      <c r="L31" s="94">
        <f t="shared" si="0"/>
        <v>1152.4</v>
      </c>
    </row>
    <row r="32" s="23" customFormat="1" ht="20" customHeight="1" spans="1:14">
      <c r="A32" s="95">
        <v>19</v>
      </c>
      <c r="B32" s="153" t="s">
        <v>85</v>
      </c>
      <c r="C32" s="153" t="s">
        <v>86</v>
      </c>
      <c r="D32" s="153" t="s">
        <v>80</v>
      </c>
      <c r="E32" s="108">
        <v>1</v>
      </c>
      <c r="F32" s="97">
        <v>30</v>
      </c>
      <c r="G32" s="98" t="s">
        <v>92</v>
      </c>
      <c r="H32" s="99"/>
      <c r="I32" s="100"/>
      <c r="J32" s="94" t="str">
        <f>VLOOKUP(B32,'[1]6.16分类'!$A$1:$D$10000,4,0)</f>
        <v>塑料件</v>
      </c>
      <c r="K32" s="94">
        <f>VLOOKUP(B32,'[2]7.2美元汇率7月1日版本'!$A$1:$E$10000,5,0)</f>
        <v>4.1</v>
      </c>
      <c r="L32" s="94">
        <f t="shared" si="0"/>
        <v>123</v>
      </c>
      <c r="N32" s="23">
        <v>4</v>
      </c>
    </row>
    <row r="33" s="23" customFormat="1" ht="20" customHeight="1" spans="1:14">
      <c r="A33" s="95">
        <v>20</v>
      </c>
      <c r="B33" s="153" t="s">
        <v>93</v>
      </c>
      <c r="C33" s="153" t="s">
        <v>94</v>
      </c>
      <c r="D33" s="153" t="s">
        <v>80</v>
      </c>
      <c r="E33" s="108">
        <v>1</v>
      </c>
      <c r="F33" s="97">
        <v>55</v>
      </c>
      <c r="G33" s="98" t="s">
        <v>95</v>
      </c>
      <c r="H33" s="99"/>
      <c r="I33" s="100"/>
      <c r="J33" s="94" t="str">
        <f>VLOOKUP(B33,'[1]6.16分类'!$A$1:$D$10000,4,0)</f>
        <v>塑料件</v>
      </c>
      <c r="K33" s="94">
        <f>VLOOKUP(B33,'[2]7.2美元汇率7月1日版本'!$A$1:$E$10000,5,0)</f>
        <v>4.45</v>
      </c>
      <c r="L33" s="94">
        <f t="shared" si="0"/>
        <v>244.75</v>
      </c>
      <c r="N33" s="23">
        <v>1</v>
      </c>
    </row>
    <row r="34" s="23" customFormat="1" ht="20" customHeight="1" spans="1:14">
      <c r="A34" s="95">
        <v>21</v>
      </c>
      <c r="B34" s="105" t="s">
        <v>96</v>
      </c>
      <c r="C34" s="105" t="s">
        <v>97</v>
      </c>
      <c r="D34" s="154" t="s">
        <v>55</v>
      </c>
      <c r="E34" s="110">
        <v>1</v>
      </c>
      <c r="F34" s="97">
        <v>140</v>
      </c>
      <c r="G34" s="106" t="s">
        <v>98</v>
      </c>
      <c r="H34" s="99"/>
      <c r="I34" s="100"/>
      <c r="J34" s="94" t="str">
        <f>VLOOKUP(B34,'[1]6.16分类'!$A$1:$D$10000,4,0)</f>
        <v>底盘部件</v>
      </c>
      <c r="K34" s="94">
        <f>VLOOKUP(B34,'[2]7.2美元汇率7月1日版本'!$A$1:$E$10000,5,0)</f>
        <v>13.21</v>
      </c>
      <c r="L34" s="94">
        <f t="shared" si="0"/>
        <v>1849.4</v>
      </c>
    </row>
    <row r="35" s="23" customFormat="1" ht="20" customHeight="1" spans="1:14">
      <c r="A35" s="95">
        <v>22</v>
      </c>
      <c r="B35" s="105" t="s">
        <v>99</v>
      </c>
      <c r="C35" s="105" t="s">
        <v>100</v>
      </c>
      <c r="D35" s="154" t="s">
        <v>55</v>
      </c>
      <c r="E35" s="110">
        <v>1</v>
      </c>
      <c r="F35" s="97">
        <v>140</v>
      </c>
      <c r="G35" s="101"/>
      <c r="H35" s="99"/>
      <c r="I35" s="100"/>
      <c r="J35" s="94" t="str">
        <f>VLOOKUP(B35,'[1]6.16分类'!$A$1:$D$10000,4,0)</f>
        <v>底盘部件</v>
      </c>
      <c r="K35" s="94">
        <f>VLOOKUP(B35,'[2]7.2美元汇率7月1日版本'!$A$1:$E$10000,5,0)</f>
        <v>0.88</v>
      </c>
      <c r="L35" s="94">
        <f t="shared" si="0"/>
        <v>123.2</v>
      </c>
    </row>
    <row r="36" s="23" customFormat="1" ht="20" customHeight="1" spans="1:14">
      <c r="A36" s="95">
        <v>23</v>
      </c>
      <c r="B36" s="105" t="s">
        <v>101</v>
      </c>
      <c r="C36" s="105" t="s">
        <v>102</v>
      </c>
      <c r="D36" s="154" t="s">
        <v>55</v>
      </c>
      <c r="E36" s="110">
        <v>2</v>
      </c>
      <c r="F36" s="97">
        <v>280</v>
      </c>
      <c r="G36" s="101"/>
      <c r="H36" s="99"/>
      <c r="I36" s="100"/>
      <c r="J36" s="94" t="str">
        <f>VLOOKUP(B36,'[1]6.16分类'!$A$1:$D$10000,4,0)</f>
        <v>底盘部件</v>
      </c>
      <c r="K36" s="94">
        <f>VLOOKUP(B36,'[2]7.2美元汇率7月1日版本'!$A$1:$E$10000,5,0)</f>
        <v>0.48</v>
      </c>
      <c r="L36" s="94">
        <f t="shared" si="0"/>
        <v>134.4</v>
      </c>
    </row>
    <row r="37" s="23" customFormat="1" ht="20" customHeight="1" spans="1:14">
      <c r="A37" s="95">
        <v>24</v>
      </c>
      <c r="B37" s="105" t="s">
        <v>103</v>
      </c>
      <c r="C37" s="105" t="s">
        <v>104</v>
      </c>
      <c r="D37" s="105" t="s">
        <v>55</v>
      </c>
      <c r="E37" s="97">
        <v>1</v>
      </c>
      <c r="F37" s="97">
        <v>70</v>
      </c>
      <c r="G37" s="101"/>
      <c r="H37" s="99"/>
      <c r="I37" s="100"/>
      <c r="J37" s="94" t="str">
        <f>VLOOKUP(B37,'[1]6.16分类'!$A$1:$D$10000,4,0)</f>
        <v>底盘部件</v>
      </c>
      <c r="K37" s="94">
        <f>VLOOKUP(B37,'[2]7.2美元汇率7月1日版本'!$A$1:$E$10000,5,0)</f>
        <v>8.76</v>
      </c>
      <c r="L37" s="94">
        <f t="shared" si="0"/>
        <v>613.2</v>
      </c>
    </row>
    <row r="38" s="23" customFormat="1" ht="20" customHeight="1" spans="1:14">
      <c r="A38" s="95">
        <v>25</v>
      </c>
      <c r="B38" s="105" t="s">
        <v>105</v>
      </c>
      <c r="C38" s="105" t="s">
        <v>104</v>
      </c>
      <c r="D38" s="105" t="s">
        <v>55</v>
      </c>
      <c r="E38" s="97">
        <v>1</v>
      </c>
      <c r="F38" s="97">
        <v>70</v>
      </c>
      <c r="G38" s="107"/>
      <c r="H38" s="99"/>
      <c r="I38" s="100"/>
      <c r="J38" s="94" t="str">
        <f>VLOOKUP(B38,'[1]6.16分类'!$A$1:$D$10000,4,0)</f>
        <v>底盘部件</v>
      </c>
      <c r="K38" s="94">
        <f>VLOOKUP(B38,'[2]7.2美元汇率7月1日版本'!$A$1:$E$10000,5,0)</f>
        <v>8.76</v>
      </c>
      <c r="L38" s="94">
        <f t="shared" si="0"/>
        <v>613.2</v>
      </c>
    </row>
    <row r="39" s="23" customFormat="1" ht="20" customHeight="1" spans="1:14">
      <c r="A39" s="95">
        <v>26</v>
      </c>
      <c r="B39" s="105" t="s">
        <v>106</v>
      </c>
      <c r="C39" s="155" t="s">
        <v>107</v>
      </c>
      <c r="D39" s="105" t="s">
        <v>55</v>
      </c>
      <c r="E39" s="97">
        <v>1</v>
      </c>
      <c r="F39" s="97">
        <v>70</v>
      </c>
      <c r="G39" s="106" t="s">
        <v>98</v>
      </c>
      <c r="H39" s="99"/>
      <c r="I39" s="100"/>
      <c r="J39" s="94" t="str">
        <f>VLOOKUP(B39,'[1]6.16分类'!$A$1:$D$10000,4,0)</f>
        <v>底盘部件</v>
      </c>
      <c r="K39" s="94">
        <f>VLOOKUP(B39,'[2]7.2美元汇率7月1日版本'!$A$1:$E$10000,5,0)</f>
        <v>25.35</v>
      </c>
      <c r="L39" s="94">
        <f t="shared" si="0"/>
        <v>1774.5</v>
      </c>
    </row>
    <row r="40" s="23" customFormat="1" ht="20" customHeight="1" spans="1:14">
      <c r="A40" s="95">
        <v>27</v>
      </c>
      <c r="B40" s="97" t="s">
        <v>108</v>
      </c>
      <c r="C40" s="97" t="s">
        <v>109</v>
      </c>
      <c r="D40" s="97" t="s">
        <v>55</v>
      </c>
      <c r="E40" s="97">
        <v>1</v>
      </c>
      <c r="F40" s="97">
        <v>140</v>
      </c>
      <c r="G40" s="107"/>
      <c r="H40" s="99"/>
      <c r="I40" s="100"/>
      <c r="J40" s="94" t="str">
        <f>VLOOKUP(B40,'[1]6.16分类'!$A$1:$D$10000,4,0)</f>
        <v>制动部件</v>
      </c>
      <c r="K40" s="94">
        <f>VLOOKUP(B40,'[2]7.2美元汇率7月1日版本'!$A$1:$E$10000,5,0)</f>
        <v>10.35</v>
      </c>
      <c r="L40" s="94">
        <f t="shared" si="0"/>
        <v>1449</v>
      </c>
    </row>
    <row r="41" s="23" customFormat="1" ht="20" customHeight="1" spans="1:14">
      <c r="A41" s="95">
        <v>28</v>
      </c>
      <c r="B41" s="111" t="s">
        <v>110</v>
      </c>
      <c r="C41" s="156" t="s">
        <v>111</v>
      </c>
      <c r="D41" s="153" t="s">
        <v>55</v>
      </c>
      <c r="E41" s="97">
        <v>1</v>
      </c>
      <c r="F41" s="97">
        <v>80</v>
      </c>
      <c r="G41" s="106" t="s">
        <v>112</v>
      </c>
      <c r="H41" s="99"/>
      <c r="I41" s="100"/>
      <c r="J41" s="94" t="str">
        <f>VLOOKUP(B41,'[1]6.16分类'!$A$1:$D$10000,4,0)</f>
        <v>车身部件</v>
      </c>
      <c r="K41" s="94">
        <f>VLOOKUP(B41,'[2]7.2美元汇率7月1日版本'!$A$1:$E$10000,5,0)</f>
        <v>6.58</v>
      </c>
      <c r="L41" s="94">
        <f t="shared" si="0"/>
        <v>526.4</v>
      </c>
    </row>
    <row r="42" s="23" customFormat="1" ht="20" customHeight="1" spans="1:14">
      <c r="A42" s="95">
        <v>29</v>
      </c>
      <c r="B42" s="105" t="s">
        <v>113</v>
      </c>
      <c r="C42" s="105" t="s">
        <v>114</v>
      </c>
      <c r="D42" s="112" t="s">
        <v>55</v>
      </c>
      <c r="E42" s="97">
        <v>6</v>
      </c>
      <c r="F42" s="104">
        <v>420</v>
      </c>
      <c r="G42" s="107"/>
      <c r="H42" s="99"/>
      <c r="I42" s="100"/>
      <c r="J42" s="94" t="str">
        <f>VLOOKUP(B42,'[1]6.16分类'!$A$1:$D$10000,4,0)</f>
        <v>车身部件</v>
      </c>
      <c r="K42" s="94">
        <f>VLOOKUP(B42,'[2]7.2美元汇率7月1日版本'!$A$1:$E$10000,5,0)</f>
        <v>1.43</v>
      </c>
      <c r="L42" s="94">
        <f t="shared" si="0"/>
        <v>600.6</v>
      </c>
    </row>
    <row r="43" s="23" customFormat="1" ht="20" customHeight="1" spans="1:14">
      <c r="A43" s="95">
        <v>30</v>
      </c>
      <c r="B43" s="156" t="s">
        <v>115</v>
      </c>
      <c r="C43" s="96" t="s">
        <v>116</v>
      </c>
      <c r="D43" s="156" t="s">
        <v>80</v>
      </c>
      <c r="E43" s="110">
        <v>1</v>
      </c>
      <c r="F43" s="97">
        <v>15</v>
      </c>
      <c r="G43" s="98" t="s">
        <v>117</v>
      </c>
      <c r="H43" s="99"/>
      <c r="I43" s="100"/>
      <c r="J43" s="94" t="str">
        <f>VLOOKUP(B43,'[1]6.16分类'!$A$1:$D$10000,4,0)</f>
        <v>塑料件</v>
      </c>
      <c r="K43" s="94">
        <f>VLOOKUP(B43,'[2]7.2美元汇率7月1日版本'!$A$1:$E$10000,5,0)</f>
        <v>21.83</v>
      </c>
      <c r="L43" s="94">
        <f t="shared" si="0"/>
        <v>327.45</v>
      </c>
      <c r="N43" s="23">
        <v>4</v>
      </c>
    </row>
    <row r="44" s="23" customFormat="1" ht="20" customHeight="1" spans="1:14">
      <c r="A44" s="95">
        <v>31</v>
      </c>
      <c r="B44" s="153" t="s">
        <v>118</v>
      </c>
      <c r="C44" s="153" t="s">
        <v>119</v>
      </c>
      <c r="D44" s="153" t="s">
        <v>80</v>
      </c>
      <c r="E44" s="108">
        <v>1</v>
      </c>
      <c r="F44" s="97">
        <v>80</v>
      </c>
      <c r="G44" s="98" t="s">
        <v>120</v>
      </c>
      <c r="H44" s="99"/>
      <c r="I44" s="100"/>
      <c r="J44" s="94" t="str">
        <f>VLOOKUP(B44,'[1]6.16分类'!$A$1:$D$10000,4,0)</f>
        <v>塑料件</v>
      </c>
      <c r="K44" s="94">
        <f>VLOOKUP(B44,'[2]7.2美元汇率7月1日版本'!$A$1:$E$10000,5,0)</f>
        <v>2.69</v>
      </c>
      <c r="L44" s="94">
        <f t="shared" si="0"/>
        <v>215.2</v>
      </c>
      <c r="N44" s="23">
        <v>10</v>
      </c>
    </row>
    <row r="45" s="23" customFormat="1" ht="20" customHeight="1" spans="1:14">
      <c r="A45" s="95">
        <v>32</v>
      </c>
      <c r="B45" s="153" t="s">
        <v>85</v>
      </c>
      <c r="C45" s="153" t="s">
        <v>86</v>
      </c>
      <c r="D45" s="153" t="s">
        <v>80</v>
      </c>
      <c r="E45" s="108">
        <v>1</v>
      </c>
      <c r="F45" s="97">
        <v>10</v>
      </c>
      <c r="G45" s="98" t="s">
        <v>121</v>
      </c>
      <c r="H45" s="99"/>
      <c r="I45" s="100"/>
      <c r="J45" s="94" t="str">
        <f>VLOOKUP(B45,'[1]6.16分类'!$A$1:$D$10000,4,0)</f>
        <v>塑料件</v>
      </c>
      <c r="K45" s="94">
        <f>VLOOKUP(B45,'[2]7.2美元汇率7月1日版本'!$A$1:$E$10000,5,0)</f>
        <v>4.1</v>
      </c>
      <c r="L45" s="94">
        <f t="shared" si="0"/>
        <v>41</v>
      </c>
      <c r="N45" s="23">
        <v>2</v>
      </c>
    </row>
    <row r="46" s="23" customFormat="1" ht="20" customHeight="1" spans="1:14">
      <c r="A46" s="95">
        <v>33</v>
      </c>
      <c r="B46" s="153" t="s">
        <v>93</v>
      </c>
      <c r="C46" s="153" t="s">
        <v>94</v>
      </c>
      <c r="D46" s="153" t="s">
        <v>80</v>
      </c>
      <c r="E46" s="108">
        <v>1</v>
      </c>
      <c r="F46" s="97">
        <v>55</v>
      </c>
      <c r="G46" s="98" t="s">
        <v>120</v>
      </c>
      <c r="H46" s="99"/>
      <c r="I46" s="100"/>
      <c r="J46" s="94" t="str">
        <f>VLOOKUP(B46,'[1]6.16分类'!$A$1:$D$10000,4,0)</f>
        <v>塑料件</v>
      </c>
      <c r="K46" s="94">
        <f>VLOOKUP(B46,'[2]7.2美元汇率7月1日版本'!$A$1:$E$10000,5,0)</f>
        <v>4.45</v>
      </c>
      <c r="L46" s="94">
        <f t="shared" si="0"/>
        <v>244.75</v>
      </c>
      <c r="N46" s="23">
        <v>6</v>
      </c>
    </row>
    <row r="47" s="23" customFormat="1" ht="20" customHeight="1" spans="1:14">
      <c r="A47" s="95">
        <v>34</v>
      </c>
      <c r="B47" s="96" t="s">
        <v>122</v>
      </c>
      <c r="C47" s="96" t="s">
        <v>123</v>
      </c>
      <c r="D47" s="153" t="s">
        <v>55</v>
      </c>
      <c r="E47" s="97">
        <v>1</v>
      </c>
      <c r="F47" s="97">
        <v>140</v>
      </c>
      <c r="G47" s="98" t="s">
        <v>124</v>
      </c>
      <c r="H47" s="99"/>
      <c r="I47" s="100"/>
      <c r="J47" s="94" t="str">
        <f>VLOOKUP(B47,'[1]6.16分类'!$A$1:$D$10000,4,0)</f>
        <v>三元乙丙橡胶</v>
      </c>
      <c r="K47" s="94">
        <f>VLOOKUP(B47,'[2]7.2美元汇率7月1日版本'!$A$1:$E$10000,5,0)</f>
        <v>17.79</v>
      </c>
      <c r="L47" s="94">
        <f t="shared" si="0"/>
        <v>2490.6</v>
      </c>
    </row>
    <row r="48" s="23" customFormat="1" ht="20" customHeight="1" spans="1:14">
      <c r="A48" s="95">
        <v>35</v>
      </c>
      <c r="B48" s="156" t="s">
        <v>115</v>
      </c>
      <c r="C48" s="96" t="s">
        <v>116</v>
      </c>
      <c r="D48" s="156" t="s">
        <v>80</v>
      </c>
      <c r="E48" s="110">
        <v>1</v>
      </c>
      <c r="F48" s="97">
        <v>50</v>
      </c>
      <c r="G48" s="98" t="s">
        <v>125</v>
      </c>
      <c r="H48" s="99"/>
      <c r="I48" s="100"/>
      <c r="J48" s="94" t="str">
        <f>VLOOKUP(B48,'[1]6.16分类'!$A$1:$D$10000,4,0)</f>
        <v>塑料件</v>
      </c>
      <c r="K48" s="94">
        <f>VLOOKUP(B48,'[2]7.2美元汇率7月1日版本'!$A$1:$E$10000,5,0)</f>
        <v>21.83</v>
      </c>
      <c r="L48" s="94">
        <f t="shared" si="0"/>
        <v>1091.5</v>
      </c>
      <c r="N48" s="23">
        <v>3</v>
      </c>
    </row>
    <row r="49" s="23" customFormat="1" ht="20" customHeight="1" spans="1:14">
      <c r="A49" s="95">
        <v>36</v>
      </c>
      <c r="B49" s="153" t="s">
        <v>126</v>
      </c>
      <c r="C49" s="96" t="s">
        <v>127</v>
      </c>
      <c r="D49" s="96" t="s">
        <v>128</v>
      </c>
      <c r="E49" s="108">
        <v>1</v>
      </c>
      <c r="F49" s="97">
        <v>2</v>
      </c>
      <c r="G49" s="98" t="s">
        <v>129</v>
      </c>
      <c r="H49" s="99"/>
      <c r="I49" s="100"/>
      <c r="J49" s="94" t="str">
        <f>VLOOKUP(B49,'[1]6.16分类'!$A$1:$D$10000,4,0)</f>
        <v>塑料件</v>
      </c>
      <c r="K49" s="94">
        <f>VLOOKUP(B49,'[2]7.2美元汇率7月1日版本'!$A$1:$E$10000,5,0)</f>
        <v>41.24</v>
      </c>
      <c r="L49" s="94">
        <f t="shared" si="0"/>
        <v>82.48</v>
      </c>
      <c r="N49" s="23">
        <v>2</v>
      </c>
    </row>
    <row r="50" s="23" customFormat="1" ht="20" customHeight="1" spans="1:14">
      <c r="A50" s="95">
        <v>37</v>
      </c>
      <c r="B50" s="156" t="s">
        <v>115</v>
      </c>
      <c r="C50" s="96" t="s">
        <v>116</v>
      </c>
      <c r="D50" s="156" t="s">
        <v>80</v>
      </c>
      <c r="E50" s="110">
        <v>1</v>
      </c>
      <c r="F50" s="97">
        <v>30</v>
      </c>
      <c r="G50" s="98" t="s">
        <v>130</v>
      </c>
      <c r="H50" s="99"/>
      <c r="I50" s="100"/>
      <c r="J50" s="94" t="str">
        <f>VLOOKUP(B50,'[1]6.16分类'!$A$1:$D$10000,4,0)</f>
        <v>塑料件</v>
      </c>
      <c r="K50" s="94">
        <f>VLOOKUP(B50,'[2]7.2美元汇率7月1日版本'!$A$1:$E$10000,5,0)</f>
        <v>21.83</v>
      </c>
      <c r="L50" s="94">
        <f t="shared" si="0"/>
        <v>654.9</v>
      </c>
      <c r="N50" s="23">
        <v>2</v>
      </c>
    </row>
    <row r="51" s="23" customFormat="1" ht="20" customHeight="1" spans="1:14">
      <c r="A51" s="95">
        <v>38</v>
      </c>
      <c r="B51" s="153" t="s">
        <v>118</v>
      </c>
      <c r="C51" s="153" t="s">
        <v>119</v>
      </c>
      <c r="D51" s="153" t="s">
        <v>80</v>
      </c>
      <c r="E51" s="108">
        <v>1</v>
      </c>
      <c r="F51" s="97">
        <v>60</v>
      </c>
      <c r="G51" s="98" t="s">
        <v>131</v>
      </c>
      <c r="H51" s="99"/>
      <c r="I51" s="100"/>
      <c r="J51" s="94" t="str">
        <f>VLOOKUP(B51,'[1]6.16分类'!$A$1:$D$10000,4,0)</f>
        <v>塑料件</v>
      </c>
      <c r="K51" s="94">
        <f>VLOOKUP(B51,'[2]7.2美元汇率7月1日版本'!$A$1:$E$10000,5,0)</f>
        <v>2.69</v>
      </c>
      <c r="L51" s="94">
        <f t="shared" si="0"/>
        <v>161.4</v>
      </c>
      <c r="N51" s="23">
        <v>30</v>
      </c>
    </row>
    <row r="52" s="23" customFormat="1" ht="20" customHeight="1" spans="1:14">
      <c r="A52" s="95">
        <v>39</v>
      </c>
      <c r="B52" s="153" t="s">
        <v>93</v>
      </c>
      <c r="C52" s="153" t="s">
        <v>94</v>
      </c>
      <c r="D52" s="153" t="s">
        <v>80</v>
      </c>
      <c r="E52" s="97">
        <v>1</v>
      </c>
      <c r="F52" s="97">
        <v>30</v>
      </c>
      <c r="G52" s="98" t="s">
        <v>132</v>
      </c>
      <c r="H52" s="99"/>
      <c r="I52" s="100"/>
      <c r="J52" s="94" t="str">
        <f>VLOOKUP(B52,'[1]6.16分类'!$A$1:$D$10000,4,0)</f>
        <v>塑料件</v>
      </c>
      <c r="K52" s="94">
        <f>VLOOKUP(B52,'[2]7.2美元汇率7月1日版本'!$A$1:$E$10000,5,0)</f>
        <v>4.45</v>
      </c>
      <c r="L52" s="94">
        <f t="shared" si="0"/>
        <v>133.5</v>
      </c>
      <c r="N52" s="23">
        <v>1</v>
      </c>
    </row>
    <row r="53" s="23" customFormat="1" ht="20" customHeight="1" spans="1:14">
      <c r="A53" s="95">
        <v>40</v>
      </c>
      <c r="B53" s="153" t="s">
        <v>126</v>
      </c>
      <c r="C53" s="96" t="s">
        <v>127</v>
      </c>
      <c r="D53" s="96" t="s">
        <v>128</v>
      </c>
      <c r="E53" s="108">
        <v>1</v>
      </c>
      <c r="F53" s="97">
        <v>2</v>
      </c>
      <c r="G53" s="98" t="s">
        <v>132</v>
      </c>
      <c r="H53" s="99"/>
      <c r="I53" s="100"/>
      <c r="J53" s="94" t="str">
        <f>VLOOKUP(B53,'[1]6.16分类'!$A$1:$D$10000,4,0)</f>
        <v>塑料件</v>
      </c>
      <c r="K53" s="94">
        <f>VLOOKUP(B53,'[2]7.2美元汇率7月1日版本'!$A$1:$E$10000,5,0)</f>
        <v>41.24</v>
      </c>
      <c r="L53" s="94">
        <f t="shared" si="0"/>
        <v>82.48</v>
      </c>
      <c r="N53" s="23">
        <v>36</v>
      </c>
    </row>
    <row r="54" s="23" customFormat="1" ht="20" customHeight="1" spans="1:14">
      <c r="A54" s="95">
        <v>41</v>
      </c>
      <c r="B54" s="153" t="s">
        <v>126</v>
      </c>
      <c r="C54" s="96" t="s">
        <v>127</v>
      </c>
      <c r="D54" s="96" t="s">
        <v>128</v>
      </c>
      <c r="E54" s="108">
        <v>1</v>
      </c>
      <c r="F54" s="97">
        <v>30</v>
      </c>
      <c r="G54" s="98" t="s">
        <v>133</v>
      </c>
      <c r="H54" s="99"/>
      <c r="I54" s="100"/>
      <c r="J54" s="94" t="str">
        <f>VLOOKUP(B54,'[1]6.16分类'!$A$1:$D$10000,4,0)</f>
        <v>塑料件</v>
      </c>
      <c r="K54" s="94">
        <f>VLOOKUP(B54,'[2]7.2美元汇率7月1日版本'!$A$1:$E$10000,5,0)</f>
        <v>41.24</v>
      </c>
      <c r="L54" s="94">
        <f t="shared" si="0"/>
        <v>1237.2</v>
      </c>
      <c r="N54" s="23">
        <v>24</v>
      </c>
    </row>
    <row r="55" s="23" customFormat="1" ht="20" customHeight="1" spans="1:14">
      <c r="A55" s="95">
        <v>42</v>
      </c>
      <c r="B55" s="105" t="s">
        <v>134</v>
      </c>
      <c r="C55" s="154" t="s">
        <v>135</v>
      </c>
      <c r="D55" s="105" t="s">
        <v>55</v>
      </c>
      <c r="E55" s="97">
        <v>1</v>
      </c>
      <c r="F55" s="97">
        <v>70</v>
      </c>
      <c r="G55" s="106" t="s">
        <v>136</v>
      </c>
      <c r="H55" s="99"/>
      <c r="I55" s="100"/>
      <c r="J55" s="94" t="str">
        <f>VLOOKUP(B55,'[1]6.16分类'!$A$1:$D$10000,4,0)</f>
        <v>底盘部件</v>
      </c>
      <c r="K55" s="94">
        <f>VLOOKUP(B55,'[2]7.2美元汇率7月1日版本'!$A$1:$E$10000,5,0)</f>
        <v>25.35</v>
      </c>
      <c r="L55" s="94">
        <f t="shared" si="0"/>
        <v>1774.5</v>
      </c>
    </row>
    <row r="56" s="23" customFormat="1" ht="20" customHeight="1" spans="1:14">
      <c r="A56" s="95">
        <v>43</v>
      </c>
      <c r="B56" s="105" t="s">
        <v>137</v>
      </c>
      <c r="C56" s="105" t="s">
        <v>138</v>
      </c>
      <c r="D56" s="96" t="s">
        <v>55</v>
      </c>
      <c r="E56" s="113">
        <v>1</v>
      </c>
      <c r="F56" s="97">
        <v>140</v>
      </c>
      <c r="G56" s="101"/>
      <c r="H56" s="99"/>
      <c r="I56" s="100"/>
      <c r="J56" s="94" t="str">
        <f>VLOOKUP(B56,'[1]6.16分类'!$A$1:$D$10000,4,0)</f>
        <v>三元乙丙橡胶</v>
      </c>
      <c r="K56" s="94">
        <f>VLOOKUP(B56,'[2]7.2美元汇率7月1日版本'!$A$1:$E$10000,5,0)</f>
        <v>0.45</v>
      </c>
      <c r="L56" s="94">
        <f t="shared" si="0"/>
        <v>63</v>
      </c>
    </row>
    <row r="57" s="23" customFormat="1" ht="20" customHeight="1" spans="1:14">
      <c r="A57" s="95">
        <v>44</v>
      </c>
      <c r="B57" s="105" t="s">
        <v>139</v>
      </c>
      <c r="C57" s="105" t="s">
        <v>140</v>
      </c>
      <c r="D57" s="96" t="s">
        <v>55</v>
      </c>
      <c r="E57" s="113">
        <v>1</v>
      </c>
      <c r="F57" s="97">
        <v>140</v>
      </c>
      <c r="G57" s="101"/>
      <c r="H57" s="99"/>
      <c r="I57" s="100"/>
      <c r="J57" s="94" t="str">
        <f>VLOOKUP(B57,'[1]6.16分类'!$A$1:$D$10000,4,0)</f>
        <v>三元乙丙橡胶</v>
      </c>
      <c r="K57" s="94">
        <f>VLOOKUP(B57,'[2]7.2美元汇率7月1日版本'!$A$1:$E$10000,5,0)</f>
        <v>0.73</v>
      </c>
      <c r="L57" s="94">
        <f t="shared" si="0"/>
        <v>102.2</v>
      </c>
    </row>
    <row r="58" s="23" customFormat="1" ht="20" customHeight="1" spans="1:14">
      <c r="A58" s="95">
        <v>45</v>
      </c>
      <c r="B58" s="97" t="s">
        <v>141</v>
      </c>
      <c r="C58" s="97" t="s">
        <v>142</v>
      </c>
      <c r="D58" s="97" t="s">
        <v>55</v>
      </c>
      <c r="E58" s="97">
        <v>1</v>
      </c>
      <c r="F58" s="97">
        <v>140</v>
      </c>
      <c r="G58" s="101"/>
      <c r="H58" s="99"/>
      <c r="I58" s="100"/>
      <c r="J58" s="94" t="str">
        <f>VLOOKUP(B58,'[1]6.16分类'!$A$1:$D$10000,4,0)</f>
        <v>塑料件</v>
      </c>
      <c r="K58" s="94">
        <f>VLOOKUP(B58,'[2]7.2美元汇率7月1日版本'!$A$1:$E$10000,5,0)</f>
        <v>0.81</v>
      </c>
      <c r="L58" s="94">
        <f t="shared" si="0"/>
        <v>113.4</v>
      </c>
      <c r="N58" s="23">
        <v>12</v>
      </c>
    </row>
    <row r="59" s="23" customFormat="1" ht="20" customHeight="1" spans="1:14">
      <c r="A59" s="95">
        <v>46</v>
      </c>
      <c r="B59" s="97" t="s">
        <v>143</v>
      </c>
      <c r="C59" s="97" t="s">
        <v>144</v>
      </c>
      <c r="D59" s="97" t="s">
        <v>55</v>
      </c>
      <c r="E59" s="97">
        <v>1</v>
      </c>
      <c r="F59" s="97">
        <v>140</v>
      </c>
      <c r="G59" s="101"/>
      <c r="H59" s="99"/>
      <c r="I59" s="100"/>
      <c r="J59" s="94" t="str">
        <f>VLOOKUP(B59,'[1]6.16分类'!$A$1:$D$10000,4,0)</f>
        <v>塑料件</v>
      </c>
      <c r="K59" s="94">
        <f>VLOOKUP(B59,'[2]7.2美元汇率7月1日版本'!$A$1:$E$10000,5,0)</f>
        <v>0.05</v>
      </c>
      <c r="L59" s="94">
        <f t="shared" si="0"/>
        <v>7</v>
      </c>
      <c r="N59" s="23">
        <v>19</v>
      </c>
    </row>
    <row r="60" s="23" customFormat="1" ht="20" customHeight="1" spans="1:14">
      <c r="A60" s="95">
        <v>47</v>
      </c>
      <c r="B60" s="108" t="s">
        <v>145</v>
      </c>
      <c r="C60" s="97" t="s">
        <v>146</v>
      </c>
      <c r="D60" s="97" t="s">
        <v>55</v>
      </c>
      <c r="E60" s="97">
        <v>4</v>
      </c>
      <c r="F60" s="97">
        <v>560</v>
      </c>
      <c r="G60" s="107"/>
      <c r="H60" s="99"/>
      <c r="I60" s="100"/>
      <c r="J60" s="94" t="str">
        <f>VLOOKUP(B60,'[1]6.16分类'!$A$1:$D$10000,4,0)</f>
        <v>紧固件</v>
      </c>
      <c r="K60" s="94">
        <f>VLOOKUP(B60,'[2]7.2美元汇率7月1日版本'!$A$1:$E$10000,5,0)</f>
        <v>0.41</v>
      </c>
      <c r="L60" s="94">
        <f t="shared" si="0"/>
        <v>229.6</v>
      </c>
    </row>
    <row r="61" s="23" customFormat="1" ht="20" customHeight="1" spans="1:14">
      <c r="A61" s="95">
        <v>48</v>
      </c>
      <c r="B61" s="105" t="s">
        <v>147</v>
      </c>
      <c r="C61" s="105" t="s">
        <v>148</v>
      </c>
      <c r="D61" s="108" t="s">
        <v>149</v>
      </c>
      <c r="E61" s="97">
        <v>1</v>
      </c>
      <c r="F61" s="97">
        <f>E61*140</f>
        <v>140</v>
      </c>
      <c r="G61" s="98" t="s">
        <v>150</v>
      </c>
      <c r="H61" s="99"/>
      <c r="I61" s="100"/>
      <c r="J61" s="94" t="str">
        <f>VLOOKUP(B61,'[1]6.16分类'!$A$1:$D$10000,4,0)</f>
        <v>塑料件</v>
      </c>
      <c r="K61" s="94">
        <f>VLOOKUP(B61,'[2]7.2美元汇率7月1日版本'!$A$1:$E$10000,5,0)</f>
        <v>45.28</v>
      </c>
      <c r="L61" s="94">
        <f t="shared" si="0"/>
        <v>6339.2</v>
      </c>
    </row>
    <row r="62" s="23" customFormat="1" ht="20" customHeight="1" spans="1:14">
      <c r="A62" s="114">
        <v>49</v>
      </c>
      <c r="B62" s="115" t="s">
        <v>151</v>
      </c>
      <c r="C62" s="115" t="s">
        <v>152</v>
      </c>
      <c r="D62" s="115" t="s">
        <v>55</v>
      </c>
      <c r="E62" s="116">
        <v>1</v>
      </c>
      <c r="F62" s="116">
        <f>E62*140</f>
        <v>140</v>
      </c>
      <c r="G62" s="106" t="s">
        <v>153</v>
      </c>
      <c r="H62" s="99"/>
      <c r="I62" s="100"/>
      <c r="J62" s="94" t="str">
        <f>VLOOKUP(B62,'[1]6.16分类'!$A$1:$D$10000,4,0)</f>
        <v>塑料件</v>
      </c>
      <c r="K62" s="94">
        <f>VLOOKUP(B62,'[2]7.2美元汇率7月1日版本'!$A$1:$E$10000,5,0)</f>
        <v>22.64</v>
      </c>
      <c r="L62" s="94">
        <f t="shared" si="0"/>
        <v>3169.6</v>
      </c>
    </row>
    <row r="63" ht="20" customHeight="1" spans="1:14">
      <c r="A63" s="117">
        <v>50</v>
      </c>
      <c r="B63" s="118" t="s">
        <v>154</v>
      </c>
      <c r="C63" s="118" t="s">
        <v>155</v>
      </c>
      <c r="D63" s="157" t="s">
        <v>80</v>
      </c>
      <c r="E63" s="117">
        <v>16</v>
      </c>
      <c r="F63" s="117">
        <f>E63*140</f>
        <v>2240</v>
      </c>
      <c r="G63" s="120" t="s">
        <v>156</v>
      </c>
      <c r="H63" s="99"/>
      <c r="I63" s="121"/>
      <c r="J63" s="94" t="str">
        <f>VLOOKUP(B63,'[1]6.16分类'!$A$1:$D$10000,4,0)</f>
        <v>紧固件</v>
      </c>
      <c r="K63" s="94">
        <f>VLOOKUP(B63,'[2]7.2美元汇率7月1日版本'!$A$1:$E$10000,5,0)</f>
        <v>0.38</v>
      </c>
      <c r="L63" s="94">
        <f t="shared" si="0"/>
        <v>851.2</v>
      </c>
    </row>
    <row r="64" ht="45.75" spans="1:14">
      <c r="A64" s="122">
        <v>51</v>
      </c>
      <c r="B64" s="123" t="s">
        <v>154</v>
      </c>
      <c r="C64" s="123" t="s">
        <v>155</v>
      </c>
      <c r="D64" s="158" t="s">
        <v>80</v>
      </c>
      <c r="E64" s="125">
        <v>16</v>
      </c>
      <c r="F64" s="126">
        <f>E64*320</f>
        <v>5120</v>
      </c>
      <c r="G64" s="127" t="s">
        <v>157</v>
      </c>
      <c r="H64" s="99"/>
      <c r="I64" s="128" t="s">
        <v>158</v>
      </c>
      <c r="J64" s="94" t="str">
        <f>VLOOKUP(B64,'[1]6.16分类'!$A$1:$D$10000,4,0)</f>
        <v>紧固件</v>
      </c>
      <c r="K64" s="94">
        <f>VLOOKUP(B64,'[2]7.2美元汇率7月1日版本'!$A$1:$E$10000,5,0)</f>
        <v>0.38</v>
      </c>
      <c r="L64" s="94">
        <f t="shared" si="0"/>
        <v>1945.6</v>
      </c>
    </row>
    <row r="65" ht="24.75" customHeight="1" spans="1:12">
      <c r="A65" s="129">
        <v>52</v>
      </c>
      <c r="B65" s="130" t="s">
        <v>159</v>
      </c>
      <c r="C65" s="130" t="s">
        <v>160</v>
      </c>
      <c r="D65" s="130" t="s">
        <v>128</v>
      </c>
      <c r="E65" s="131">
        <v>1</v>
      </c>
      <c r="F65" s="129">
        <v>34</v>
      </c>
      <c r="G65" s="132" t="s">
        <v>161</v>
      </c>
      <c r="H65" s="99"/>
      <c r="I65" s="128" t="s">
        <v>162</v>
      </c>
      <c r="J65" s="94" t="str">
        <f>VLOOKUP(B65,'[1]6.16分类'!$A$1:$D$10000,4,0)</f>
        <v>车身部件</v>
      </c>
      <c r="K65" s="94">
        <f>VLOOKUP(B65,'[2]7.2美元汇率7月1日版本'!$A$1:$E$10000,5,0)</f>
        <v>31.75</v>
      </c>
      <c r="L65" s="94">
        <f t="shared" si="0"/>
        <v>1079.5</v>
      </c>
    </row>
    <row r="66" ht="24.75" customHeight="1" spans="1:12">
      <c r="A66" s="122">
        <v>53</v>
      </c>
      <c r="B66" s="133" t="s">
        <v>159</v>
      </c>
      <c r="C66" s="133" t="s">
        <v>160</v>
      </c>
      <c r="D66" s="133" t="s">
        <v>128</v>
      </c>
      <c r="E66" s="124">
        <v>1</v>
      </c>
      <c r="F66" s="126">
        <v>14</v>
      </c>
      <c r="G66" s="134" t="s">
        <v>163</v>
      </c>
      <c r="H66" s="99"/>
      <c r="I66" s="135" t="s">
        <v>164</v>
      </c>
      <c r="J66" s="94" t="str">
        <f>VLOOKUP(B66,'[1]6.16分类'!$A$1:$D$10000,4,0)</f>
        <v>车身部件</v>
      </c>
      <c r="K66" s="94">
        <f>VLOOKUP(B66,'[2]7.2美元汇率7月1日版本'!$A$1:$E$10000,5,0)</f>
        <v>31.75</v>
      </c>
      <c r="L66" s="94">
        <f t="shared" si="0"/>
        <v>444.5</v>
      </c>
    </row>
    <row r="67" ht="20" customHeight="1" spans="1:12">
      <c r="A67" s="136">
        <v>54</v>
      </c>
      <c r="B67" s="137" t="s">
        <v>165</v>
      </c>
      <c r="C67" s="137" t="s">
        <v>166</v>
      </c>
      <c r="D67" s="137" t="s">
        <v>55</v>
      </c>
      <c r="E67" s="138">
        <v>1</v>
      </c>
      <c r="F67" s="139">
        <f>E67*180</f>
        <v>180</v>
      </c>
      <c r="G67" s="140" t="s">
        <v>167</v>
      </c>
      <c r="H67" s="141"/>
      <c r="I67" s="142" t="s">
        <v>168</v>
      </c>
      <c r="J67" s="94" t="str">
        <f>VLOOKUP(B67,'[1]6.16分类'!$A$1:$D$10000,4,0)</f>
        <v>车身部件</v>
      </c>
      <c r="K67" s="94">
        <f>VLOOKUP(B67,'[2]7.2美元汇率7月1日版本'!$A$1:$E$10000,5,0)</f>
        <v>12.01</v>
      </c>
      <c r="L67" s="94">
        <f t="shared" si="0"/>
        <v>2161.8</v>
      </c>
    </row>
    <row r="68" ht="20" customHeight="1" spans="1:12">
      <c r="A68" s="143">
        <v>55</v>
      </c>
      <c r="B68" s="144" t="s">
        <v>169</v>
      </c>
      <c r="C68" s="144" t="s">
        <v>170</v>
      </c>
      <c r="D68" s="144" t="s">
        <v>55</v>
      </c>
      <c r="E68" s="118">
        <v>1</v>
      </c>
      <c r="F68" s="119">
        <v>84</v>
      </c>
      <c r="G68" s="145" t="s">
        <v>171</v>
      </c>
      <c r="H68" s="141"/>
      <c r="I68" s="146"/>
      <c r="J68" s="94" t="str">
        <f>VLOOKUP(B68,'[1]6.16分类'!$A$1:$D$10000,4,0)</f>
        <v>塑料件</v>
      </c>
      <c r="K68" s="94">
        <f>VLOOKUP(B68,'[2]7.2美元汇率7月1日版本'!$A$1:$E$10000,5,0)</f>
        <v>12.01</v>
      </c>
      <c r="L68" s="94">
        <f t="shared" si="0"/>
        <v>1008.84</v>
      </c>
    </row>
    <row r="69" ht="20" customHeight="1" spans="1:12">
      <c r="A69" s="147">
        <v>56</v>
      </c>
      <c r="B69" s="159" t="s">
        <v>126</v>
      </c>
      <c r="C69" s="148" t="s">
        <v>127</v>
      </c>
      <c r="D69" s="148" t="s">
        <v>128</v>
      </c>
      <c r="E69" s="148">
        <v>1</v>
      </c>
      <c r="F69" s="149">
        <v>19</v>
      </c>
      <c r="G69" s="150" t="s">
        <v>172</v>
      </c>
      <c r="H69" s="151"/>
      <c r="I69" s="152"/>
      <c r="J69" s="94" t="str">
        <f>VLOOKUP(B69,'[1]6.16分类'!$A$1:$D$10000,4,0)</f>
        <v>塑料件</v>
      </c>
      <c r="K69" s="94">
        <f>VLOOKUP(B69,'[2]7.2美元汇率7月1日版本'!$A$1:$E$10000,5,0)</f>
        <v>41.24</v>
      </c>
      <c r="L69" s="94">
        <f t="shared" si="0"/>
        <v>783.56</v>
      </c>
    </row>
    <row r="70" ht="20" customHeight="1" spans="1:12">
      <c r="L70">
        <f>SUM(L14:L69)</f>
        <v>46956.07</v>
      </c>
    </row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</sheetData>
  <autoFilter xmlns:etc="http://www.wps.cn/officeDocument/2017/etCustomData" ref="A13:M70" etc:filterBottomFollowUsedRange="0">
    <extLst/>
  </autoFilter>
  <mergeCells count="43">
    <mergeCell ref="A1:I1"/>
    <mergeCell ref="A2:B2"/>
    <mergeCell ref="C2:I2"/>
    <mergeCell ref="A3:B3"/>
    <mergeCell ref="C3:E3"/>
    <mergeCell ref="G3:I3"/>
    <mergeCell ref="A4:B4"/>
    <mergeCell ref="C4:E4"/>
    <mergeCell ref="G4:I4"/>
    <mergeCell ref="A5:B5"/>
    <mergeCell ref="C5:E5"/>
    <mergeCell ref="G5:I5"/>
    <mergeCell ref="A6:B6"/>
    <mergeCell ref="C6:E6"/>
    <mergeCell ref="G6:I6"/>
    <mergeCell ref="A7:B7"/>
    <mergeCell ref="C7:E7"/>
    <mergeCell ref="G7:I7"/>
    <mergeCell ref="A8:B8"/>
    <mergeCell ref="C8:E8"/>
    <mergeCell ref="G8:I8"/>
    <mergeCell ref="A9:B9"/>
    <mergeCell ref="C9:E9"/>
    <mergeCell ref="G9:I9"/>
    <mergeCell ref="A10:B10"/>
    <mergeCell ref="C10:E10"/>
    <mergeCell ref="G10:I10"/>
    <mergeCell ref="A11:B11"/>
    <mergeCell ref="C11:E11"/>
    <mergeCell ref="G11:I11"/>
    <mergeCell ref="A12:B12"/>
    <mergeCell ref="C12:E12"/>
    <mergeCell ref="G12:I12"/>
    <mergeCell ref="G16:G17"/>
    <mergeCell ref="G18:G19"/>
    <mergeCell ref="G24:G25"/>
    <mergeCell ref="G34:G38"/>
    <mergeCell ref="G39:G40"/>
    <mergeCell ref="G41:G42"/>
    <mergeCell ref="G55:G60"/>
    <mergeCell ref="H14:H69"/>
    <mergeCell ref="I14:I63"/>
    <mergeCell ref="I67:I69"/>
  </mergeCells>
  <conditionalFormatting sqref="B43">
    <cfRule type="duplicateValues" dxfId="0" priority="14"/>
  </conditionalFormatting>
  <conditionalFormatting sqref="B48">
    <cfRule type="duplicateValues" dxfId="0" priority="13"/>
  </conditionalFormatting>
  <conditionalFormatting sqref="B50">
    <cfRule type="duplicateValues" dxfId="0" priority="12"/>
  </conditionalFormatting>
  <conditionalFormatting sqref="B65">
    <cfRule type="duplicateValues" dxfId="0" priority="3"/>
    <cfRule type="duplicateValues" dxfId="0" priority="4"/>
  </conditionalFormatting>
  <conditionalFormatting sqref="B66">
    <cfRule type="duplicateValues" dxfId="0" priority="9"/>
    <cfRule type="duplicateValues" dxfId="0" priority="10"/>
  </conditionalFormatting>
  <conditionalFormatting sqref="B67">
    <cfRule type="duplicateValues" dxfId="0" priority="7"/>
    <cfRule type="duplicateValues" dxfId="0" priority="8"/>
  </conditionalFormatting>
  <conditionalFormatting sqref="B68">
    <cfRule type="duplicateValues" dxfId="0" priority="5"/>
    <cfRule type="duplicateValues" dxfId="0" priority="6"/>
  </conditionalFormatting>
  <conditionalFormatting sqref="B69">
    <cfRule type="duplicateValues" dxfId="0" priority="1"/>
    <cfRule type="duplicateValues" dxfId="0" priority="2"/>
  </conditionalFormatting>
  <conditionalFormatting sqref="B34:B40">
    <cfRule type="duplicateValues" dxfId="0" priority="15"/>
  </conditionalFormatting>
  <conditionalFormatting sqref="B55:B60">
    <cfRule type="duplicateValues" dxfId="0" priority="11"/>
  </conditionalFormatting>
  <pageMargins left="0.314583333333333" right="0.156944444444444" top="0.236111111111111" bottom="0.196527777777778" header="0.3" footer="0.3"/>
  <pageSetup paperSize="9" scale="90" fitToWidth="0" orientation="portrait" horizontalDpi="6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K17" sqref="K17"/>
    </sheetView>
  </sheetViews>
  <sheetFormatPr defaultColWidth="9.14285714285714" defaultRowHeight="12.75" outlineLevelRow="7"/>
  <cols>
    <col min="1" max="1" width="6" style="11" customWidth="1"/>
    <col min="2" max="2" width="37.4285714285714" style="11" customWidth="1"/>
    <col min="3" max="5" width="9.85714285714286" style="11" customWidth="1"/>
    <col min="6" max="6" width="16.5714285714286" style="11" customWidth="1"/>
    <col min="7" max="7" width="12.7142857142857" style="12" customWidth="1"/>
    <col min="8" max="8" width="16.8571428571429" style="11" customWidth="1"/>
    <col min="9" max="9" width="13.5714285714286" style="11" customWidth="1"/>
    <col min="10" max="11" width="9.85714285714286" style="11" customWidth="1"/>
    <col min="12" max="12" width="20.1428571428571" style="11" customWidth="1"/>
    <col min="13" max="13" width="12.1428571428571" style="11" customWidth="1"/>
    <col min="14" max="16384" width="9.14285714285714" style="11"/>
  </cols>
  <sheetData>
    <row r="1" s="11" customFormat="1" ht="40" customHeight="1" spans="1:13">
      <c r="A1" s="13"/>
      <c r="B1" s="14" t="s">
        <v>173</v>
      </c>
      <c r="C1" s="15" t="s">
        <v>45</v>
      </c>
      <c r="D1" s="15" t="s">
        <v>174</v>
      </c>
      <c r="E1" s="16" t="s">
        <v>175</v>
      </c>
      <c r="F1" s="17" t="s">
        <v>44</v>
      </c>
      <c r="G1" s="18" t="s">
        <v>176</v>
      </c>
      <c r="H1" s="19" t="s">
        <v>177</v>
      </c>
      <c r="I1" s="14" t="s">
        <v>178</v>
      </c>
      <c r="J1" s="15" t="s">
        <v>179</v>
      </c>
      <c r="K1" s="15" t="s">
        <v>180</v>
      </c>
      <c r="L1" s="16" t="s">
        <v>181</v>
      </c>
      <c r="M1" s="20" t="s">
        <v>51</v>
      </c>
    </row>
    <row r="2" s="11" customFormat="1" ht="18.75" spans="1:13">
      <c r="A2" s="21" t="s">
        <v>18</v>
      </c>
      <c r="B2" s="21" t="s">
        <v>182</v>
      </c>
      <c r="C2" s="21">
        <v>1250</v>
      </c>
      <c r="D2" s="21">
        <v>2680</v>
      </c>
      <c r="E2" s="21">
        <v>2660</v>
      </c>
      <c r="F2" s="21" t="s">
        <v>55</v>
      </c>
      <c r="G2" s="21" t="s">
        <v>10</v>
      </c>
      <c r="H2" s="21">
        <v>8708299000</v>
      </c>
      <c r="I2" s="21">
        <v>11298.1</v>
      </c>
      <c r="J2" s="21">
        <v>385</v>
      </c>
      <c r="K2" s="21">
        <v>5.6</v>
      </c>
      <c r="L2" s="21">
        <f>I2+J2+K2</f>
        <v>11688.7</v>
      </c>
      <c r="M2" s="22">
        <f t="shared" ref="M2:M8" si="0">L2/C2</f>
        <v>9.35096</v>
      </c>
    </row>
    <row r="3" s="11" customFormat="1" ht="18.75" spans="1:13">
      <c r="A3" s="21"/>
      <c r="B3" s="21" t="s">
        <v>183</v>
      </c>
      <c r="C3" s="21">
        <v>840</v>
      </c>
      <c r="D3" s="21">
        <v>1680</v>
      </c>
      <c r="E3" s="21">
        <v>1680</v>
      </c>
      <c r="F3" s="21" t="s">
        <v>55</v>
      </c>
      <c r="G3" s="21"/>
      <c r="H3" s="21">
        <v>8708999900</v>
      </c>
      <c r="I3" s="21">
        <v>6882.4</v>
      </c>
      <c r="J3" s="21">
        <v>235</v>
      </c>
      <c r="K3" s="21">
        <v>3.4</v>
      </c>
      <c r="L3" s="21">
        <f t="shared" ref="L3:L8" si="1">I3+J3+K3</f>
        <v>7120.8</v>
      </c>
      <c r="M3" s="22">
        <f t="shared" si="0"/>
        <v>8.47714285714286</v>
      </c>
    </row>
    <row r="4" s="11" customFormat="1" ht="18.75" spans="1:13">
      <c r="A4" s="21"/>
      <c r="B4" s="21" t="s">
        <v>184</v>
      </c>
      <c r="C4" s="21">
        <v>140</v>
      </c>
      <c r="D4" s="21">
        <v>500</v>
      </c>
      <c r="E4" s="21">
        <v>500</v>
      </c>
      <c r="F4" s="21" t="s">
        <v>55</v>
      </c>
      <c r="G4" s="21"/>
      <c r="H4" s="21">
        <v>8708309990</v>
      </c>
      <c r="I4" s="21">
        <v>1449</v>
      </c>
      <c r="J4" s="21">
        <v>50</v>
      </c>
      <c r="K4" s="21">
        <v>0.7</v>
      </c>
      <c r="L4" s="21">
        <f t="shared" si="1"/>
        <v>1499.7</v>
      </c>
      <c r="M4" s="22">
        <f t="shared" si="0"/>
        <v>10.7121428571429</v>
      </c>
    </row>
    <row r="5" s="11" customFormat="1" ht="18.75" spans="1:13">
      <c r="A5" s="21"/>
      <c r="B5" s="21" t="s">
        <v>185</v>
      </c>
      <c r="C5" s="21">
        <v>194</v>
      </c>
      <c r="D5" s="21">
        <v>4880</v>
      </c>
      <c r="E5" s="21">
        <v>4880</v>
      </c>
      <c r="F5" s="21" t="s">
        <v>186</v>
      </c>
      <c r="G5" s="21"/>
      <c r="H5" s="21">
        <v>3926909090</v>
      </c>
      <c r="I5" s="21">
        <v>18032.21</v>
      </c>
      <c r="J5" s="21">
        <v>614</v>
      </c>
      <c r="K5" s="21">
        <v>9</v>
      </c>
      <c r="L5" s="21">
        <f t="shared" si="1"/>
        <v>18655.21</v>
      </c>
      <c r="M5" s="22">
        <f t="shared" si="0"/>
        <v>96.1608762886598</v>
      </c>
    </row>
    <row r="6" s="11" customFormat="1" ht="18.75" spans="1:13">
      <c r="A6" s="21"/>
      <c r="B6" s="21" t="s">
        <v>187</v>
      </c>
      <c r="C6" s="21">
        <v>141</v>
      </c>
      <c r="D6" s="21">
        <v>80</v>
      </c>
      <c r="E6" s="21">
        <v>80</v>
      </c>
      <c r="F6" s="21" t="s">
        <v>186</v>
      </c>
      <c r="G6" s="21"/>
      <c r="H6" s="21">
        <v>4016939000</v>
      </c>
      <c r="I6" s="21">
        <v>2655.8</v>
      </c>
      <c r="J6" s="21">
        <v>90</v>
      </c>
      <c r="K6" s="21">
        <v>1.3</v>
      </c>
      <c r="L6" s="21">
        <f t="shared" si="1"/>
        <v>2747.1</v>
      </c>
      <c r="M6" s="22">
        <f t="shared" si="0"/>
        <v>19.4829787234043</v>
      </c>
    </row>
    <row r="7" s="11" customFormat="1" ht="18.75" spans="1:13">
      <c r="A7" s="21"/>
      <c r="B7" s="21" t="s">
        <v>188</v>
      </c>
      <c r="C7" s="21">
        <v>32</v>
      </c>
      <c r="D7" s="21">
        <v>320</v>
      </c>
      <c r="E7" s="21">
        <v>320</v>
      </c>
      <c r="F7" s="21" t="s">
        <v>189</v>
      </c>
      <c r="G7" s="21"/>
      <c r="H7" s="21">
        <v>8528591090</v>
      </c>
      <c r="I7" s="21">
        <v>3612.16</v>
      </c>
      <c r="J7" s="21">
        <v>123</v>
      </c>
      <c r="K7" s="21">
        <v>1.8</v>
      </c>
      <c r="L7" s="21">
        <f t="shared" si="1"/>
        <v>3736.96</v>
      </c>
      <c r="M7" s="22">
        <f t="shared" si="0"/>
        <v>116.78</v>
      </c>
    </row>
    <row r="8" s="11" customFormat="1" ht="18.75" spans="1:13">
      <c r="A8" s="21"/>
      <c r="B8" s="21" t="s">
        <v>190</v>
      </c>
      <c r="C8" s="21">
        <v>14</v>
      </c>
      <c r="D8" s="21">
        <v>280</v>
      </c>
      <c r="E8" s="21">
        <v>280</v>
      </c>
      <c r="F8" s="21" t="s">
        <v>186</v>
      </c>
      <c r="G8" s="21"/>
      <c r="H8" s="21">
        <v>7318190000</v>
      </c>
      <c r="I8" s="21">
        <v>3026.4</v>
      </c>
      <c r="J8" s="21">
        <v>103</v>
      </c>
      <c r="K8" s="21">
        <v>1.2</v>
      </c>
      <c r="L8" s="21">
        <f t="shared" si="1"/>
        <v>3130.6</v>
      </c>
      <c r="M8" s="22">
        <f t="shared" si="0"/>
        <v>223.614285714286</v>
      </c>
    </row>
  </sheetData>
  <mergeCells count="2">
    <mergeCell ref="A2:A8"/>
    <mergeCell ref="G2:G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opLeftCell="A33" workbookViewId="0">
      <selection activeCell="E52" sqref="E51:E52"/>
    </sheetView>
  </sheetViews>
  <sheetFormatPr defaultColWidth="9.14285714285714" defaultRowHeight="12.75" outlineLevelCol="7"/>
  <cols>
    <col min="1" max="1" width="27.5714285714286" customWidth="1"/>
    <col min="2" max="2" width="49.4285714285714" customWidth="1"/>
    <col min="3" max="3" width="17.2857142857143" customWidth="1"/>
    <col min="4" max="4" width="41.8571428571429" customWidth="1"/>
    <col min="5" max="5" width="13" customWidth="1"/>
    <col min="6" max="6" width="20" style="1" customWidth="1"/>
    <col min="7" max="7" width="25.1428571428571" style="1" customWidth="1"/>
  </cols>
  <sheetData>
    <row r="1" ht="23.25" spans="1:8">
      <c r="A1" s="2" t="s">
        <v>191</v>
      </c>
      <c r="B1" s="2"/>
      <c r="C1" s="2"/>
      <c r="D1" s="2"/>
      <c r="E1" s="2"/>
      <c r="F1" s="3"/>
      <c r="G1" s="3"/>
    </row>
    <row r="2" ht="23.25" spans="1:8">
      <c r="A2" s="4" t="s">
        <v>192</v>
      </c>
      <c r="B2" s="4" t="s">
        <v>193</v>
      </c>
      <c r="C2" s="4" t="s">
        <v>194</v>
      </c>
      <c r="D2" s="2" t="s">
        <v>195</v>
      </c>
      <c r="E2" s="4" t="s">
        <v>46</v>
      </c>
      <c r="F2" s="5" t="s">
        <v>51</v>
      </c>
      <c r="G2" s="5" t="s">
        <v>52</v>
      </c>
    </row>
    <row r="3" ht="23.25" spans="1:8">
      <c r="A3" s="2"/>
      <c r="B3" s="2"/>
      <c r="C3" s="2"/>
      <c r="D3" s="2" t="s">
        <v>196</v>
      </c>
      <c r="E3" s="2"/>
      <c r="F3" s="3"/>
      <c r="G3" s="3"/>
    </row>
    <row r="4" ht="23.25" spans="1:8">
      <c r="A4" s="6" t="s">
        <v>141</v>
      </c>
      <c r="B4" s="7" t="s">
        <v>142</v>
      </c>
      <c r="C4" s="7" t="s">
        <v>55</v>
      </c>
      <c r="D4" s="6">
        <v>140</v>
      </c>
      <c r="E4" s="6">
        <v>140</v>
      </c>
      <c r="F4" s="8">
        <v>0.81</v>
      </c>
      <c r="G4" s="8">
        <v>113.4</v>
      </c>
      <c r="H4" s="9" t="s">
        <v>197</v>
      </c>
    </row>
    <row r="5" ht="23.25" spans="1:8">
      <c r="A5" s="6" t="s">
        <v>118</v>
      </c>
      <c r="B5" s="160" t="s">
        <v>119</v>
      </c>
      <c r="C5" s="160" t="s">
        <v>80</v>
      </c>
      <c r="D5" s="6">
        <v>140</v>
      </c>
      <c r="E5" s="6">
        <v>140</v>
      </c>
      <c r="F5" s="8">
        <v>2.69</v>
      </c>
      <c r="G5" s="8">
        <v>376.6</v>
      </c>
      <c r="H5" s="9" t="s">
        <v>197</v>
      </c>
    </row>
    <row r="6" ht="23.25" spans="1:8">
      <c r="A6" s="6" t="s">
        <v>85</v>
      </c>
      <c r="B6" s="160" t="s">
        <v>86</v>
      </c>
      <c r="C6" s="160" t="s">
        <v>80</v>
      </c>
      <c r="D6" s="6">
        <v>140</v>
      </c>
      <c r="E6" s="6">
        <v>140</v>
      </c>
      <c r="F6" s="8">
        <v>4.1</v>
      </c>
      <c r="G6" s="8">
        <v>574</v>
      </c>
      <c r="H6" s="9" t="s">
        <v>197</v>
      </c>
    </row>
    <row r="7" ht="23.25" spans="1:8">
      <c r="A7" s="6" t="s">
        <v>93</v>
      </c>
      <c r="B7" s="160" t="s">
        <v>94</v>
      </c>
      <c r="C7" s="160" t="s">
        <v>80</v>
      </c>
      <c r="D7" s="6">
        <v>140</v>
      </c>
      <c r="E7" s="6">
        <v>140</v>
      </c>
      <c r="F7" s="8">
        <v>4.45</v>
      </c>
      <c r="G7" s="8">
        <v>623</v>
      </c>
      <c r="H7" s="9" t="s">
        <v>197</v>
      </c>
    </row>
    <row r="8" ht="23.25" spans="1:8">
      <c r="A8" s="6" t="s">
        <v>78</v>
      </c>
      <c r="B8" s="160" t="s">
        <v>79</v>
      </c>
      <c r="C8" s="160" t="s">
        <v>80</v>
      </c>
      <c r="D8" s="6">
        <v>140</v>
      </c>
      <c r="E8" s="6">
        <v>140</v>
      </c>
      <c r="F8" s="8">
        <v>1.38</v>
      </c>
      <c r="G8" s="8">
        <v>193.2</v>
      </c>
      <c r="H8" s="9" t="s">
        <v>197</v>
      </c>
    </row>
    <row r="9" ht="23.25" spans="1:8">
      <c r="A9" s="6" t="s">
        <v>53</v>
      </c>
      <c r="B9" s="7" t="s">
        <v>54</v>
      </c>
      <c r="C9" s="7" t="s">
        <v>55</v>
      </c>
      <c r="D9" s="6">
        <v>140</v>
      </c>
      <c r="E9" s="6">
        <v>140</v>
      </c>
      <c r="F9" s="8">
        <v>9.13</v>
      </c>
      <c r="G9" s="8">
        <v>1278.2</v>
      </c>
      <c r="H9" s="9" t="s">
        <v>182</v>
      </c>
    </row>
    <row r="10" ht="23.25" spans="1:8">
      <c r="A10" s="6" t="s">
        <v>81</v>
      </c>
      <c r="B10" s="6" t="s">
        <v>82</v>
      </c>
      <c r="C10" s="7" t="s">
        <v>55</v>
      </c>
      <c r="D10" s="6">
        <v>70</v>
      </c>
      <c r="E10" s="6">
        <v>70</v>
      </c>
      <c r="F10" s="8">
        <v>28.81</v>
      </c>
      <c r="G10" s="8">
        <v>2016.7</v>
      </c>
      <c r="H10" s="9" t="s">
        <v>182</v>
      </c>
    </row>
    <row r="11" ht="23.25" spans="1:8">
      <c r="A11" s="6" t="s">
        <v>113</v>
      </c>
      <c r="B11" s="7" t="s">
        <v>114</v>
      </c>
      <c r="C11" s="7" t="s">
        <v>55</v>
      </c>
      <c r="D11" s="6">
        <v>420</v>
      </c>
      <c r="E11" s="6">
        <v>420</v>
      </c>
      <c r="F11" s="8">
        <v>1.43</v>
      </c>
      <c r="G11" s="8">
        <v>600.6</v>
      </c>
      <c r="H11" s="9" t="s">
        <v>182</v>
      </c>
    </row>
    <row r="12" ht="23.25" spans="1:8">
      <c r="A12" s="6" t="s">
        <v>110</v>
      </c>
      <c r="B12" s="160" t="s">
        <v>111</v>
      </c>
      <c r="C12" s="160" t="s">
        <v>55</v>
      </c>
      <c r="D12" s="6">
        <v>80</v>
      </c>
      <c r="E12" s="6">
        <v>80</v>
      </c>
      <c r="F12" s="8">
        <v>6.58</v>
      </c>
      <c r="G12" s="8">
        <v>526.4</v>
      </c>
      <c r="H12" s="9" t="s">
        <v>182</v>
      </c>
    </row>
    <row r="13" ht="23.25" spans="1:8">
      <c r="A13" s="6" t="s">
        <v>88</v>
      </c>
      <c r="B13" s="6" t="s">
        <v>89</v>
      </c>
      <c r="C13" s="7" t="s">
        <v>55</v>
      </c>
      <c r="D13" s="6">
        <v>70</v>
      </c>
      <c r="E13" s="6">
        <v>70</v>
      </c>
      <c r="F13" s="8">
        <v>28.81</v>
      </c>
      <c r="G13" s="8">
        <v>2016.7</v>
      </c>
      <c r="H13" s="9" t="s">
        <v>182</v>
      </c>
    </row>
    <row r="14" ht="23.25" spans="1:8">
      <c r="A14" s="6" t="s">
        <v>169</v>
      </c>
      <c r="B14" s="7" t="s">
        <v>170</v>
      </c>
      <c r="C14" s="7" t="s">
        <v>55</v>
      </c>
      <c r="D14" s="6">
        <v>84</v>
      </c>
      <c r="E14" s="6">
        <v>84</v>
      </c>
      <c r="F14" s="8">
        <v>12.01</v>
      </c>
      <c r="G14" s="8">
        <v>1008.84</v>
      </c>
      <c r="H14" s="9" t="s">
        <v>197</v>
      </c>
    </row>
    <row r="15" ht="23.25" spans="1:8">
      <c r="A15" s="6" t="s">
        <v>165</v>
      </c>
      <c r="B15" s="7" t="s">
        <v>166</v>
      </c>
      <c r="C15" s="7" t="s">
        <v>55</v>
      </c>
      <c r="D15" s="6">
        <v>180</v>
      </c>
      <c r="E15" s="6">
        <v>180</v>
      </c>
      <c r="F15" s="8">
        <v>12.01</v>
      </c>
      <c r="G15" s="8">
        <v>2161.8</v>
      </c>
      <c r="H15" s="9" t="s">
        <v>182</v>
      </c>
    </row>
    <row r="16" ht="23.25" spans="1:8">
      <c r="A16" s="6" t="s">
        <v>159</v>
      </c>
      <c r="B16" s="7" t="s">
        <v>160</v>
      </c>
      <c r="C16" s="7" t="s">
        <v>128</v>
      </c>
      <c r="D16" s="6">
        <v>48</v>
      </c>
      <c r="E16" s="6">
        <v>48</v>
      </c>
      <c r="F16" s="8">
        <v>31.75</v>
      </c>
      <c r="G16" s="8">
        <v>1524</v>
      </c>
      <c r="H16" s="9" t="s">
        <v>182</v>
      </c>
    </row>
    <row r="17" ht="23.25" spans="1:8">
      <c r="A17" s="6" t="s">
        <v>126</v>
      </c>
      <c r="B17" s="6" t="s">
        <v>127</v>
      </c>
      <c r="C17" s="7" t="s">
        <v>128</v>
      </c>
      <c r="D17" s="6">
        <v>53</v>
      </c>
      <c r="E17" s="6">
        <v>53</v>
      </c>
      <c r="F17" s="8">
        <v>41.24</v>
      </c>
      <c r="G17" s="8">
        <v>2185.72</v>
      </c>
      <c r="H17" s="9" t="s">
        <v>197</v>
      </c>
    </row>
    <row r="18" ht="23.25" spans="1:8">
      <c r="A18" s="6" t="s">
        <v>64</v>
      </c>
      <c r="B18" s="7" t="s">
        <v>65</v>
      </c>
      <c r="C18" s="7" t="s">
        <v>55</v>
      </c>
      <c r="D18" s="6">
        <v>70</v>
      </c>
      <c r="E18" s="6">
        <v>70</v>
      </c>
      <c r="F18" s="8">
        <v>5.13</v>
      </c>
      <c r="G18" s="8">
        <v>359.1</v>
      </c>
      <c r="H18" s="9" t="s">
        <v>197</v>
      </c>
    </row>
    <row r="19" ht="23.25" spans="1:8">
      <c r="A19" s="6" t="s">
        <v>67</v>
      </c>
      <c r="B19" s="7" t="s">
        <v>68</v>
      </c>
      <c r="C19" s="7" t="s">
        <v>55</v>
      </c>
      <c r="D19" s="6">
        <v>70</v>
      </c>
      <c r="E19" s="6">
        <v>70</v>
      </c>
      <c r="F19" s="8">
        <v>5.13</v>
      </c>
      <c r="G19" s="8">
        <v>359.1</v>
      </c>
      <c r="H19" s="9" t="s">
        <v>197</v>
      </c>
    </row>
    <row r="20" ht="23.25" spans="1:8">
      <c r="A20" s="6" t="s">
        <v>198</v>
      </c>
      <c r="B20" s="7" t="s">
        <v>60</v>
      </c>
      <c r="C20" s="7" t="s">
        <v>55</v>
      </c>
      <c r="D20" s="6">
        <v>70</v>
      </c>
      <c r="E20" s="6">
        <v>70</v>
      </c>
      <c r="F20" s="8">
        <v>4.64</v>
      </c>
      <c r="G20" s="8">
        <v>324.8</v>
      </c>
      <c r="H20" s="9" t="s">
        <v>197</v>
      </c>
    </row>
    <row r="21" ht="23.25" spans="1:8">
      <c r="A21" s="6" t="s">
        <v>199</v>
      </c>
      <c r="B21" s="7" t="s">
        <v>63</v>
      </c>
      <c r="C21" s="7" t="s">
        <v>55</v>
      </c>
      <c r="D21" s="6">
        <v>70</v>
      </c>
      <c r="E21" s="6">
        <v>70</v>
      </c>
      <c r="F21" s="8">
        <v>4.64</v>
      </c>
      <c r="G21" s="8">
        <v>324.8</v>
      </c>
      <c r="H21" s="9" t="s">
        <v>197</v>
      </c>
    </row>
    <row r="22" ht="23.25" spans="1:8">
      <c r="A22" s="6" t="s">
        <v>147</v>
      </c>
      <c r="B22" s="6" t="s">
        <v>200</v>
      </c>
      <c r="C22" s="7" t="s">
        <v>149</v>
      </c>
      <c r="D22" s="6">
        <v>140</v>
      </c>
      <c r="E22" s="6">
        <v>140</v>
      </c>
      <c r="F22" s="8">
        <v>45.28</v>
      </c>
      <c r="G22" s="8">
        <v>6339.2</v>
      </c>
      <c r="H22" s="9" t="s">
        <v>197</v>
      </c>
    </row>
    <row r="23" ht="23.25" spans="1:8">
      <c r="A23" s="6" t="s">
        <v>151</v>
      </c>
      <c r="B23" s="7" t="s">
        <v>152</v>
      </c>
      <c r="C23" s="7" t="s">
        <v>55</v>
      </c>
      <c r="D23" s="6">
        <v>140</v>
      </c>
      <c r="E23" s="6">
        <v>140</v>
      </c>
      <c r="F23" s="8">
        <v>22.64</v>
      </c>
      <c r="G23" s="8">
        <v>3169.6</v>
      </c>
      <c r="H23" s="9" t="s">
        <v>197</v>
      </c>
    </row>
    <row r="24" ht="23.25" spans="1:8">
      <c r="A24" s="6" t="s">
        <v>137</v>
      </c>
      <c r="B24" s="7" t="s">
        <v>138</v>
      </c>
      <c r="C24" s="7" t="s">
        <v>55</v>
      </c>
      <c r="D24" s="6">
        <v>140</v>
      </c>
      <c r="E24" s="6">
        <v>140</v>
      </c>
      <c r="F24" s="8">
        <v>0.45</v>
      </c>
      <c r="G24" s="8">
        <v>63</v>
      </c>
      <c r="H24" s="9" t="s">
        <v>187</v>
      </c>
    </row>
    <row r="25" ht="23.25" spans="1:8">
      <c r="A25" s="6" t="s">
        <v>139</v>
      </c>
      <c r="B25" s="7" t="s">
        <v>140</v>
      </c>
      <c r="C25" s="7" t="s">
        <v>55</v>
      </c>
      <c r="D25" s="6">
        <v>140</v>
      </c>
      <c r="E25" s="6">
        <v>140</v>
      </c>
      <c r="F25" s="8">
        <v>0.73</v>
      </c>
      <c r="G25" s="8">
        <v>102.2</v>
      </c>
      <c r="H25" s="9" t="s">
        <v>187</v>
      </c>
    </row>
    <row r="26" ht="23.25" spans="1:8">
      <c r="A26" s="6" t="s">
        <v>143</v>
      </c>
      <c r="B26" s="7" t="s">
        <v>144</v>
      </c>
      <c r="C26" s="7" t="s">
        <v>55</v>
      </c>
      <c r="D26" s="6">
        <v>140</v>
      </c>
      <c r="E26" s="6">
        <v>140</v>
      </c>
      <c r="F26" s="8">
        <v>0.05</v>
      </c>
      <c r="G26" s="8">
        <v>7</v>
      </c>
      <c r="H26" s="9" t="s">
        <v>197</v>
      </c>
    </row>
    <row r="27" ht="23.25" spans="1:8">
      <c r="A27" s="6" t="s">
        <v>122</v>
      </c>
      <c r="B27" s="7" t="s">
        <v>123</v>
      </c>
      <c r="C27" s="160" t="s">
        <v>55</v>
      </c>
      <c r="D27" s="6">
        <v>140</v>
      </c>
      <c r="E27" s="6">
        <v>140</v>
      </c>
      <c r="F27" s="8">
        <v>17.79</v>
      </c>
      <c r="G27" s="8">
        <v>2490.6</v>
      </c>
      <c r="H27" s="9" t="s">
        <v>187</v>
      </c>
    </row>
    <row r="28" ht="23.25" spans="1:8">
      <c r="A28" s="6" t="s">
        <v>108</v>
      </c>
      <c r="B28" s="7" t="s">
        <v>109</v>
      </c>
      <c r="C28" s="7" t="s">
        <v>55</v>
      </c>
      <c r="D28" s="6">
        <v>140</v>
      </c>
      <c r="E28" s="6">
        <v>140</v>
      </c>
      <c r="F28" s="8">
        <v>10.35</v>
      </c>
      <c r="G28" s="8">
        <v>1449</v>
      </c>
      <c r="H28" s="9" t="s">
        <v>184</v>
      </c>
    </row>
    <row r="29" ht="23.25" spans="1:8">
      <c r="A29" s="6" t="s">
        <v>145</v>
      </c>
      <c r="B29" s="7" t="s">
        <v>146</v>
      </c>
      <c r="C29" s="7" t="s">
        <v>55</v>
      </c>
      <c r="D29" s="6">
        <v>560</v>
      </c>
      <c r="E29" s="6">
        <v>560</v>
      </c>
      <c r="F29" s="8">
        <v>0.41</v>
      </c>
      <c r="G29" s="8">
        <v>229.6</v>
      </c>
      <c r="H29" s="9" t="s">
        <v>190</v>
      </c>
    </row>
    <row r="30" ht="23.25" spans="1:8">
      <c r="A30" s="6" t="s">
        <v>115</v>
      </c>
      <c r="B30" s="7" t="s">
        <v>116</v>
      </c>
      <c r="C30" s="160" t="s">
        <v>80</v>
      </c>
      <c r="D30" s="6">
        <v>95</v>
      </c>
      <c r="E30" s="6">
        <v>95</v>
      </c>
      <c r="F30" s="8">
        <v>21.83</v>
      </c>
      <c r="G30" s="8">
        <v>2073.85</v>
      </c>
      <c r="H30" s="9" t="s">
        <v>197</v>
      </c>
    </row>
    <row r="31" ht="23.25" spans="1:8">
      <c r="A31" s="6" t="s">
        <v>99</v>
      </c>
      <c r="B31" s="7" t="s">
        <v>100</v>
      </c>
      <c r="C31" s="160" t="s">
        <v>55</v>
      </c>
      <c r="D31" s="6">
        <v>140</v>
      </c>
      <c r="E31" s="6">
        <v>140</v>
      </c>
      <c r="F31" s="8">
        <v>0.88</v>
      </c>
      <c r="G31" s="8">
        <v>123.2</v>
      </c>
      <c r="H31" s="9" t="s">
        <v>183</v>
      </c>
    </row>
    <row r="32" ht="23.25" spans="1:8">
      <c r="A32" s="6" t="s">
        <v>101</v>
      </c>
      <c r="B32" s="7" t="s">
        <v>102</v>
      </c>
      <c r="C32" s="160" t="s">
        <v>55</v>
      </c>
      <c r="D32" s="6">
        <v>280</v>
      </c>
      <c r="E32" s="6">
        <v>280</v>
      </c>
      <c r="F32" s="8">
        <v>0.48</v>
      </c>
      <c r="G32" s="8">
        <v>134.4</v>
      </c>
      <c r="H32" s="9" t="s">
        <v>183</v>
      </c>
    </row>
    <row r="33" ht="23.25" spans="1:8">
      <c r="A33" s="6" t="s">
        <v>96</v>
      </c>
      <c r="B33" s="7" t="s">
        <v>97</v>
      </c>
      <c r="C33" s="160" t="s">
        <v>55</v>
      </c>
      <c r="D33" s="6">
        <v>140</v>
      </c>
      <c r="E33" s="6">
        <v>140</v>
      </c>
      <c r="F33" s="8">
        <v>13.21</v>
      </c>
      <c r="G33" s="8">
        <v>1849.4</v>
      </c>
      <c r="H33" s="9" t="s">
        <v>183</v>
      </c>
    </row>
    <row r="34" ht="23.25" spans="1:8">
      <c r="A34" s="6" t="s">
        <v>134</v>
      </c>
      <c r="B34" s="160" t="s">
        <v>135</v>
      </c>
      <c r="C34" s="7" t="s">
        <v>55</v>
      </c>
      <c r="D34" s="6">
        <v>70</v>
      </c>
      <c r="E34" s="6">
        <v>70</v>
      </c>
      <c r="F34" s="8">
        <v>25.35</v>
      </c>
      <c r="G34" s="8">
        <v>1774.5</v>
      </c>
      <c r="H34" s="9" t="s">
        <v>183</v>
      </c>
    </row>
    <row r="35" ht="23.25" spans="1:8">
      <c r="A35" s="6" t="s">
        <v>106</v>
      </c>
      <c r="B35" s="160" t="s">
        <v>107</v>
      </c>
      <c r="C35" s="7" t="s">
        <v>55</v>
      </c>
      <c r="D35" s="6">
        <v>70</v>
      </c>
      <c r="E35" s="6">
        <v>70</v>
      </c>
      <c r="F35" s="8">
        <v>25.35</v>
      </c>
      <c r="G35" s="8">
        <v>1774.5</v>
      </c>
      <c r="H35" s="9" t="s">
        <v>183</v>
      </c>
    </row>
    <row r="36" ht="23.25" spans="1:8">
      <c r="A36" s="6" t="s">
        <v>103</v>
      </c>
      <c r="B36" s="7" t="s">
        <v>104</v>
      </c>
      <c r="C36" s="7" t="s">
        <v>55</v>
      </c>
      <c r="D36" s="6">
        <v>70</v>
      </c>
      <c r="E36" s="6">
        <v>70</v>
      </c>
      <c r="F36" s="8">
        <v>8.76</v>
      </c>
      <c r="G36" s="8">
        <v>613.2</v>
      </c>
      <c r="H36" s="9" t="s">
        <v>183</v>
      </c>
    </row>
    <row r="37" ht="23.25" spans="1:8">
      <c r="A37" s="6" t="s">
        <v>105</v>
      </c>
      <c r="B37" s="7" t="s">
        <v>104</v>
      </c>
      <c r="C37" s="7" t="s">
        <v>55</v>
      </c>
      <c r="D37" s="6">
        <v>70</v>
      </c>
      <c r="E37" s="6">
        <v>70</v>
      </c>
      <c r="F37" s="8">
        <v>8.76</v>
      </c>
      <c r="G37" s="8">
        <v>613.2</v>
      </c>
      <c r="H37" s="9" t="s">
        <v>183</v>
      </c>
    </row>
    <row r="38" ht="23.25" spans="1:8">
      <c r="A38" s="6" t="s">
        <v>71</v>
      </c>
      <c r="B38" s="6" t="s">
        <v>72</v>
      </c>
      <c r="C38" s="7" t="s">
        <v>55</v>
      </c>
      <c r="D38" s="6">
        <v>32</v>
      </c>
      <c r="E38" s="6">
        <v>32</v>
      </c>
      <c r="F38" s="8">
        <v>112.88</v>
      </c>
      <c r="G38" s="8">
        <v>3612.16</v>
      </c>
      <c r="H38" s="9" t="s">
        <v>188</v>
      </c>
    </row>
    <row r="39" ht="23.25" spans="1:8">
      <c r="A39" s="6" t="s">
        <v>74</v>
      </c>
      <c r="B39" s="7" t="s">
        <v>75</v>
      </c>
      <c r="C39" s="7" t="s">
        <v>55</v>
      </c>
      <c r="D39" s="6">
        <v>242</v>
      </c>
      <c r="E39" s="6">
        <v>242</v>
      </c>
      <c r="F39" s="8">
        <v>4.85</v>
      </c>
      <c r="G39" s="8">
        <v>1173.7</v>
      </c>
      <c r="H39" s="9" t="s">
        <v>182</v>
      </c>
    </row>
    <row r="40" ht="23.25" spans="1:8">
      <c r="A40" s="6" t="s">
        <v>154</v>
      </c>
      <c r="B40" s="7" t="s">
        <v>155</v>
      </c>
      <c r="C40" s="160" t="s">
        <v>80</v>
      </c>
      <c r="D40" s="6">
        <v>7360</v>
      </c>
      <c r="E40" s="6">
        <v>7360</v>
      </c>
      <c r="F40" s="8">
        <v>0.38</v>
      </c>
      <c r="G40" s="8">
        <v>2796.8</v>
      </c>
      <c r="H40" s="9" t="s">
        <v>190</v>
      </c>
    </row>
    <row r="41" ht="23.25" spans="1:8">
      <c r="A41" s="7" t="s">
        <v>201</v>
      </c>
      <c r="B41" s="6"/>
      <c r="C41" s="6"/>
      <c r="D41" s="6"/>
      <c r="E41" s="6"/>
      <c r="F41" s="8"/>
      <c r="G41" s="10">
        <v>46956.07</v>
      </c>
      <c r="H41" s="9" t="e">
        <v>#N/A</v>
      </c>
    </row>
  </sheetData>
  <autoFilter xmlns:etc="http://www.wps.cn/officeDocument/2017/etCustomData" ref="A3:H41" etc:filterBottomFollowUsedRange="0">
    <extLst/>
  </autoFilter>
  <mergeCells count="7">
    <mergeCell ref="A1:G1"/>
    <mergeCell ref="A2:A3"/>
    <mergeCell ref="B2:B3"/>
    <mergeCell ref="C2:C3"/>
    <mergeCell ref="E2:E3"/>
    <mergeCell ref="F2:F3"/>
    <mergeCell ref="G2:G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ersonincharge xmlns="44f3135e-0e65-4e40-a018-7f65438629cf">
      <UserInfo>
        <DisplayName/>
        <AccountId xsi:nil="true"/>
        <AccountType/>
      </UserInfo>
    </Personincharge>
    <lcf76f155ced4ddcb4097134ff3c332f xmlns="44f3135e-0e65-4e40-a018-7f65438629cf">
      <Terms xmlns="http://schemas.microsoft.com/office/infopath/2007/PartnerControls"/>
    </lcf76f155ced4ddcb4097134ff3c332f>
    <_ip_UnifiedCompliancePolicyProperties xmlns="http://schemas.microsoft.com/sharepoint/v3" xsi:nil="true"/>
    <TaxCatchAll xmlns="7ff33d5d-b36d-439f-aaa6-4bb99883578f" xsi:nil="true"/>
    <_Flow_SignoffStatus xmlns="44f3135e-0e65-4e40-a018-7f65438629cf" xsi:nil="true"/>
  </documentManagement>
</p:properties>
</file>

<file path=customXml/itemProps1.xml><?xml version="1.0" encoding="utf-8"?>
<ds:datastoreItem xmlns:ds="http://schemas.openxmlformats.org/officeDocument/2006/customXml" ds:itemID="{F6A1962C-E2D9-4DBE-9508-C4DE43615493}"/>
</file>

<file path=customXml/itemProps2.xml><?xml version="1.0" encoding="utf-8"?>
<ds:datastoreItem xmlns:ds="http://schemas.openxmlformats.org/officeDocument/2006/customXml" ds:itemID="{F021E4E4-AA5C-4847-B389-E55D48F452B8}"/>
</file>

<file path=customXml/itemProps3.xml><?xml version="1.0" encoding="utf-8"?>
<ds:datastoreItem xmlns:ds="http://schemas.openxmlformats.org/officeDocument/2006/customXml" ds:itemID="{6F7719B3-DD13-467C-9C8A-FCB5CC656367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OOCU6207383</vt:lpstr>
      <vt:lpstr>数量金额核对</vt:lpstr>
      <vt:lpstr>RMA汇总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晏秋</cp:lastModifiedBy>
  <cp:lastPrinted>2022-03-19T09:37:00Z</cp:lastPrinted>
  <dcterms:created xsi:type="dcterms:W3CDTF">2021-07-16T00:45:00Z</dcterms:created>
  <dcterms:modified xsi:type="dcterms:W3CDTF">2026-02-11T02:23:46Z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7ADEDB7C778948508DFACC60F57C48EC_13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0x010100568549FB50A77D4685EB06FA42EF5BD2</vt:lpwstr>
  </property>
</Properties>
</file>