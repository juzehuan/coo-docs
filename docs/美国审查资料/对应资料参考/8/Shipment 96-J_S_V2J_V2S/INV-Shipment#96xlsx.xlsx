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RMA-CI" sheetId="1" r:id="rId1"/>
  </sheets>
  <externalReferences>
    <externalReference r:id="rId5"/>
  </externalReferences>
  <definedNames>
    <definedName name="_xlnm._FilterDatabase" localSheetId="0" hidden="1">'RMA-CI'!$A$14:$M$53</definedName>
    <definedName name="采购订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<sst xmlns="http://schemas.openxmlformats.org/spreadsheetml/2006/main" count="69" uniqueCount="67">
  <si>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Yangzhou WEV International Trade Co., LTD</t>
  </si>
  <si>
    <t>No.1 Zonghua Road, Xiaoji Town, Jiangdu District, Yangzhou City</t>
  </si>
  <si>
    <t>COMMERCIAL INVOICE</t>
  </si>
  <si>
    <t xml:space="preserve">Date: </t>
  </si>
  <si>
    <t>Feb，11 ，2026</t>
  </si>
  <si>
    <t>Invoice No.:</t>
  </si>
  <si>
    <t>W-B-96-RMA</t>
  </si>
  <si>
    <t>Contract No.:</t>
  </si>
  <si>
    <t>To:</t>
  </si>
  <si>
    <t>RMA Automotive Co.,Ltd.</t>
  </si>
  <si>
    <t>203, MOO 3, LAEM CHABANG EXPORT INDUSTRIAL ZONE, LAEM CHABANG INDUSTRIAL ESTATE,
SUKHUMVIT ROAD, TOONGSUKHLA, SRIRACHA.CHONBURI, THAILAND 20230</t>
  </si>
  <si>
    <t>Country of Origin:   CHINA</t>
  </si>
  <si>
    <t>MARKS &amp; NUMBERS</t>
  </si>
  <si>
    <t>DESCRIPTION</t>
  </si>
  <si>
    <t>TH Description</t>
  </si>
  <si>
    <t>REMARK</t>
  </si>
  <si>
    <t>HS CODE</t>
  </si>
  <si>
    <t>PCS</t>
  </si>
  <si>
    <t>PACKAGES</t>
  </si>
  <si>
    <t>UNIT price (USD)</t>
  </si>
  <si>
    <t>GW Weight</t>
  </si>
  <si>
    <t>F0102064501</t>
  </si>
  <si>
    <t>Golf cart parts</t>
  </si>
  <si>
    <t xml:space="preserve">Commercial
</t>
  </si>
  <si>
    <t>F0102077502T</t>
  </si>
  <si>
    <t>F0102077505T.3</t>
  </si>
  <si>
    <t>F0102081501T</t>
  </si>
  <si>
    <t>F0102081527T</t>
  </si>
  <si>
    <t>F0102089068</t>
  </si>
  <si>
    <t>F0102089100</t>
  </si>
  <si>
    <t>F0307003027</t>
  </si>
  <si>
    <t>F0204002032</t>
  </si>
  <si>
    <t>Chassis part</t>
  </si>
  <si>
    <t>F0204002033</t>
  </si>
  <si>
    <t>F0204002035</t>
  </si>
  <si>
    <t>F0204003025</t>
  </si>
  <si>
    <t>F0204003026</t>
  </si>
  <si>
    <t>F0204004052</t>
  </si>
  <si>
    <t>F0204004053</t>
  </si>
  <si>
    <t>F0203003104</t>
  </si>
  <si>
    <t>Brake parts</t>
  </si>
  <si>
    <t>D2201005</t>
  </si>
  <si>
    <t>Plasctic parts(Instrument panel, ceiling, etc)</t>
  </si>
  <si>
    <t>F0102045011</t>
  </si>
  <si>
    <t>F0102045012</t>
  </si>
  <si>
    <t>F0102045017</t>
  </si>
  <si>
    <t>F0102045025.1</t>
  </si>
  <si>
    <t>F0102045025.2</t>
  </si>
  <si>
    <t>F0102089064</t>
  </si>
  <si>
    <t>F0103009031</t>
  </si>
  <si>
    <t>F0103020022</t>
  </si>
  <si>
    <t>F0103020023</t>
  </si>
  <si>
    <t>F0103020024</t>
  </si>
  <si>
    <t>F0103020025</t>
  </si>
  <si>
    <t>F0103027116</t>
  </si>
  <si>
    <t>F0103027117</t>
  </si>
  <si>
    <t>F0103035092</t>
  </si>
  <si>
    <t>F0204001015</t>
  </si>
  <si>
    <t>F0103035090</t>
  </si>
  <si>
    <t>EPDM</t>
  </si>
  <si>
    <t>F0103035091</t>
  </si>
  <si>
    <t>F0103035097</t>
  </si>
  <si>
    <t>F0307001047</t>
  </si>
  <si>
    <t>LCD Screen</t>
  </si>
  <si>
    <t>F0203013013</t>
  </si>
  <si>
    <t>Fastener</t>
  </si>
  <si>
    <t>F2101059003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</si>
</sst>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&quot;US$&quot;#,##0.00;\-&quot;US$&quot;#,##0.00"/>
    <numFmt numFmtId="178" formatCode="0.00_ "/>
  </numFmts>
  <fonts count="35">
    <font>
      <sz val="10"/>
      <name val="MS Sans Serif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b/>
      <sz val="10"/>
      <color rgb="FF000000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sz val="9"/>
      <color rgb="FF000000"/>
      <name val="Arial"/>
      <charset val="134"/>
    </font>
    <font>
      <sz val="8"/>
      <color rgb="FF000000"/>
      <name val="Arial"/>
      <charset val="134"/>
    </font>
    <font>
      <b/>
      <u/>
      <sz val="8"/>
      <color rgb="FF000000"/>
      <name val="Arial"/>
      <charset val="134"/>
    </font>
    <font>
      <b/>
      <u/>
      <sz val="12"/>
      <color rgb="FF000000"/>
      <name val="Arial"/>
      <charset val="134"/>
    </font>
    <font>
      <b/>
      <sz val="8"/>
      <color rgb="FF000000"/>
      <name val="Arial"/>
      <charset val="134"/>
    </font>
    <font>
      <sz val="12"/>
      <name val="Arial"/>
      <charset val="134"/>
    </font>
    <font>
      <sz val="12"/>
      <color rgb="FFFF0000"/>
      <name val="Arial"/>
      <charset val="134"/>
    </font>
    <font>
      <sz val="20"/>
      <color rgb="FFFF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4" fillId="0" borderId="0" applyFont="0" applyFill="0" applyBorder="0" applyAlignment="0" applyProtection="0"/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7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4" borderId="7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34" fillId="0" borderId="0">
      <alignment vertical="center"/>
    </xf>
    <xf numFmtId="0" fontId="14" fillId="0" borderId="0">
      <alignment vertical="center"/>
    </xf>
  </cellStyleXfs>
  <cellXfs count="34">
    <xf numFmtId="0" fontId="0" fillId="0" borderId="0" xfId="0"/>
    <xf numFmtId="0" fontId="1" fillId="0" borderId="0" xfId="49" applyFont="1" applyFill="1" applyBorder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177" fontId="1" fillId="0" borderId="0" xfId="49" applyNumberFormat="1" applyFont="1" applyFill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177" fontId="4" fillId="0" borderId="1" xfId="49" applyNumberFormat="1" applyFont="1" applyFill="1" applyBorder="1" applyAlignment="1">
      <alignment horizontal="center" vertical="center"/>
    </xf>
    <xf numFmtId="177" fontId="5" fillId="0" borderId="1" xfId="49" applyNumberFormat="1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/>
    </xf>
    <xf numFmtId="0" fontId="7" fillId="0" borderId="1" xfId="49" applyFont="1" applyFill="1" applyBorder="1" applyAlignment="1">
      <alignment horizontal="center" vertical="center" wrapText="1"/>
    </xf>
    <xf numFmtId="177" fontId="5" fillId="0" borderId="1" xfId="49" applyNumberFormat="1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/>
    </xf>
    <xf numFmtId="0" fontId="8" fillId="0" borderId="1" xfId="49" applyFont="1" applyFill="1" applyBorder="1" applyAlignment="1">
      <alignment horizontal="center"/>
    </xf>
    <xf numFmtId="177" fontId="9" fillId="0" borderId="1" xfId="49" applyNumberFormat="1" applyFont="1" applyFill="1" applyBorder="1" applyAlignment="1">
      <alignment horizontal="center" vertical="center"/>
    </xf>
    <xf numFmtId="0" fontId="10" fillId="0" borderId="1" xfId="49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/>
    </xf>
    <xf numFmtId="0" fontId="10" fillId="0" borderId="1" xfId="49" applyFont="1" applyFill="1" applyBorder="1" applyAlignment="1">
      <alignment horizontal="center"/>
    </xf>
    <xf numFmtId="0" fontId="7" fillId="0" borderId="1" xfId="49" applyFont="1" applyFill="1" applyBorder="1" applyAlignment="1">
      <alignment horizontal="center" vertical="top"/>
    </xf>
    <xf numFmtId="0" fontId="10" fillId="0" borderId="2" xfId="49" applyFont="1" applyFill="1" applyBorder="1" applyAlignment="1">
      <alignment horizontal="center" vertical="center" wrapText="1"/>
    </xf>
    <xf numFmtId="0" fontId="7" fillId="0" borderId="2" xfId="49" applyFont="1" applyFill="1" applyBorder="1" applyAlignment="1">
      <alignment horizontal="center"/>
    </xf>
    <xf numFmtId="177" fontId="5" fillId="0" borderId="2" xfId="49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" fillId="0" borderId="1" xfId="49" applyFont="1" applyFill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2" fillId="0" borderId="2" xfId="49" applyFont="1" applyFill="1" applyBorder="1" applyAlignment="1">
      <alignment horizontal="center" vertical="center" wrapText="1"/>
    </xf>
    <xf numFmtId="0" fontId="12" fillId="0" borderId="3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/>
    </xf>
    <xf numFmtId="0" fontId="1" fillId="0" borderId="3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177" fontId="13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 quotePrefix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_材料出库单_4" xfId="50"/>
    <cellStyle name="常规 4" xfId="51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ipment%2096%20Eng%20ver.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OOCU6207383"/>
      <sheetName val=" Quantity and amount verificati"/>
      <sheetName val=" RMA Summary"/>
    </sheetNames>
    <sheetDataSet>
      <sheetData sheetId="0"/>
      <sheetData sheetId="1"/>
      <sheetData sheetId="2">
        <row r="1">
          <cell r="A1" t="str">
            <v>RMA Summary</v>
          </cell>
        </row>
        <row r="2">
          <cell r="A2" t="str">
            <v>Material Code</v>
          </cell>
          <cell r="B2" t="str">
            <v>Material Name</v>
          </cell>
        </row>
        <row r="4">
          <cell r="A4" t="str">
            <v>D2201005</v>
          </cell>
          <cell r="B4" t="str">
            <v>BRAKE FLUID TANK</v>
          </cell>
        </row>
        <row r="5">
          <cell r="A5" t="str">
            <v>F0102045011</v>
          </cell>
          <cell r="B5" t="str">
            <v>ELECTRIC CONTROL SERVICE COVER (L202C)</v>
          </cell>
        </row>
        <row r="6">
          <cell r="A6" t="str">
            <v>F0102045012</v>
          </cell>
          <cell r="B6" t="str">
            <v>GOLF BAG COMPARTMENT MAT (L202C)</v>
          </cell>
        </row>
        <row r="7">
          <cell r="A7" t="str">
            <v>F0102045017</v>
          </cell>
          <cell r="B7" t="str">
            <v>RR  BUMPER (L202C)</v>
          </cell>
        </row>
        <row r="8">
          <cell r="A8" t="str">
            <v>F0102045025.1</v>
          </cell>
          <cell r="B8" t="str">
            <v>Rear Wheel Arch Left</v>
          </cell>
        </row>
        <row r="9">
          <cell r="A9" t="str">
            <v>F0102045025.2</v>
          </cell>
          <cell r="B9" t="str">
            <v>Rear Wheel Arch Right</v>
          </cell>
        </row>
        <row r="10">
          <cell r="A10" t="str">
            <v>F0102064501</v>
          </cell>
          <cell r="B10" t="str">
            <v>Center Seat Frame</v>
          </cell>
        </row>
        <row r="11">
          <cell r="A11" t="str">
            <v>F0102077502T</v>
          </cell>
          <cell r="B11" t="str">
            <v>Iron FRT Bumper (J)</v>
          </cell>
        </row>
        <row r="12">
          <cell r="A12" t="str">
            <v>F0102077505T.3</v>
          </cell>
          <cell r="B12" t="str">
            <v>GUF0102077505T.3  Backrest Footrest (J4)</v>
          </cell>
        </row>
        <row r="13">
          <cell r="A13" t="str">
            <v>F0102081501T</v>
          </cell>
          <cell r="B13" t="str">
            <v>Headliner Front Bracket (J42)</v>
          </cell>
        </row>
        <row r="14">
          <cell r="A14" t="str">
            <v>F0102081527T</v>
          </cell>
          <cell r="B14" t="str">
            <v>J TYPE IRON FR BUMPER</v>
          </cell>
        </row>
        <row r="15">
          <cell r="A15" t="str">
            <v>F0102089064</v>
          </cell>
          <cell r="B15" t="str">
            <v>BACKREST OUTER TRIM PLATE</v>
          </cell>
        </row>
        <row r="16">
          <cell r="A16" t="str">
            <v>F0102089068</v>
          </cell>
          <cell r="B16" t="str">
            <v>RR SEAT BACKREST OUTER TRIM PLATE</v>
          </cell>
        </row>
        <row r="17">
          <cell r="A17" t="str">
            <v>F0102089100</v>
          </cell>
          <cell r="B17" t="str">
            <v>Trunk Assy</v>
          </cell>
        </row>
        <row r="18">
          <cell r="A18" t="str">
            <v>F0103009031</v>
          </cell>
          <cell r="B18" t="str">
            <v>J TYPE FRONT GLASS/4 SEATS/DOT</v>
          </cell>
        </row>
        <row r="19">
          <cell r="A19" t="str">
            <v>F0103020022</v>
          </cell>
          <cell r="B19" t="str">
            <v>LEFT FRONT FENDER</v>
          </cell>
        </row>
        <row r="20">
          <cell r="A20" t="str">
            <v>F0103020023</v>
          </cell>
          <cell r="B20" t="str">
            <v>RIGHT FRONT FENDER</v>
          </cell>
        </row>
        <row r="21">
          <cell r="A21" t="str">
            <v>F0103020024</v>
          </cell>
          <cell r="B21" t="str">
            <v>LEFT FRONT FENDER (J-MODEL LOWERED CART)</v>
          </cell>
        </row>
        <row r="22">
          <cell r="A22" t="str">
            <v>F0103020025</v>
          </cell>
          <cell r="B22" t="str">
            <v>RIGHT FRONT FENDER (J-MODEL LOWERED CART</v>
          </cell>
        </row>
        <row r="23">
          <cell r="A23" t="str">
            <v>F0103027116</v>
          </cell>
          <cell r="B23" t="str">
            <v>4 SEATSJ-TYPE MOLDED FLOOR LEATHER/ACTIV</v>
          </cell>
        </row>
        <row r="24">
          <cell r="A24" t="str">
            <v>F0103027117</v>
          </cell>
          <cell r="B24" t="str">
            <v>RR PEDAL MOLDED FLOOR LEATHER</v>
          </cell>
        </row>
        <row r="25">
          <cell r="A25" t="str">
            <v>F0103035090</v>
          </cell>
          <cell r="B25" t="str">
            <v>ACCELERATOR PEDAL RUBBER COVER</v>
          </cell>
        </row>
        <row r="26">
          <cell r="A26" t="str">
            <v>F0103035091</v>
          </cell>
          <cell r="B26" t="str">
            <v>BRAKE PEDAL RUBBER SLEEVE</v>
          </cell>
        </row>
        <row r="27">
          <cell r="A27" t="str">
            <v>F0103035092</v>
          </cell>
          <cell r="B27" t="str">
            <v>OIL CAN GASKET</v>
          </cell>
        </row>
        <row r="28">
          <cell r="A28" t="str">
            <v>F0103035097</v>
          </cell>
          <cell r="B28" t="str">
            <v>Battery Frame Rubber Plate</v>
          </cell>
        </row>
        <row r="29">
          <cell r="A29" t="str">
            <v>F0203003104</v>
          </cell>
          <cell r="B29" t="str">
            <v>BRAKE MASTER CYL 7/8 FRT MOUNT HOLE 80</v>
          </cell>
        </row>
        <row r="30">
          <cell r="A30" t="str">
            <v>F0203013013</v>
          </cell>
          <cell r="B30" t="str">
            <v>Steel Hose Clamp 16–18 mm</v>
          </cell>
        </row>
        <row r="31">
          <cell r="A31" t="str">
            <v>F0204001015</v>
          </cell>
          <cell r="B31" t="str">
            <v>STEERING WHEEL ASSEMBLY</v>
          </cell>
        </row>
        <row r="32">
          <cell r="A32" t="str">
            <v>F0204002032</v>
          </cell>
          <cell r="B32" t="str">
            <v>STEERING SHAFT TUBE CLAMP 1</v>
          </cell>
        </row>
        <row r="33">
          <cell r="A33" t="str">
            <v>F0204002033</v>
          </cell>
          <cell r="B33" t="str">
            <v>Steering shaft tube clamp 2</v>
          </cell>
        </row>
        <row r="34">
          <cell r="A34" t="str">
            <v>F0204002035</v>
          </cell>
          <cell r="B34" t="str">
            <v>STEERING SHAFT TUBE</v>
          </cell>
        </row>
        <row r="35">
          <cell r="A35" t="str">
            <v>F0204003025</v>
          </cell>
          <cell r="B35" t="str">
            <v>STEERING GEAR ASSY</v>
          </cell>
        </row>
        <row r="36">
          <cell r="A36" t="str">
            <v>F0204003026</v>
          </cell>
          <cell r="B36" t="str">
            <v>STEERING GEAR ASSEMBLYLENGTHEN</v>
          </cell>
        </row>
        <row r="37">
          <cell r="A37" t="str">
            <v>F0204004052</v>
          </cell>
          <cell r="B37" t="str">
            <v>STEERING LOWER SHAFT</v>
          </cell>
        </row>
        <row r="38">
          <cell r="A38" t="str">
            <v>F0204004053</v>
          </cell>
          <cell r="B38" t="str">
            <v>STEERING LOWER SHAFT</v>
          </cell>
        </row>
        <row r="39">
          <cell r="A39" t="str">
            <v>F0307001047</v>
          </cell>
          <cell r="B39" t="str">
            <v>10.1" Instrument &amp; Display (ACTIV) RD</v>
          </cell>
        </row>
        <row r="40">
          <cell r="A40" t="str">
            <v>F0307003027</v>
          </cell>
          <cell r="B40" t="str">
            <v>WATERPROOF SPEAKER 4”</v>
          </cell>
        </row>
        <row r="41">
          <cell r="A41" t="str">
            <v>F2101059003</v>
          </cell>
          <cell r="B41" t="str">
            <v>Wheel Lug Nut (Black)</v>
          </cell>
        </row>
        <row r="42">
          <cell r="A42" t="str">
            <v>Total amount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AY53"/>
  <sheetViews>
    <sheetView tabSelected="1" topLeftCell="A26" workbookViewId="0">
      <selection activeCell="I36" sqref="I36"/>
    </sheetView>
  </sheetViews>
  <sheetFormatPr defaultColWidth="9" defaultRowHeight="15"/>
  <cols>
    <col min="1" max="1" width="20.5714285714286" style="2" customWidth="1"/>
    <col min="2" max="2" width="78.7142857142857" style="2" customWidth="1"/>
    <col min="3" max="3" width="12.1428571428571" style="2" customWidth="1"/>
    <col min="4" max="4" width="43.2857142857143" style="2" customWidth="1"/>
    <col min="5" max="5" width="14.8571428571429" style="2" customWidth="1"/>
    <col min="6" max="6" width="20.2857142857143" style="2" customWidth="1"/>
    <col min="7" max="7" width="13" style="2" customWidth="1"/>
    <col min="8" max="8" width="20" style="3" customWidth="1"/>
    <col min="9" max="9" width="31.4285714285714" style="3" customWidth="1"/>
    <col min="10" max="10" width="20.5714285714286" style="2" customWidth="1"/>
    <col min="11" max="11" width="12.8571428571429" style="4" customWidth="1"/>
    <col min="12" max="12" width="27.1428571428571" style="4" customWidth="1"/>
    <col min="13" max="13" width="10.5714285714286" style="4"/>
    <col min="14" max="51" width="9" style="4"/>
    <col min="52" max="16384" width="9" style="2"/>
  </cols>
  <sheetData>
    <row r="1" spans="1:11">
      <c r="A1" s="5" t="s">
        <v>0</v>
      </c>
      <c r="B1" s="5"/>
      <c r="C1" s="5"/>
      <c r="D1" s="5"/>
      <c r="E1" s="5"/>
      <c r="F1" s="5"/>
      <c r="G1" s="5"/>
      <c r="H1" s="6"/>
      <c r="I1" s="7"/>
      <c r="J1" s="8"/>
    </row>
    <row r="2" spans="1:11">
      <c r="A2" s="9" t="s">
        <v>1</v>
      </c>
      <c r="B2" s="9"/>
      <c r="C2" s="9"/>
      <c r="D2" s="9"/>
      <c r="E2" s="9"/>
      <c r="F2" s="9"/>
      <c r="G2" s="9"/>
      <c r="H2" s="10"/>
      <c r="I2" s="7"/>
      <c r="J2" s="8"/>
    </row>
    <row r="3" spans="1:11">
      <c r="A3" s="11"/>
      <c r="B3" s="11"/>
      <c r="C3" s="11"/>
      <c r="D3" s="11"/>
      <c r="E3" s="11"/>
      <c r="F3" s="11"/>
      <c r="G3" s="11"/>
      <c r="H3" s="7"/>
      <c r="I3" s="7"/>
      <c r="J3" s="11"/>
    </row>
    <row r="4" spans="1:11">
      <c r="A4" s="12" t="s">
        <v>2</v>
      </c>
      <c r="B4" s="12"/>
      <c r="C4" s="12"/>
      <c r="D4" s="12"/>
      <c r="E4" s="12"/>
      <c r="F4" s="12"/>
      <c r="G4" s="12"/>
      <c r="H4" s="13"/>
      <c r="I4" s="7"/>
      <c r="J4" s="11"/>
    </row>
    <row r="5" ht="14.1" customHeight="1" spans="1:11">
      <c r="A5" s="11"/>
      <c r="B5" s="11"/>
      <c r="C5" s="11"/>
      <c r="D5" s="12"/>
      <c r="E5" s="11"/>
      <c r="F5" s="11"/>
      <c r="G5" s="11"/>
      <c r="H5" s="7"/>
      <c r="I5" s="7"/>
      <c r="J5" s="11"/>
    </row>
    <row r="6" spans="1:11">
      <c r="A6" s="14" t="s">
        <v>3</v>
      </c>
      <c r="B6" s="15" t="s">
        <v>4</v>
      </c>
      <c r="C6" s="15"/>
      <c r="D6" s="15"/>
      <c r="E6" s="16"/>
      <c r="F6" s="16"/>
      <c r="G6" s="16"/>
      <c r="H6" s="7"/>
      <c r="I6" s="7"/>
      <c r="J6" s="16"/>
    </row>
    <row r="7" spans="1:11">
      <c r="A7" s="17" t="s">
        <v>5</v>
      </c>
      <c r="B7" s="8" t="s">
        <v>6</v>
      </c>
      <c r="C7" s="8"/>
      <c r="D7" s="8"/>
      <c r="E7" s="11"/>
      <c r="F7" s="11"/>
      <c r="G7" s="11"/>
      <c r="H7" s="7"/>
      <c r="I7" s="7"/>
      <c r="J7" s="11"/>
    </row>
    <row r="8" spans="1:11">
      <c r="A8" s="17" t="s">
        <v>7</v>
      </c>
      <c r="B8" s="8" t="s">
        <v>6</v>
      </c>
      <c r="C8" s="8"/>
      <c r="D8" s="8"/>
      <c r="E8" s="11"/>
      <c r="F8" s="11"/>
      <c r="G8" s="11"/>
      <c r="H8" s="7"/>
      <c r="I8" s="7"/>
      <c r="J8" s="11"/>
    </row>
    <row r="9" spans="1:11">
      <c r="A9" s="14" t="s">
        <v>8</v>
      </c>
      <c r="B9" s="8" t="s">
        <v>9</v>
      </c>
      <c r="C9" s="8"/>
      <c r="D9" s="16"/>
      <c r="E9" s="16"/>
      <c r="F9" s="16"/>
      <c r="G9" s="16"/>
      <c r="H9" s="7"/>
      <c r="I9" s="7"/>
      <c r="J9" s="16"/>
    </row>
    <row r="10" ht="24" spans="1:11">
      <c r="A10" s="17"/>
      <c r="B10" s="15" t="s">
        <v>10</v>
      </c>
      <c r="C10" s="15"/>
      <c r="D10" s="9"/>
      <c r="E10" s="9"/>
      <c r="F10" s="9"/>
      <c r="G10" s="9"/>
      <c r="H10" s="10"/>
      <c r="I10" s="7"/>
      <c r="J10" s="11"/>
    </row>
    <row r="11" spans="1:11">
      <c r="A11" s="11"/>
      <c r="B11" s="18"/>
      <c r="C11" s="18"/>
      <c r="D11" s="11"/>
      <c r="E11" s="11"/>
      <c r="F11" s="11"/>
      <c r="G11" s="11"/>
      <c r="H11" s="7"/>
      <c r="I11" s="7"/>
      <c r="J11" s="11"/>
    </row>
    <row r="12" spans="1:11">
      <c r="A12" s="11" t="s">
        <v>11</v>
      </c>
      <c r="B12" s="17"/>
      <c r="C12" s="17"/>
      <c r="D12" s="11"/>
      <c r="E12" s="11"/>
      <c r="F12" s="11"/>
      <c r="G12" s="11"/>
      <c r="H12" s="7"/>
      <c r="I12" s="7"/>
      <c r="J12" s="11"/>
    </row>
    <row r="13" ht="15.95" customHeight="1" spans="1:11">
      <c r="A13" s="11"/>
      <c r="B13" s="11"/>
      <c r="C13" s="11"/>
      <c r="D13" s="17"/>
      <c r="E13" s="11"/>
      <c r="F13" s="11"/>
      <c r="G13" s="11"/>
      <c r="H13" s="7"/>
      <c r="I13" s="7"/>
      <c r="J13" s="11"/>
    </row>
    <row r="14" spans="1:11">
      <c r="A14" s="19" t="s">
        <v>12</v>
      </c>
      <c r="B14" s="19" t="s">
        <v>13</v>
      </c>
      <c r="C14" s="19" t="s">
        <v>14</v>
      </c>
      <c r="D14" s="19" t="s">
        <v>15</v>
      </c>
      <c r="E14" s="20" t="s">
        <v>16</v>
      </c>
      <c r="F14" s="20" t="s">
        <v>17</v>
      </c>
      <c r="G14" s="20" t="s">
        <v>18</v>
      </c>
      <c r="H14" s="21" t="s">
        <v>19</v>
      </c>
      <c r="I14" s="21" t="s">
        <v>19</v>
      </c>
      <c r="J14" s="20" t="s">
        <v>20</v>
      </c>
    </row>
    <row r="15" s="1" customFormat="1" ht="20" customHeight="1" spans="1:11">
      <c r="A15" s="22" t="s">
        <v>21</v>
      </c>
      <c r="B15" s="23" t="str">
        <f>VLOOKUP(A15,'[1] RMA Summary'!$A:$B,2,0)</f>
        <v>Center Seat Frame</v>
      </c>
      <c r="C15" s="24"/>
      <c r="D15" s="24" t="s">
        <v>22</v>
      </c>
      <c r="E15" s="24">
        <v>8708299000</v>
      </c>
      <c r="F15" s="23">
        <v>140</v>
      </c>
      <c r="G15" s="24">
        <v>1250</v>
      </c>
      <c r="H15" s="25">
        <v>9.13</v>
      </c>
      <c r="I15" s="25">
        <v>1278.2</v>
      </c>
      <c r="J15" s="24">
        <v>2680</v>
      </c>
      <c r="K15" s="26" t="s">
        <v>23</v>
      </c>
    </row>
    <row r="16" s="1" customFormat="1" ht="20" customHeight="1" spans="1:11">
      <c r="A16" s="22" t="s">
        <v>24</v>
      </c>
      <c r="B16" s="23" t="str">
        <f>VLOOKUP(A16,'[1] RMA Summary'!$A:$B,2,0)</f>
        <v>Iron FRT Bumper (J)</v>
      </c>
      <c r="C16" s="24"/>
      <c r="D16" s="24"/>
      <c r="E16" s="24"/>
      <c r="F16" s="23">
        <v>70</v>
      </c>
      <c r="G16" s="24"/>
      <c r="H16" s="25">
        <v>28.81</v>
      </c>
      <c r="I16" s="25">
        <v>2016.7</v>
      </c>
      <c r="J16" s="24"/>
      <c r="K16" s="27"/>
    </row>
    <row r="17" s="1" customFormat="1" ht="20" customHeight="1" spans="1:11">
      <c r="A17" s="22" t="s">
        <v>25</v>
      </c>
      <c r="B17" s="23" t="str">
        <f>VLOOKUP(A17,'[1] RMA Summary'!$A:$B,2,0)</f>
        <v>GUF0102077505T.3  Backrest Footrest (J4)</v>
      </c>
      <c r="C17" s="24"/>
      <c r="D17" s="24"/>
      <c r="E17" s="24"/>
      <c r="F17" s="23">
        <v>420</v>
      </c>
      <c r="G17" s="24"/>
      <c r="H17" s="25">
        <v>1.43</v>
      </c>
      <c r="I17" s="25">
        <v>600.6</v>
      </c>
      <c r="J17" s="24"/>
      <c r="K17" s="27"/>
    </row>
    <row r="18" s="1" customFormat="1" ht="20" customHeight="1" spans="1:11">
      <c r="A18" s="22" t="s">
        <v>26</v>
      </c>
      <c r="B18" s="34" t="str">
        <f>VLOOKUP(A18,'[1] RMA Summary'!$A:$B,2,0)</f>
        <v>Headliner Front Bracket (J42)</v>
      </c>
      <c r="C18" s="24"/>
      <c r="D18" s="24"/>
      <c r="E18" s="24"/>
      <c r="F18" s="23">
        <v>80</v>
      </c>
      <c r="G18" s="24"/>
      <c r="H18" s="25">
        <v>6.58</v>
      </c>
      <c r="I18" s="25">
        <v>526.4</v>
      </c>
      <c r="J18" s="24"/>
      <c r="K18" s="27"/>
    </row>
    <row r="19" s="1" customFormat="1" ht="20" customHeight="1" spans="1:11">
      <c r="A19" s="22" t="s">
        <v>27</v>
      </c>
      <c r="B19" s="23" t="str">
        <f>VLOOKUP(A19,'[1] RMA Summary'!$A:$B,2,0)</f>
        <v>J TYPE IRON FR BUMPER</v>
      </c>
      <c r="C19" s="24"/>
      <c r="D19" s="24"/>
      <c r="E19" s="24"/>
      <c r="F19" s="23">
        <v>70</v>
      </c>
      <c r="G19" s="24"/>
      <c r="H19" s="25">
        <v>28.81</v>
      </c>
      <c r="I19" s="25">
        <v>2016.7</v>
      </c>
      <c r="J19" s="24"/>
      <c r="K19" s="27"/>
    </row>
    <row r="20" s="1" customFormat="1" ht="20" customHeight="1" spans="1:11">
      <c r="A20" s="22" t="s">
        <v>28</v>
      </c>
      <c r="B20" s="23" t="str">
        <f>VLOOKUP(A20,'[1] RMA Summary'!$A:$B,2,0)</f>
        <v>RR SEAT BACKREST OUTER TRIM PLATE</v>
      </c>
      <c r="C20" s="24"/>
      <c r="D20" s="24"/>
      <c r="E20" s="24"/>
      <c r="F20" s="23">
        <v>180</v>
      </c>
      <c r="G20" s="24"/>
      <c r="H20" s="25">
        <v>12.01</v>
      </c>
      <c r="I20" s="25">
        <v>2161.8</v>
      </c>
      <c r="J20" s="24"/>
      <c r="K20" s="27"/>
    </row>
    <row r="21" s="1" customFormat="1" ht="20" customHeight="1" spans="1:11">
      <c r="A21" s="22" t="s">
        <v>29</v>
      </c>
      <c r="B21" s="23" t="str">
        <f>VLOOKUP(A21,'[1] RMA Summary'!$A:$B,2,0)</f>
        <v>Trunk Assy</v>
      </c>
      <c r="C21" s="24"/>
      <c r="D21" s="24"/>
      <c r="E21" s="24"/>
      <c r="F21" s="23">
        <v>48</v>
      </c>
      <c r="G21" s="24"/>
      <c r="H21" s="25">
        <v>31.75</v>
      </c>
      <c r="I21" s="25">
        <v>1524</v>
      </c>
      <c r="J21" s="24"/>
      <c r="K21" s="27"/>
    </row>
    <row r="22" s="1" customFormat="1" ht="20" customHeight="1" spans="1:11">
      <c r="A22" s="22" t="s">
        <v>30</v>
      </c>
      <c r="B22" s="23" t="str">
        <f>VLOOKUP(A22,'[1] RMA Summary'!$A:$B,2,0)</f>
        <v>WATERPROOF SPEAKER 4”</v>
      </c>
      <c r="C22" s="24"/>
      <c r="D22" s="24"/>
      <c r="E22" s="24"/>
      <c r="F22" s="23">
        <v>242</v>
      </c>
      <c r="G22" s="24"/>
      <c r="H22" s="25">
        <v>4.85</v>
      </c>
      <c r="I22" s="25">
        <v>1173.7</v>
      </c>
      <c r="J22" s="24"/>
      <c r="K22" s="27"/>
    </row>
    <row r="23" s="1" customFormat="1" spans="1:11">
      <c r="A23" s="22" t="s">
        <v>31</v>
      </c>
      <c r="B23" s="23" t="str">
        <f>VLOOKUP(A23,'[1] RMA Summary'!$A:$B,2,0)</f>
        <v>STEERING SHAFT TUBE CLAMP 1</v>
      </c>
      <c r="C23" s="24"/>
      <c r="D23" s="28" t="s">
        <v>32</v>
      </c>
      <c r="E23" s="28">
        <v>8708999900</v>
      </c>
      <c r="F23" s="23">
        <v>140</v>
      </c>
      <c r="G23" s="28">
        <v>840</v>
      </c>
      <c r="H23" s="25">
        <v>0.88</v>
      </c>
      <c r="I23" s="25">
        <v>123.2</v>
      </c>
      <c r="J23" s="28">
        <v>1680</v>
      </c>
      <c r="K23" s="27"/>
    </row>
    <row r="24" s="1" customFormat="1" spans="1:11">
      <c r="A24" s="22" t="s">
        <v>33</v>
      </c>
      <c r="B24" s="23" t="str">
        <f>VLOOKUP(A24,'[1] RMA Summary'!$A:$B,2,0)</f>
        <v>Steering shaft tube clamp 2</v>
      </c>
      <c r="C24" s="24"/>
      <c r="D24" s="29"/>
      <c r="E24" s="29"/>
      <c r="F24" s="23">
        <v>280</v>
      </c>
      <c r="G24" s="29"/>
      <c r="H24" s="25">
        <v>0.48</v>
      </c>
      <c r="I24" s="25">
        <v>134.4</v>
      </c>
      <c r="J24" s="29"/>
      <c r="K24" s="27"/>
    </row>
    <row r="25" s="1" customFormat="1" spans="1:11">
      <c r="A25" s="22" t="s">
        <v>34</v>
      </c>
      <c r="B25" s="23" t="str">
        <f>VLOOKUP(A25,'[1] RMA Summary'!$A:$B,2,0)</f>
        <v>STEERING SHAFT TUBE</v>
      </c>
      <c r="C25" s="24"/>
      <c r="D25" s="29"/>
      <c r="E25" s="29"/>
      <c r="F25" s="23">
        <v>140</v>
      </c>
      <c r="G25" s="29"/>
      <c r="H25" s="25">
        <v>13.21</v>
      </c>
      <c r="I25" s="25">
        <v>1849.4</v>
      </c>
      <c r="J25" s="29"/>
      <c r="K25" s="27"/>
    </row>
    <row r="26" s="1" customFormat="1" spans="1:11">
      <c r="A26" s="22" t="s">
        <v>35</v>
      </c>
      <c r="B26" s="34" t="str">
        <f>VLOOKUP(A26,'[1] RMA Summary'!$A:$B,2,0)</f>
        <v>STEERING GEAR ASSY</v>
      </c>
      <c r="C26" s="24"/>
      <c r="D26" s="29"/>
      <c r="E26" s="29"/>
      <c r="F26" s="23">
        <v>70</v>
      </c>
      <c r="G26" s="29"/>
      <c r="H26" s="25">
        <v>25.35</v>
      </c>
      <c r="I26" s="25">
        <v>1774.5</v>
      </c>
      <c r="J26" s="29"/>
      <c r="K26" s="27"/>
    </row>
    <row r="27" s="1" customFormat="1" spans="1:11">
      <c r="A27" s="22" t="s">
        <v>36</v>
      </c>
      <c r="B27" s="34" t="str">
        <f>VLOOKUP(A27,'[1] RMA Summary'!$A:$B,2,0)</f>
        <v>STEERING GEAR ASSEMBLYLENGTHEN</v>
      </c>
      <c r="C27" s="24"/>
      <c r="D27" s="29"/>
      <c r="E27" s="29"/>
      <c r="F27" s="23">
        <v>70</v>
      </c>
      <c r="G27" s="29"/>
      <c r="H27" s="25">
        <v>25.35</v>
      </c>
      <c r="I27" s="25">
        <v>1774.5</v>
      </c>
      <c r="J27" s="29"/>
      <c r="K27" s="27"/>
    </row>
    <row r="28" s="1" customFormat="1" spans="1:11">
      <c r="A28" s="22" t="s">
        <v>37</v>
      </c>
      <c r="B28" s="23" t="str">
        <f>VLOOKUP(A28,'[1] RMA Summary'!$A:$B,2,0)</f>
        <v>STEERING LOWER SHAFT</v>
      </c>
      <c r="C28" s="24"/>
      <c r="D28" s="29"/>
      <c r="E28" s="29"/>
      <c r="F28" s="23">
        <v>70</v>
      </c>
      <c r="G28" s="29"/>
      <c r="H28" s="25">
        <v>8.76</v>
      </c>
      <c r="I28" s="25">
        <v>613.2</v>
      </c>
      <c r="J28" s="29"/>
      <c r="K28" s="27"/>
    </row>
    <row r="29" s="1" customFormat="1" spans="1:11">
      <c r="A29" s="22" t="s">
        <v>38</v>
      </c>
      <c r="B29" s="23" t="str">
        <f>VLOOKUP(A29,'[1] RMA Summary'!$A:$B,2,0)</f>
        <v>STEERING LOWER SHAFT</v>
      </c>
      <c r="C29" s="24"/>
      <c r="D29" s="29"/>
      <c r="E29" s="29"/>
      <c r="F29" s="23">
        <v>70</v>
      </c>
      <c r="G29" s="29"/>
      <c r="H29" s="25">
        <v>8.76</v>
      </c>
      <c r="I29" s="25">
        <v>613.2</v>
      </c>
      <c r="J29" s="29"/>
      <c r="K29" s="27"/>
    </row>
    <row r="30" s="1" customFormat="1" spans="1:11">
      <c r="A30" s="22" t="s">
        <v>39</v>
      </c>
      <c r="B30" s="23" t="str">
        <f>VLOOKUP(A30,'[1] RMA Summary'!$A:$B,2,0)</f>
        <v>BRAKE MASTER CYL 7/8 FRT MOUNT HOLE 80</v>
      </c>
      <c r="C30" s="24"/>
      <c r="D30" s="28" t="s">
        <v>40</v>
      </c>
      <c r="E30" s="24">
        <v>8708309990</v>
      </c>
      <c r="F30" s="23">
        <v>140</v>
      </c>
      <c r="G30" s="24">
        <v>140</v>
      </c>
      <c r="H30" s="25">
        <v>10.35</v>
      </c>
      <c r="I30" s="25">
        <v>1449</v>
      </c>
      <c r="J30" s="24">
        <v>500</v>
      </c>
      <c r="K30" s="27"/>
    </row>
    <row r="31" s="1" customFormat="1" spans="1:11">
      <c r="A31" s="22" t="s">
        <v>41</v>
      </c>
      <c r="B31" s="23" t="str">
        <f>VLOOKUP(A31,'[1] RMA Summary'!$A:$B,2,0)</f>
        <v>BRAKE FLUID TANK</v>
      </c>
      <c r="C31" s="24"/>
      <c r="D31" s="30" t="s">
        <v>42</v>
      </c>
      <c r="E31" s="24">
        <v>3926909090</v>
      </c>
      <c r="F31" s="23">
        <v>140</v>
      </c>
      <c r="G31" s="24">
        <v>194</v>
      </c>
      <c r="H31" s="25">
        <v>0.81</v>
      </c>
      <c r="I31" s="25">
        <v>113.4</v>
      </c>
      <c r="J31" s="24">
        <v>4880</v>
      </c>
      <c r="K31" s="27"/>
    </row>
    <row r="32" s="1" customFormat="1" spans="1:11">
      <c r="A32" s="22" t="s">
        <v>43</v>
      </c>
      <c r="B32" s="34" t="str">
        <f>VLOOKUP(A32,'[1] RMA Summary'!$A:$B,2,0)</f>
        <v>ELECTRIC CONTROL SERVICE COVER (L202C)</v>
      </c>
      <c r="C32" s="24"/>
      <c r="D32" s="30"/>
      <c r="E32" s="24"/>
      <c r="F32" s="23">
        <v>140</v>
      </c>
      <c r="G32" s="24"/>
      <c r="H32" s="25">
        <v>2.69</v>
      </c>
      <c r="I32" s="25">
        <v>376.6</v>
      </c>
      <c r="J32" s="24"/>
      <c r="K32" s="27"/>
    </row>
    <row r="33" s="1" customFormat="1" spans="1:11">
      <c r="A33" s="22" t="s">
        <v>44</v>
      </c>
      <c r="B33" s="34" t="str">
        <f>VLOOKUP(A33,'[1] RMA Summary'!$A:$B,2,0)</f>
        <v>GOLF BAG COMPARTMENT MAT (L202C)</v>
      </c>
      <c r="C33" s="24"/>
      <c r="D33" s="30"/>
      <c r="E33" s="24"/>
      <c r="F33" s="23">
        <v>140</v>
      </c>
      <c r="G33" s="24"/>
      <c r="H33" s="25">
        <v>4.1</v>
      </c>
      <c r="I33" s="25">
        <v>574</v>
      </c>
      <c r="J33" s="24"/>
      <c r="K33" s="27"/>
    </row>
    <row r="34" s="1" customFormat="1" spans="1:11">
      <c r="A34" s="22" t="s">
        <v>45</v>
      </c>
      <c r="B34" s="34" t="str">
        <f>VLOOKUP(A34,'[1] RMA Summary'!$A:$B,2,0)</f>
        <v>RR  BUMPER (L202C)</v>
      </c>
      <c r="C34" s="24"/>
      <c r="D34" s="30"/>
      <c r="E34" s="24"/>
      <c r="F34" s="23">
        <v>140</v>
      </c>
      <c r="G34" s="24"/>
      <c r="H34" s="25">
        <v>4.45</v>
      </c>
      <c r="I34" s="25">
        <v>623</v>
      </c>
      <c r="J34" s="24"/>
      <c r="K34" s="27"/>
    </row>
    <row r="35" s="1" customFormat="1" spans="1:11">
      <c r="A35" s="22" t="s">
        <v>46</v>
      </c>
      <c r="B35" s="34" t="str">
        <f>VLOOKUP(A35,'[1] RMA Summary'!$A:$B,2,0)</f>
        <v>Rear Wheel Arch Left</v>
      </c>
      <c r="C35" s="24"/>
      <c r="D35" s="30"/>
      <c r="E35" s="24"/>
      <c r="F35" s="23">
        <v>140</v>
      </c>
      <c r="G35" s="24"/>
      <c r="H35" s="25">
        <v>0.69</v>
      </c>
      <c r="I35" s="25">
        <v>96.6</v>
      </c>
      <c r="J35" s="24"/>
      <c r="K35" s="27"/>
    </row>
    <row r="36" s="1" customFormat="1" spans="1:11">
      <c r="A36" s="22" t="s">
        <v>47</v>
      </c>
      <c r="B36" s="34" t="str">
        <f>VLOOKUP(A36,'[1] RMA Summary'!$A:$B,2,0)</f>
        <v>Rear Wheel Arch Right</v>
      </c>
      <c r="C36" s="24"/>
      <c r="D36" s="30"/>
      <c r="E36" s="24"/>
      <c r="F36" s="23">
        <v>140</v>
      </c>
      <c r="G36" s="24"/>
      <c r="H36" s="25">
        <v>0.69</v>
      </c>
      <c r="I36" s="25">
        <f>H36*F36</f>
        <v>96.6</v>
      </c>
      <c r="J36" s="24"/>
      <c r="K36" s="27"/>
    </row>
    <row r="37" s="1" customFormat="1" spans="1:11">
      <c r="A37" s="22" t="s">
        <v>48</v>
      </c>
      <c r="B37" s="23" t="str">
        <f>VLOOKUP(A37,'[1] RMA Summary'!$A:$B,2,0)</f>
        <v>BACKREST OUTER TRIM PLATE</v>
      </c>
      <c r="C37" s="24"/>
      <c r="D37" s="30"/>
      <c r="E37" s="24"/>
      <c r="F37" s="23">
        <v>84</v>
      </c>
      <c r="G37" s="24"/>
      <c r="H37" s="25">
        <v>12.01</v>
      </c>
      <c r="I37" s="25">
        <v>1008.84</v>
      </c>
      <c r="J37" s="24"/>
      <c r="K37" s="27"/>
    </row>
    <row r="38" s="1" customFormat="1" spans="1:11">
      <c r="A38" s="22" t="s">
        <v>49</v>
      </c>
      <c r="B38" s="23" t="str">
        <f>VLOOKUP(A38,'[1] RMA Summary'!$A:$B,2,0)</f>
        <v>J TYPE FRONT GLASS/4 SEATS/DOT</v>
      </c>
      <c r="C38" s="24"/>
      <c r="D38" s="30"/>
      <c r="E38" s="24"/>
      <c r="F38" s="23">
        <v>53</v>
      </c>
      <c r="G38" s="24"/>
      <c r="H38" s="25">
        <v>41.24</v>
      </c>
      <c r="I38" s="25">
        <v>2185.72</v>
      </c>
      <c r="J38" s="24"/>
      <c r="K38" s="27"/>
    </row>
    <row r="39" s="1" customFormat="1" spans="1:11">
      <c r="A39" s="22" t="s">
        <v>50</v>
      </c>
      <c r="B39" s="23" t="str">
        <f>VLOOKUP(A39,'[1] RMA Summary'!$A:$B,2,0)</f>
        <v>LEFT FRONT FENDER</v>
      </c>
      <c r="C39" s="24"/>
      <c r="D39" s="30"/>
      <c r="E39" s="24"/>
      <c r="F39" s="23">
        <v>70</v>
      </c>
      <c r="G39" s="24"/>
      <c r="H39" s="25">
        <v>5.13</v>
      </c>
      <c r="I39" s="25">
        <v>359.1</v>
      </c>
      <c r="J39" s="24"/>
      <c r="K39" s="27"/>
    </row>
    <row r="40" s="1" customFormat="1" spans="1:11">
      <c r="A40" s="22" t="s">
        <v>51</v>
      </c>
      <c r="B40" s="23" t="str">
        <f>VLOOKUP(A40,'[1] RMA Summary'!$A:$B,2,0)</f>
        <v>RIGHT FRONT FENDER</v>
      </c>
      <c r="C40" s="24"/>
      <c r="D40" s="30"/>
      <c r="E40" s="24"/>
      <c r="F40" s="23">
        <v>70</v>
      </c>
      <c r="G40" s="24"/>
      <c r="H40" s="25">
        <v>5.13</v>
      </c>
      <c r="I40" s="25">
        <v>359.1</v>
      </c>
      <c r="J40" s="24"/>
      <c r="K40" s="27"/>
    </row>
    <row r="41" s="1" customFormat="1" spans="1:11">
      <c r="A41" s="22" t="s">
        <v>52</v>
      </c>
      <c r="B41" s="23" t="str">
        <f>VLOOKUP(A41,'[1] RMA Summary'!$A:$B,2,0)</f>
        <v>LEFT FRONT FENDER (J-MODEL LOWERED CART)</v>
      </c>
      <c r="C41" s="24"/>
      <c r="D41" s="30"/>
      <c r="E41" s="24"/>
      <c r="F41" s="23">
        <v>70</v>
      </c>
      <c r="G41" s="24"/>
      <c r="H41" s="25">
        <v>4.64</v>
      </c>
      <c r="I41" s="25">
        <v>324.8</v>
      </c>
      <c r="J41" s="24"/>
      <c r="K41" s="27"/>
    </row>
    <row r="42" s="1" customFormat="1" spans="1:11">
      <c r="A42" s="22" t="s">
        <v>53</v>
      </c>
      <c r="B42" s="23" t="str">
        <f>VLOOKUP(A42,'[1] RMA Summary'!$A:$B,2,0)</f>
        <v>RIGHT FRONT FENDER (J-MODEL LOWERED CART</v>
      </c>
      <c r="C42" s="24"/>
      <c r="D42" s="30"/>
      <c r="E42" s="24"/>
      <c r="F42" s="23">
        <v>70</v>
      </c>
      <c r="G42" s="24"/>
      <c r="H42" s="25">
        <v>4.64</v>
      </c>
      <c r="I42" s="25">
        <v>324.8</v>
      </c>
      <c r="J42" s="24"/>
      <c r="K42" s="27"/>
    </row>
    <row r="43" s="1" customFormat="1" spans="1:11">
      <c r="A43" s="22" t="s">
        <v>54</v>
      </c>
      <c r="B43" s="23" t="str">
        <f>VLOOKUP(A43,'[1] RMA Summary'!$A:$B,2,0)</f>
        <v>4 SEATSJ-TYPE MOLDED FLOOR LEATHER/ACTIV</v>
      </c>
      <c r="C43" s="24"/>
      <c r="D43" s="30"/>
      <c r="E43" s="24"/>
      <c r="F43" s="23">
        <v>140</v>
      </c>
      <c r="G43" s="24"/>
      <c r="H43" s="25">
        <v>45.28</v>
      </c>
      <c r="I43" s="25">
        <v>6339.2</v>
      </c>
      <c r="J43" s="24"/>
      <c r="K43" s="27"/>
    </row>
    <row r="44" s="1" customFormat="1" spans="1:11">
      <c r="A44" s="22" t="s">
        <v>55</v>
      </c>
      <c r="B44" s="23" t="str">
        <f>VLOOKUP(A44,'[1] RMA Summary'!$A:$B,2,0)</f>
        <v>RR PEDAL MOLDED FLOOR LEATHER</v>
      </c>
      <c r="C44" s="24"/>
      <c r="D44" s="30"/>
      <c r="E44" s="24"/>
      <c r="F44" s="23">
        <v>140</v>
      </c>
      <c r="G44" s="24"/>
      <c r="H44" s="25">
        <v>22.64</v>
      </c>
      <c r="I44" s="25">
        <v>3169.6</v>
      </c>
      <c r="J44" s="24"/>
      <c r="K44" s="27"/>
    </row>
    <row r="45" s="1" customFormat="1" spans="1:11">
      <c r="A45" s="22" t="s">
        <v>56</v>
      </c>
      <c r="B45" s="23" t="str">
        <f>VLOOKUP(A45,'[1] RMA Summary'!$A:$B,2,0)</f>
        <v>OIL CAN GASKET</v>
      </c>
      <c r="C45" s="24"/>
      <c r="D45" s="30"/>
      <c r="E45" s="24"/>
      <c r="F45" s="23">
        <v>140</v>
      </c>
      <c r="G45" s="24"/>
      <c r="H45" s="25">
        <v>0.05</v>
      </c>
      <c r="I45" s="25">
        <v>7</v>
      </c>
      <c r="J45" s="24"/>
      <c r="K45" s="27"/>
    </row>
    <row r="46" s="1" customFormat="1" spans="1:11">
      <c r="A46" s="22" t="s">
        <v>57</v>
      </c>
      <c r="B46" s="23" t="str">
        <f>VLOOKUP(A46,'[1] RMA Summary'!$A:$B,2,0)</f>
        <v>STEERING WHEEL ASSEMBLY</v>
      </c>
      <c r="C46" s="24"/>
      <c r="D46" s="30"/>
      <c r="E46" s="24"/>
      <c r="F46" s="23">
        <v>95</v>
      </c>
      <c r="G46" s="24"/>
      <c r="H46" s="25">
        <v>21.83</v>
      </c>
      <c r="I46" s="25">
        <v>2073.85</v>
      </c>
      <c r="J46" s="24"/>
      <c r="K46" s="27"/>
    </row>
    <row r="47" s="1" customFormat="1" spans="1:11">
      <c r="A47" s="22" t="s">
        <v>58</v>
      </c>
      <c r="B47" s="23" t="str">
        <f>VLOOKUP(A47,'[1] RMA Summary'!$A:$B,2,0)</f>
        <v>ACCELERATOR PEDAL RUBBER COVER</v>
      </c>
      <c r="C47" s="24"/>
      <c r="D47" s="24" t="s">
        <v>59</v>
      </c>
      <c r="E47" s="24">
        <v>4016939000</v>
      </c>
      <c r="F47" s="23">
        <v>140</v>
      </c>
      <c r="G47" s="24">
        <v>141</v>
      </c>
      <c r="H47" s="25">
        <v>0.45</v>
      </c>
      <c r="I47" s="25">
        <v>63</v>
      </c>
      <c r="J47" s="24">
        <v>80</v>
      </c>
      <c r="K47" s="27"/>
    </row>
    <row r="48" s="1" customFormat="1" spans="1:11">
      <c r="A48" s="22" t="s">
        <v>60</v>
      </c>
      <c r="B48" s="23" t="str">
        <f>VLOOKUP(A48,'[1] RMA Summary'!$A:$B,2,0)</f>
        <v>BRAKE PEDAL RUBBER SLEEVE</v>
      </c>
      <c r="C48" s="24"/>
      <c r="D48" s="24"/>
      <c r="E48" s="24"/>
      <c r="F48" s="23">
        <v>140</v>
      </c>
      <c r="G48" s="24"/>
      <c r="H48" s="25">
        <v>0.73</v>
      </c>
      <c r="I48" s="25">
        <v>102.2</v>
      </c>
      <c r="J48" s="24"/>
      <c r="K48" s="27"/>
    </row>
    <row r="49" s="1" customFormat="1" spans="1:51">
      <c r="A49" s="22" t="s">
        <v>61</v>
      </c>
      <c r="B49" s="23" t="str">
        <f>VLOOKUP(A49,'[1] RMA Summary'!$A:$B,2,0)</f>
        <v>Battery Frame Rubber Plate</v>
      </c>
      <c r="C49" s="24"/>
      <c r="D49" s="24"/>
      <c r="E49" s="24"/>
      <c r="F49" s="23">
        <v>140</v>
      </c>
      <c r="G49" s="24"/>
      <c r="H49" s="25">
        <v>17.79</v>
      </c>
      <c r="I49" s="25">
        <v>2490.6</v>
      </c>
      <c r="J49" s="24"/>
      <c r="K49" s="27"/>
    </row>
    <row r="50" s="1" customFormat="1" spans="1:51">
      <c r="A50" s="22" t="s">
        <v>62</v>
      </c>
      <c r="B50" s="23" t="str">
        <f>VLOOKUP(A50,'[1] RMA Summary'!$A:$B,2,0)</f>
        <v>10.1" Instrument &amp; Display (ACTIV) RD</v>
      </c>
      <c r="C50" s="24"/>
      <c r="D50" s="24" t="s">
        <v>63</v>
      </c>
      <c r="E50" s="24">
        <v>8528591090</v>
      </c>
      <c r="F50" s="23">
        <v>32</v>
      </c>
      <c r="G50" s="28">
        <v>32</v>
      </c>
      <c r="H50" s="25">
        <v>112.88</v>
      </c>
      <c r="I50" s="25">
        <v>3612.16</v>
      </c>
      <c r="J50" s="24">
        <v>320</v>
      </c>
      <c r="K50" s="27"/>
    </row>
    <row r="51" s="1" customFormat="1" spans="1:51">
      <c r="A51" s="22" t="s">
        <v>64</v>
      </c>
      <c r="B51" s="23" t="str">
        <f>VLOOKUP(A51,'[1] RMA Summary'!$A:$B,2,0)</f>
        <v>Steel Hose Clamp 16–18 mm</v>
      </c>
      <c r="C51" s="24"/>
      <c r="D51" s="24" t="s">
        <v>65</v>
      </c>
      <c r="E51" s="24">
        <v>7318190000</v>
      </c>
      <c r="F51" s="23">
        <v>560</v>
      </c>
      <c r="G51" s="24">
        <v>14</v>
      </c>
      <c r="H51" s="25">
        <v>0.41</v>
      </c>
      <c r="I51" s="25">
        <v>229.6</v>
      </c>
      <c r="J51" s="24">
        <v>280</v>
      </c>
      <c r="K51" s="27"/>
    </row>
    <row r="52" s="1" customFormat="1" spans="1:51">
      <c r="A52" s="22" t="s">
        <v>66</v>
      </c>
      <c r="B52" s="23" t="str">
        <f>VLOOKUP(A52,'[1] RMA Summary'!$A:$B,2,0)</f>
        <v>Wheel Lug Nut (Black)</v>
      </c>
      <c r="C52" s="24"/>
      <c r="D52" s="24"/>
      <c r="E52" s="24"/>
      <c r="F52" s="23">
        <v>7360</v>
      </c>
      <c r="G52" s="24"/>
      <c r="H52" s="25">
        <v>0.38</v>
      </c>
      <c r="I52" s="25">
        <v>2796.8</v>
      </c>
      <c r="J52" s="24"/>
      <c r="K52" s="27"/>
    </row>
    <row r="53" s="2" customFormat="1" ht="25.5" spans="1:51">
      <c r="F53" s="23" t="e">
        <v>#N/A</v>
      </c>
      <c r="G53" s="31">
        <v>2611</v>
      </c>
      <c r="H53" s="25" t="e">
        <v>#N/A</v>
      </c>
      <c r="I53" s="32">
        <v>46956.07</v>
      </c>
      <c r="J53" s="33">
        <v>10420</v>
      </c>
      <c r="K53" s="4"/>
      <c r="L53" s="1"/>
      <c r="M53" s="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</sheetData>
  <autoFilter xmlns:etc="http://www.wps.cn/officeDocument/2017/etCustomData" ref="A14:M53" etc:filterBottomFollowUsedRange="0">
    <extLst/>
  </autoFilter>
  <mergeCells count="25">
    <mergeCell ref="A1:H1"/>
    <mergeCell ref="A2:H2"/>
    <mergeCell ref="A4:H4"/>
    <mergeCell ref="B6:D6"/>
    <mergeCell ref="D15:D22"/>
    <mergeCell ref="D23:D29"/>
    <mergeCell ref="D31:D46"/>
    <mergeCell ref="D47:D49"/>
    <mergeCell ref="D51:D52"/>
    <mergeCell ref="E15:E22"/>
    <mergeCell ref="E23:E29"/>
    <mergeCell ref="E31:E46"/>
    <mergeCell ref="E47:E49"/>
    <mergeCell ref="E51:E52"/>
    <mergeCell ref="G15:G22"/>
    <mergeCell ref="G23:G29"/>
    <mergeCell ref="G31:G46"/>
    <mergeCell ref="G47:G49"/>
    <mergeCell ref="G51:G52"/>
    <mergeCell ref="J15:J22"/>
    <mergeCell ref="J23:J29"/>
    <mergeCell ref="J31:J46"/>
    <mergeCell ref="J47:J49"/>
    <mergeCell ref="J51:J52"/>
    <mergeCell ref="K15:K5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ff33d5d-b36d-439f-aaa6-4bb99883578f" xsi:nil="true"/>
    <lcf76f155ced4ddcb4097134ff3c332f xmlns="44f3135e-0e65-4e40-a018-7f65438629cf">
      <Terms xmlns="http://schemas.microsoft.com/office/infopath/2007/PartnerControls"/>
    </lcf76f155ced4ddcb4097134ff3c332f>
    <Personincharge xmlns="44f3135e-0e65-4e40-a018-7f65438629cf">
      <UserInfo>
        <DisplayName/>
        <AccountId xsi:nil="true"/>
        <AccountType/>
      </UserInfo>
    </Personincharge>
    <_Flow_SignoffStatus xmlns="44f3135e-0e65-4e40-a018-7f65438629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C272D-EBFC-4C4B-9E72-00D42852C7F0}"/>
</file>

<file path=customXml/itemProps2.xml><?xml version="1.0" encoding="utf-8"?>
<ds:datastoreItem xmlns:ds="http://schemas.openxmlformats.org/officeDocument/2006/customXml" ds:itemID="{3B17D3B2-8BC8-4B35-8D09-4D31CA4967E7}">
  <ds:schemaRefs/>
</ds:datastoreItem>
</file>

<file path=customXml/itemProps3.xml><?xml version="1.0" encoding="utf-8"?>
<ds:datastoreItem xmlns:ds="http://schemas.openxmlformats.org/officeDocument/2006/customXml" ds:itemID="{2C7A59E3-7D91-4A10-8282-8EEDDE0035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RMA-CI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Apidet  Bungchan (Song)</dc:creator>
  <cp:lastModifiedBy>晏秋</cp:lastModifiedBy>
  <dcterms:created xsi:type="dcterms:W3CDTF">2025-03-17T07:28:00Z</dcterms:created>
  <dcterms:modified xsi:type="dcterms:W3CDTF">2026-02-12T06:08:35Z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  <property fmtid="{D5CDD505-2E9C-101B-9397-08002B2CF9AE}" pid="4" name="ICV">
    <vt:lpwstr>F195A9AD119A47C98547BAEE471FEBA6_13</vt:lpwstr>
  </property>
  <property fmtid="{D5CDD505-2E9C-101B-9397-08002B2CF9AE}" pid="5" name="KSOProductBuildVer">
    <vt:lpwstr>2052-12.1.0.24034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