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2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3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4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5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lit.M\Downloads\"/>
    </mc:Choice>
  </mc:AlternateContent>
  <xr:revisionPtr revIDLastSave="0" documentId="8_{A8D2B502-5ADB-4724-BB3A-F7F2436F0410}" xr6:coauthVersionLast="47" xr6:coauthVersionMax="47" xr10:uidLastSave="{00000000-0000-0000-0000-000000000000}"/>
  <bookViews>
    <workbookView xWindow="-110" yWindow="-110" windowWidth="19420" windowHeight="10300" tabRatio="760" firstSheet="5" activeTab="5" xr2:uid="{AA03D111-042C-4280-93B0-D411CA716031}"/>
  </bookViews>
  <sheets>
    <sheet name="Nov2025" sheetId="1" r:id="rId1"/>
    <sheet name="Dec2025" sheetId="2" r:id="rId2"/>
    <sheet name="Jan2026" sheetId="3" r:id="rId3"/>
    <sheet name="Feb2026" sheetId="4" r:id="rId4"/>
    <sheet name="Mar2026" sheetId="10" r:id="rId5"/>
    <sheet name="Apr2026" sheetId="18" r:id="rId6"/>
    <sheet name="Down time, Issue" sheetId="5" r:id="rId7"/>
    <sheet name="Sheet3" sheetId="13" state="hidden" r:id="rId8"/>
    <sheet name="Daily Down time" sheetId="16" r:id="rId9"/>
    <sheet name="WTD-Down time" sheetId="15" r:id="rId10"/>
    <sheet name="MTD-Down time" sheetId="17" r:id="rId11"/>
    <sheet name="Ramp up plan" sheetId="14" r:id="rId12"/>
    <sheet name="Loss-Mar2026" sheetId="20" r:id="rId13"/>
    <sheet name="Feb" sheetId="12" r:id="rId14"/>
    <sheet name="Feb-26" sheetId="11" r:id="rId15"/>
    <sheet name="Jan" sheetId="9" r:id="rId16"/>
    <sheet name="Jan-26" sheetId="8" r:id="rId17"/>
  </sheets>
  <definedNames>
    <definedName name="\_JUNK">#N/A</definedName>
    <definedName name="\0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g">#REF!</definedName>
    <definedName name="\h">#N/A</definedName>
    <definedName name="\I">#REF!</definedName>
    <definedName name="\j">#REF!</definedName>
    <definedName name="\l">#N/A</definedName>
    <definedName name="\m">#N/A</definedName>
    <definedName name="\p">#REF!</definedName>
    <definedName name="\r">#REF!</definedName>
    <definedName name="\s">#REF!</definedName>
    <definedName name="\t">#REF!</definedName>
    <definedName name="\z">#REF!</definedName>
    <definedName name="_.CDS_ID._">"SKOHL2"</definedName>
    <definedName name="_.CONTROL_ID._">9</definedName>
    <definedName name="_.GIZMO_ID._">6730</definedName>
    <definedName name="_.JOB_ID._">"J-700718611287015121329701210"</definedName>
    <definedName name="_.PAGE_ID._">1</definedName>
    <definedName name="_.REPORT_DESCRIPTION._">"CMR Avg CMR Summary Report"</definedName>
    <definedName name="_.REPORT_ID._">130</definedName>
    <definedName name="_.REPORT_NAME._">"CMR Avg CMR Summary Report [$W01_PARA_N5_value$]"</definedName>
    <definedName name="_.REPORT_SOURCE._">"EDB.3.0.1"</definedName>
    <definedName name="_.SERVER_HOST_ADDRESS._">"19.106.202.158"</definedName>
    <definedName name="_.SERVER_HOST_NAME._">"eccvas1777.md3.ford.com"</definedName>
    <definedName name="_.SITE_ID._">700</definedName>
    <definedName name="_.TASK._">2</definedName>
    <definedName name="_?">#N/A</definedName>
    <definedName name="_???">#N/A</definedName>
    <definedName name="_???????">#REF!</definedName>
    <definedName name="_?????????">#REF!</definedName>
    <definedName name="_??????????">#REF!</definedName>
    <definedName name="_???????????_01">#REF!</definedName>
    <definedName name="_??5???">#REF!</definedName>
    <definedName name="__?">#N/A</definedName>
    <definedName name="__???">#N/A</definedName>
    <definedName name="__???????">#REF!</definedName>
    <definedName name="__?????????">#REF!</definedName>
    <definedName name="__??????????">#REF!</definedName>
    <definedName name="__???????????_01">#REF!</definedName>
    <definedName name="__??5???">#REF!</definedName>
    <definedName name="___">#REF!</definedName>
    <definedName name="____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App2" hidden="1">{#N/A,#N/A,FALSE,"Cover Page";#N/A,#N/A,FALSE,"Facing Page";#N/A,#N/A,FALSE,"Main Page";#N/A,#N/A,FALSE,"Risk-Adjusted";#N/A,#N/A,FALSE,"Profit Improvement"}</definedName>
    <definedName name="_______________________________App2" hidden="1">{#N/A,#N/A,FALSE,"Cover Page";#N/A,#N/A,FALSE,"Facing Page";#N/A,#N/A,FALSE,"Main Page";#N/A,#N/A,FALSE,"Risk-Adjusted";#N/A,#N/A,FALSE,"Profit Improvement"}</definedName>
    <definedName name="_____________________________App2" hidden="1">{#N/A,#N/A,FALSE,"Cover Page";#N/A,#N/A,FALSE,"Facing Page";#N/A,#N/A,FALSE,"Main Page";#N/A,#N/A,FALSE,"Risk-Adjusted";#N/A,#N/A,FALSE,"Profit Improvement"}</definedName>
    <definedName name="____________________________App2" hidden="1">{#N/A,#N/A,FALSE,"Cover Page";#N/A,#N/A,FALSE,"Facing Page";#N/A,#N/A,FALSE,"Main Page";#N/A,#N/A,FALSE,"Risk-Adjusted";#N/A,#N/A,FALSE,"Profit Improvement"}</definedName>
    <definedName name="__________________________App2" hidden="1">{#N/A,#N/A,FALSE,"Cover Page";#N/A,#N/A,FALSE,"Facing Page";#N/A,#N/A,FALSE,"Main Page";#N/A,#N/A,FALSE,"Risk-Adjusted";#N/A,#N/A,FALSE,"Profit Improvement"}</definedName>
    <definedName name="_________________________Q1" hidden="1">{"avrev",#N/A,FALSE,"AVREV";"rates",#N/A,FALSE,"AVREV"}</definedName>
    <definedName name="________________________App2" hidden="1">{#N/A,#N/A,FALSE,"Cover Page";#N/A,#N/A,FALSE,"Facing Page";#N/A,#N/A,FALSE,"Main Page";#N/A,#N/A,FALSE,"Risk-Adjusted";#N/A,#N/A,FALSE,"Profit Improvement"}</definedName>
    <definedName name="________________________Q1" hidden="1">{"avrev",#N/A,FALSE,"AVREV";"rates",#N/A,FALSE,"AVREV"}</definedName>
    <definedName name="_______________________ba1" hidden="1">{"Fiesta Facer Page",#N/A,FALSE,"Q_C_S";"Fiesta Main Page",#N/A,FALSE,"V_L";"Fiesta 95BP Struct",#N/A,FALSE,"StructBP";"Fiesta Post 95BP Struct",#N/A,FALSE,"AdjStructBP"}</definedName>
    <definedName name="_______________________D258" hidden="1">{"Presentation",#N/A,FALSE,"Feb96 - ALL"}</definedName>
    <definedName name="__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gph3" hidden="1">{"salaried",#N/A,FALSE,"VLD View (2)"}</definedName>
    <definedName name="_______________________gph4" hidden="1">{"rev",#N/A,FALSE,"ppepsum";"vcost",#N/A,FALSE,"ppepsum";"ecprof",#N/A,FALSE,"ppepsum"}</definedName>
    <definedName name="_______________________gph5" hidden="1">{"rates",#N/A,FALSE,"tavg4a";"rev",#N/A,FALSE,"tavg4a"}</definedName>
    <definedName name="_______________________gph6" hidden="1">{"pep204a",#N/A,FALSE,"tpepsum4a";"pep205a",#N/A,FALSE,"tpepsum4a";"wpep204a",#N/A,FALSE,"tpepsum4a";"wpep205a",#N/A,FALSE,"tpepsum4a"}</definedName>
    <definedName name="_______________________jij1" hidden="1">{"Fiesta Facer Page",#N/A,FALSE,"Q_C_S";"Fiesta Main Page",#N/A,FALSE,"V_L";"Fiesta 95BP Struct",#N/A,FALSE,"StructBP";"Fiesta Post 95BP Struct",#N/A,FALSE,"AdjStructBP"}</definedName>
    <definedName name="_______________________lk1" hidden="1">{"Presentation",#N/A,FALSE,"Feb96 - ALL"}</definedName>
    <definedName name="__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_po1" hidden="1">{"Presentation",#N/A,FALSE,"Feb96 - ALL"}</definedName>
    <definedName name="_______________________Q1" hidden="1">{"avrev",#N/A,FALSE,"AVREV";"rates",#N/A,FALSE,"AVREV"}</definedName>
    <definedName name="__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ut1" hidden="1">{"rev",#N/A,FALSE,"ppepsum";"vcost",#N/A,FALSE,"ppepsum";"ecprof",#N/A,FALSE,"ppepsum"}</definedName>
    <definedName name="__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wrn2" hidden="1">{"pep204a",#N/A,FALSE,"tpepsum4a";"pep205a",#N/A,FALSE,"tpepsum4a";"wpep204a",#N/A,FALSE,"tpepsum4a";"wpep205a",#N/A,FALSE,"tpepsum4a"}</definedName>
    <definedName name="_______________________WRN4" hidden="1">{"salaried",#N/A,FALSE,"VLD View (2)"}</definedName>
    <definedName name="__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App2" hidden="1">{#N/A,#N/A,FALSE,"Cover Page";#N/A,#N/A,FALSE,"Facing Page";#N/A,#N/A,FALSE,"Main Page";#N/A,#N/A,FALSE,"Risk-Adjusted";#N/A,#N/A,FALSE,"Profit Improvement"}</definedName>
    <definedName name="______________________ba1" hidden="1">{"Fiesta Facer Page",#N/A,FALSE,"Q_C_S";"Fiesta Main Page",#N/A,FALSE,"V_L";"Fiesta 95BP Struct",#N/A,FALSE,"StructBP";"Fiesta Post 95BP Struct",#N/A,FALSE,"AdjStructBP"}</definedName>
    <definedName name="______________________D258" hidden="1">{"Presentation",#N/A,FALSE,"Feb96 - ALL"}</definedName>
    <definedName name="_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gph3" hidden="1">{"salaried",#N/A,FALSE,"VLD View (2)"}</definedName>
    <definedName name="______________________gph4" hidden="1">{"rev",#N/A,FALSE,"ppepsum";"vcost",#N/A,FALSE,"ppepsum";"ecprof",#N/A,FALSE,"ppepsum"}</definedName>
    <definedName name="______________________gph5" hidden="1">{"rates",#N/A,FALSE,"tavg4a";"rev",#N/A,FALSE,"tavg4a"}</definedName>
    <definedName name="______________________gph6" hidden="1">{"pep204a",#N/A,FALSE,"tpepsum4a";"pep205a",#N/A,FALSE,"tpepsum4a";"wpep204a",#N/A,FALSE,"tpepsum4a";"wpep205a",#N/A,FALSE,"tpepsum4a"}</definedName>
    <definedName name="______________________jij1" hidden="1">{"Fiesta Facer Page",#N/A,FALSE,"Q_C_S";"Fiesta Main Page",#N/A,FALSE,"V_L";"Fiesta 95BP Struct",#N/A,FALSE,"StructBP";"Fiesta Post 95BP Struct",#N/A,FALSE,"AdjStructBP"}</definedName>
    <definedName name="______________________lk1" hidden="1">{"Presentation",#N/A,FALSE,"Feb96 - ALL"}</definedName>
    <definedName name="_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po1" hidden="1">{"Presentation",#N/A,FALSE,"Feb96 - ALL"}</definedName>
    <definedName name="______________________Q1" hidden="1">{"avrev",#N/A,FALSE,"AVREV";"rates",#N/A,FALSE,"AVREV"}</definedName>
    <definedName name="_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ut1" hidden="1">{"rev",#N/A,FALSE,"ppepsum";"vcost",#N/A,FALSE,"ppepsum";"ecprof",#N/A,FALSE,"ppepsum"}</definedName>
    <definedName name="_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wrn1" hidden="1">{#N/A,#N/A,TRUE,"Frame&amp;Body-All";#N/A,#N/A,TRUE,"Powrplant Mnts-5.4l_4.6l";#N/A,#N/A,TRUE,"Powerplant-5.4l_4.6l";#N/A,#N/A,TRUE,"Exhaust-5.4l_4.6l";#N/A,#N/A,TRUE,"Induction-5.4l"}</definedName>
    <definedName name="______________________wrn2" hidden="1">{"pep204a",#N/A,FALSE,"tpepsum4a";"pep205a",#N/A,FALSE,"tpepsum4a";"wpep204a",#N/A,FALSE,"tpepsum4a";"wpep205a",#N/A,FALSE,"tpepsum4a"}</definedName>
    <definedName name="______________________WRN4" hidden="1">{"salaried",#N/A,FALSE,"VLD View (2)"}</definedName>
    <definedName name="_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ba1" hidden="1">{"Fiesta Facer Page",#N/A,FALSE,"Q_C_S";"Fiesta Main Page",#N/A,FALSE,"V_L";"Fiesta 95BP Struct",#N/A,FALSE,"StructBP";"Fiesta Post 95BP Struct",#N/A,FALSE,"AdjStructBP"}</definedName>
    <definedName name="_____________________D258" hidden="1">{"Presentation",#N/A,FALSE,"Feb96 - ALL"}</definedName>
    <definedName name="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gph3" hidden="1">{"salaried",#N/A,FALSE,"VLD View (2)"}</definedName>
    <definedName name="_____________________gph4" hidden="1">{"rev",#N/A,FALSE,"ppepsum";"vcost",#N/A,FALSE,"ppepsum";"ecprof",#N/A,FALSE,"ppepsum"}</definedName>
    <definedName name="_____________________gph5" hidden="1">{"rates",#N/A,FALSE,"tavg4a";"rev",#N/A,FALSE,"tavg4a"}</definedName>
    <definedName name="_____________________gph6" hidden="1">{"pep204a",#N/A,FALSE,"tpepsum4a";"pep205a",#N/A,FALSE,"tpepsum4a";"wpep204a",#N/A,FALSE,"tpepsum4a";"wpep205a",#N/A,FALSE,"tpepsum4a"}</definedName>
    <definedName name="_____________________jij1" hidden="1">{"Fiesta Facer Page",#N/A,FALSE,"Q_C_S";"Fiesta Main Page",#N/A,FALSE,"V_L";"Fiesta 95BP Struct",#N/A,FALSE,"StructBP";"Fiesta Post 95BP Struct",#N/A,FALSE,"AdjStructBP"}</definedName>
    <definedName name="_____________________lk1" hidden="1">{"Presentation",#N/A,FALSE,"Feb96 - ALL"}</definedName>
    <definedName name="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po1" hidden="1">{"Presentation",#N/A,FALSE,"Feb96 - ALL"}</definedName>
    <definedName name="_____________________Q1" hidden="1">{"avrev",#N/A,FALSE,"AVREV";"rates",#N/A,FALSE,"AVREV"}</definedName>
    <definedName name="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ut1" hidden="1">{"rev",#N/A,FALSE,"ppepsum";"vcost",#N/A,FALSE,"ppepsum";"ecprof",#N/A,FALSE,"ppepsum"}</definedName>
    <definedName name="_____________________V5" hidden="1">{"avrev",#N/A,FALSE,"AVREV";"rates",#N/A,FALSE,"AVREV"}</definedName>
    <definedName name="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wrn1" hidden="1">{#N/A,#N/A,TRUE,"Frame&amp;Body-All";#N/A,#N/A,TRUE,"Powrplant Mnts-5.4l_4.6l";#N/A,#N/A,TRUE,"Powerplant-5.4l_4.6l";#N/A,#N/A,TRUE,"Exhaust-5.4l_4.6l";#N/A,#N/A,TRUE,"Induction-5.4l"}</definedName>
    <definedName name="_____________________wrn2" hidden="1">{"pep204a",#N/A,FALSE,"tpepsum4a";"pep205a",#N/A,FALSE,"tpepsum4a";"wpep204a",#N/A,FALSE,"tpepsum4a";"wpep205a",#N/A,FALSE,"tpepsum4a"}</definedName>
    <definedName name="_____________________WRN4" hidden="1">{"salaried",#N/A,FALSE,"VLD View (2)"}</definedName>
    <definedName name="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App2" hidden="1">{#N/A,#N/A,FALSE,"Cover Page";#N/A,#N/A,FALSE,"Facing Page";#N/A,#N/A,FALSE,"Main Page";#N/A,#N/A,FALSE,"Risk-Adjusted";#N/A,#N/A,FALSE,"Profit Improvement"}</definedName>
    <definedName name="____________________ba1" hidden="1">{"Fiesta Facer Page",#N/A,FALSE,"Q_C_S";"Fiesta Main Page",#N/A,FALSE,"V_L";"Fiesta 95BP Struct",#N/A,FALSE,"StructBP";"Fiesta Post 95BP Struct",#N/A,FALSE,"AdjStructBP"}</definedName>
    <definedName name="____________________D258" hidden="1">{"Presentation",#N/A,FALSE,"Feb96 - ALL"}</definedName>
    <definedName name="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gph3" hidden="1">{"salaried",#N/A,FALSE,"VLD View (2)"}</definedName>
    <definedName name="____________________gph4" hidden="1">{"rev",#N/A,FALSE,"ppepsum";"vcost",#N/A,FALSE,"ppepsum";"ecprof",#N/A,FALSE,"ppepsum"}</definedName>
    <definedName name="____________________gph5" hidden="1">{"rates",#N/A,FALSE,"tavg4a";"rev",#N/A,FALSE,"tavg4a"}</definedName>
    <definedName name="____________________gph6" hidden="1">{"pep204a",#N/A,FALSE,"tpepsum4a";"pep205a",#N/A,FALSE,"tpepsum4a";"wpep204a",#N/A,FALSE,"tpepsum4a";"wpep205a",#N/A,FALSE,"tpepsum4a"}</definedName>
    <definedName name="____________________jij1" hidden="1">{"Fiesta Facer Page",#N/A,FALSE,"Q_C_S";"Fiesta Main Page",#N/A,FALSE,"V_L";"Fiesta 95BP Struct",#N/A,FALSE,"StructBP";"Fiesta Post 95BP Struct",#N/A,FALSE,"AdjStructBP"}</definedName>
    <definedName name="____________________lk1" hidden="1">{"Presentation",#N/A,FALSE,"Feb96 - ALL"}</definedName>
    <definedName name="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po1" hidden="1">{"Presentation",#N/A,FALSE,"Feb96 - ALL"}</definedName>
    <definedName name="____________________Q1" hidden="1">{"avrev",#N/A,FALSE,"AVREV";"rates",#N/A,FALSE,"AVREV"}</definedName>
    <definedName name="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ut1" hidden="1">{"rev",#N/A,FALSE,"ppepsum";"vcost",#N/A,FALSE,"ppepsum";"ecprof",#N/A,FALSE,"ppepsum"}</definedName>
    <definedName name="____________________V5" hidden="1">{"avrev",#N/A,FALSE,"AVREV";"rates",#N/A,FALSE,"AVREV"}</definedName>
    <definedName name="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wrn1" hidden="1">{#N/A,#N/A,TRUE,"Frame&amp;Body-All";#N/A,#N/A,TRUE,"Powrplant Mnts-5.4l_4.6l";#N/A,#N/A,TRUE,"Powerplant-5.4l_4.6l";#N/A,#N/A,TRUE,"Exhaust-5.4l_4.6l";#N/A,#N/A,TRUE,"Induction-5.4l"}</definedName>
    <definedName name="____________________wrn2" hidden="1">{"pep204a",#N/A,FALSE,"tpepsum4a";"pep205a",#N/A,FALSE,"tpepsum4a";"wpep204a",#N/A,FALSE,"tpepsum4a";"wpep205a",#N/A,FALSE,"tpepsum4a"}</definedName>
    <definedName name="____________________WRN4" hidden="1">{"salaried",#N/A,FALSE,"VLD View (2)"}</definedName>
    <definedName name="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ba1" hidden="1">{"Fiesta Facer Page",#N/A,FALSE,"Q_C_S";"Fiesta Main Page",#N/A,FALSE,"V_L";"Fiesta 95BP Struct",#N/A,FALSE,"StructBP";"Fiesta Post 95BP Struct",#N/A,FALSE,"AdjStructBP"}</definedName>
    <definedName name="___________________D258" hidden="1">{"Presentation",#N/A,FALSE,"Feb96 - ALL"}</definedName>
    <definedName name="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gph3" hidden="1">{"salaried",#N/A,FALSE,"VLD View (2)"}</definedName>
    <definedName name="___________________gph4" hidden="1">{"rev",#N/A,FALSE,"ppepsum";"vcost",#N/A,FALSE,"ppepsum";"ecprof",#N/A,FALSE,"ppepsum"}</definedName>
    <definedName name="___________________gph5" hidden="1">{"rates",#N/A,FALSE,"tavg4a";"rev",#N/A,FALSE,"tavg4a"}</definedName>
    <definedName name="___________________gph6" hidden="1">{"pep204a",#N/A,FALSE,"tpepsum4a";"pep205a",#N/A,FALSE,"tpepsum4a";"wpep204a",#N/A,FALSE,"tpepsum4a";"wpep205a",#N/A,FALSE,"tpepsum4a"}</definedName>
    <definedName name="___________________jij1" hidden="1">{"Fiesta Facer Page",#N/A,FALSE,"Q_C_S";"Fiesta Main Page",#N/A,FALSE,"V_L";"Fiesta 95BP Struct",#N/A,FALSE,"StructBP";"Fiesta Post 95BP Struct",#N/A,FALSE,"AdjStructBP"}</definedName>
    <definedName name="___________________lk1" hidden="1">{"Presentation",#N/A,FALSE,"Feb96 - ALL"}</definedName>
    <definedName name="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po1" hidden="1">{"Presentation",#N/A,FALSE,"Feb96 - ALL"}</definedName>
    <definedName name="___________________Q1" hidden="1">{"avrev",#N/A,FALSE,"AVREV";"rates",#N/A,FALSE,"AVREV"}</definedName>
    <definedName name="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ut1" hidden="1">{"rev",#N/A,FALSE,"ppepsum";"vcost",#N/A,FALSE,"ppepsum";"ecprof",#N/A,FALSE,"ppepsum"}</definedName>
    <definedName name="___________________V5" hidden="1">{"avrev",#N/A,FALSE,"AVREV";"rates",#N/A,FALSE,"AVREV"}</definedName>
    <definedName name="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wrn1" hidden="1">{#N/A,#N/A,TRUE,"Frame&amp;Body-All";#N/A,#N/A,TRUE,"Powrplant Mnts-5.4l_4.6l";#N/A,#N/A,TRUE,"Powerplant-5.4l_4.6l";#N/A,#N/A,TRUE,"Exhaust-5.4l_4.6l";#N/A,#N/A,TRUE,"Induction-5.4l"}</definedName>
    <definedName name="___________________wrn2" hidden="1">{"pep204a",#N/A,FALSE,"tpepsum4a";"pep205a",#N/A,FALSE,"tpepsum4a";"wpep204a",#N/A,FALSE,"tpepsum4a";"wpep205a",#N/A,FALSE,"tpepsum4a"}</definedName>
    <definedName name="___________________WRN4" hidden="1">{"salaried",#N/A,FALSE,"VLD View (2)"}</definedName>
    <definedName name="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App2" hidden="1">{#N/A,#N/A,FALSE,"Cover Page";#N/A,#N/A,FALSE,"Facing Page";#N/A,#N/A,FALSE,"Main Page";#N/A,#N/A,FALSE,"Risk-Adjusted";#N/A,#N/A,FALSE,"Profit Improvement"}</definedName>
    <definedName name="__________________ba1" hidden="1">{"Fiesta Facer Page",#N/A,FALSE,"Q_C_S";"Fiesta Main Page",#N/A,FALSE,"V_L";"Fiesta 95BP Struct",#N/A,FALSE,"StructBP";"Fiesta Post 95BP Struct",#N/A,FALSE,"AdjStructBP"}</definedName>
    <definedName name="__________________D258" hidden="1">{"Presentation",#N/A,FALSE,"Feb96 - ALL"}</definedName>
    <definedName name="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gph3" hidden="1">{"salaried",#N/A,FALSE,"VLD View (2)"}</definedName>
    <definedName name="__________________gph4" hidden="1">{"rev",#N/A,FALSE,"ppepsum";"vcost",#N/A,FALSE,"ppepsum";"ecprof",#N/A,FALSE,"ppepsum"}</definedName>
    <definedName name="__________________gph5" hidden="1">{"rates",#N/A,FALSE,"tavg4a";"rev",#N/A,FALSE,"tavg4a"}</definedName>
    <definedName name="__________________gph6" hidden="1">{"pep204a",#N/A,FALSE,"tpepsum4a";"pep205a",#N/A,FALSE,"tpepsum4a";"wpep204a",#N/A,FALSE,"tpepsum4a";"wpep205a",#N/A,FALSE,"tpepsum4a"}</definedName>
    <definedName name="__________________jij1" hidden="1">{"Fiesta Facer Page",#N/A,FALSE,"Q_C_S";"Fiesta Main Page",#N/A,FALSE,"V_L";"Fiesta 95BP Struct",#N/A,FALSE,"StructBP";"Fiesta Post 95BP Struct",#N/A,FALSE,"AdjStructBP"}</definedName>
    <definedName name="__________________lk1" hidden="1">{"Presentation",#N/A,FALSE,"Feb96 - ALL"}</definedName>
    <definedName name="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po1" hidden="1">{"Presentation",#N/A,FALSE,"Feb96 - ALL"}</definedName>
    <definedName name="__________________Q1" hidden="1">{"avrev",#N/A,FALSE,"AVREV";"rates",#N/A,FALSE,"AVREV"}</definedName>
    <definedName name="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ut1" hidden="1">{"rev",#N/A,FALSE,"ppepsum";"vcost",#N/A,FALSE,"ppepsum";"ecprof",#N/A,FALSE,"ppepsum"}</definedName>
    <definedName name="__________________V5" hidden="1">{"avrev",#N/A,FALSE,"AVREV";"rates",#N/A,FALSE,"AVREV"}</definedName>
    <definedName name="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wrn1" hidden="1">{#N/A,#N/A,TRUE,"Frame&amp;Body-All";#N/A,#N/A,TRUE,"Powrplant Mnts-5.4l_4.6l";#N/A,#N/A,TRUE,"Powerplant-5.4l_4.6l";#N/A,#N/A,TRUE,"Exhaust-5.4l_4.6l";#N/A,#N/A,TRUE,"Induction-5.4l"}</definedName>
    <definedName name="__________________wrn2" hidden="1">{"pep204a",#N/A,FALSE,"tpepsum4a";"pep205a",#N/A,FALSE,"tpepsum4a";"wpep204a",#N/A,FALSE,"tpepsum4a";"wpep205a",#N/A,FALSE,"tpepsum4a"}</definedName>
    <definedName name="__________________WRN4" hidden="1">{"salaried",#N/A,FALSE,"VLD View (2)"}</definedName>
    <definedName name="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21">#REF!</definedName>
    <definedName name="_________________ba1" hidden="1">{"Fiesta Facer Page",#N/A,FALSE,"Q_C_S";"Fiesta Main Page",#N/A,FALSE,"V_L";"Fiesta 95BP Struct",#N/A,FALSE,"StructBP";"Fiesta Post 95BP Struct",#N/A,FALSE,"AdjStructBP"}</definedName>
    <definedName name="_________________D258" hidden="1">{"Presentation",#N/A,FALSE,"Feb96 - ALL"}</definedName>
    <definedName name="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gph3" hidden="1">{"salaried",#N/A,FALSE,"VLD View (2)"}</definedName>
    <definedName name="_________________gph4" hidden="1">{"rev",#N/A,FALSE,"ppepsum";"vcost",#N/A,FALSE,"ppepsum";"ecprof",#N/A,FALSE,"ppepsum"}</definedName>
    <definedName name="_________________gph5" hidden="1">{"rates",#N/A,FALSE,"tavg4a";"rev",#N/A,FALSE,"tavg4a"}</definedName>
    <definedName name="_________________gph6" hidden="1">{"pep204a",#N/A,FALSE,"tpepsum4a";"pep205a",#N/A,FALSE,"tpepsum4a";"wpep204a",#N/A,FALSE,"tpepsum4a";"wpep205a",#N/A,FALSE,"tpepsum4a"}</definedName>
    <definedName name="_________________jij1" hidden="1">{"Fiesta Facer Page",#N/A,FALSE,"Q_C_S";"Fiesta Main Page",#N/A,FALSE,"V_L";"Fiesta 95BP Struct",#N/A,FALSE,"StructBP";"Fiesta Post 95BP Struct",#N/A,FALSE,"AdjStructBP"}</definedName>
    <definedName name="_________________lk1" hidden="1">{"Presentation",#N/A,FALSE,"Feb96 - ALL"}</definedName>
    <definedName name="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po1" hidden="1">{"Presentation",#N/A,FALSE,"Feb96 - ALL"}</definedName>
    <definedName name="_________________Q1" hidden="1">{"avrev",#N/A,FALSE,"AVREV";"rates",#N/A,FALSE,"AVREV"}</definedName>
    <definedName name="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ut1" hidden="1">{"rev",#N/A,FALSE,"ppepsum";"vcost",#N/A,FALSE,"ppepsum";"ecprof",#N/A,FALSE,"ppepsum"}</definedName>
    <definedName name="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wrn1" hidden="1">{#N/A,#N/A,TRUE,"Frame&amp;Body-All";#N/A,#N/A,TRUE,"Powrplant Mnts-5.4l_4.6l";#N/A,#N/A,TRUE,"Powerplant-5.4l_4.6l";#N/A,#N/A,TRUE,"Exhaust-5.4l_4.6l";#N/A,#N/A,TRUE,"Induction-5.4l"}</definedName>
    <definedName name="_________________wrn2" hidden="1">{"pep204a",#N/A,FALSE,"tpepsum4a";"pep205a",#N/A,FALSE,"tpepsum4a";"wpep204a",#N/A,FALSE,"tpepsum4a";"wpep205a",#N/A,FALSE,"tpepsum4a"}</definedName>
    <definedName name="_________________WRN4" hidden="1">{"salaried",#N/A,FALSE,"VLD View (2)"}</definedName>
    <definedName name="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21">#REF!</definedName>
    <definedName name="________________App2" hidden="1">{#N/A,#N/A,FALSE,"Cover Page";#N/A,#N/A,FALSE,"Facing Page";#N/A,#N/A,FALSE,"Main Page";#N/A,#N/A,FALSE,"Risk-Adjusted";#N/A,#N/A,FALSE,"Profit Improvement"}</definedName>
    <definedName name="________________ba1" hidden="1">{"Fiesta Facer Page",#N/A,FALSE,"Q_C_S";"Fiesta Main Page",#N/A,FALSE,"V_L";"Fiesta 95BP Struct",#N/A,FALSE,"StructBP";"Fiesta Post 95BP Struct",#N/A,FALSE,"AdjStructBP"}</definedName>
    <definedName name="________________D258" hidden="1">{"Presentation",#N/A,FALSE,"Feb96 - ALL"}</definedName>
    <definedName name="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gph3" hidden="1">{"salaried",#N/A,FALSE,"VLD View (2)"}</definedName>
    <definedName name="________________gph4" hidden="1">{"rev",#N/A,FALSE,"ppepsum";"vcost",#N/A,FALSE,"ppepsum";"ecprof",#N/A,FALSE,"ppepsum"}</definedName>
    <definedName name="________________gph5" hidden="1">{"rates",#N/A,FALSE,"tavg4a";"rev",#N/A,FALSE,"tavg4a"}</definedName>
    <definedName name="________________gph6" hidden="1">{"pep204a",#N/A,FALSE,"tpepsum4a";"pep205a",#N/A,FALSE,"tpepsum4a";"wpep204a",#N/A,FALSE,"tpepsum4a";"wpep205a",#N/A,FALSE,"tpepsum4a"}</definedName>
    <definedName name="________________jij1" hidden="1">{"Fiesta Facer Page",#N/A,FALSE,"Q_C_S";"Fiesta Main Page",#N/A,FALSE,"V_L";"Fiesta 95BP Struct",#N/A,FALSE,"StructBP";"Fiesta Post 95BP Struct",#N/A,FALSE,"AdjStructBP"}</definedName>
    <definedName name="________________lk1" hidden="1">{"Presentation",#N/A,FALSE,"Feb96 - ALL"}</definedName>
    <definedName name="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po1" hidden="1">{"Presentation",#N/A,FALSE,"Feb96 - ALL"}</definedName>
    <definedName name="________________Q1" hidden="1">{"avrev",#N/A,FALSE,"AVREV";"rates",#N/A,FALSE,"AVREV"}</definedName>
    <definedName name="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ut1" hidden="1">{"rev",#N/A,FALSE,"ppepsum";"vcost",#N/A,FALSE,"ppepsum";"ecprof",#N/A,FALSE,"ppepsum"}</definedName>
    <definedName name="________________V5" hidden="1">{"avrev",#N/A,FALSE,"AVREV";"rates",#N/A,FALSE,"AVREV"}</definedName>
    <definedName name="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wrn1" hidden="1">{#N/A,#N/A,TRUE,"Frame&amp;Body-All";#N/A,#N/A,TRUE,"Powrplant Mnts-5.4l_4.6l";#N/A,#N/A,TRUE,"Powerplant-5.4l_4.6l";#N/A,#N/A,TRUE,"Exhaust-5.4l_4.6l";#N/A,#N/A,TRUE,"Induction-5.4l"}</definedName>
    <definedName name="________________wrn2" hidden="1">{"pep204a",#N/A,FALSE,"tpepsum4a";"pep205a",#N/A,FALSE,"tpepsum4a";"wpep204a",#N/A,FALSE,"tpepsum4a";"wpep205a",#N/A,FALSE,"tpepsum4a"}</definedName>
    <definedName name="________________WRN4" hidden="1">{"salaried",#N/A,FALSE,"VLD View (2)"}</definedName>
    <definedName name="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21">#REF!</definedName>
    <definedName name="_______________ba1" hidden="1">{"Fiesta Facer Page",#N/A,FALSE,"Q_C_S";"Fiesta Main Page",#N/A,FALSE,"V_L";"Fiesta 95BP Struct",#N/A,FALSE,"StructBP";"Fiesta Post 95BP Struct",#N/A,FALSE,"AdjStructBP"}</definedName>
    <definedName name="_______________D258" hidden="1">{"Presentation",#N/A,FALSE,"Feb96 - ALL"}</definedName>
    <definedName name="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gph3" hidden="1">{"salaried",#N/A,FALSE,"VLD View (2)"}</definedName>
    <definedName name="_______________gph4" hidden="1">{"rev",#N/A,FALSE,"ppepsum";"vcost",#N/A,FALSE,"ppepsum";"ecprof",#N/A,FALSE,"ppepsum"}</definedName>
    <definedName name="_______________gph5" hidden="1">{"rates",#N/A,FALSE,"tavg4a";"rev",#N/A,FALSE,"tavg4a"}</definedName>
    <definedName name="_______________gph6" hidden="1">{"pep204a",#N/A,FALSE,"tpepsum4a";"pep205a",#N/A,FALSE,"tpepsum4a";"wpep204a",#N/A,FALSE,"tpepsum4a";"wpep205a",#N/A,FALSE,"tpepsum4a"}</definedName>
    <definedName name="_______________jij1" hidden="1">{"Fiesta Facer Page",#N/A,FALSE,"Q_C_S";"Fiesta Main Page",#N/A,FALSE,"V_L";"Fiesta 95BP Struct",#N/A,FALSE,"StructBP";"Fiesta Post 95BP Struct",#N/A,FALSE,"AdjStructBP"}</definedName>
    <definedName name="_______________lk1" hidden="1">{"Presentation",#N/A,FALSE,"Feb96 - ALL"}</definedName>
    <definedName name="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po1" hidden="1">{"Presentation",#N/A,FALSE,"Feb96 - ALL"}</definedName>
    <definedName name="_______________Q1" hidden="1">{"avrev",#N/A,FALSE,"AVREV";"rates",#N/A,FALSE,"AVREV"}</definedName>
    <definedName name="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ut1" hidden="1">{"rev",#N/A,FALSE,"ppepsum";"vcost",#N/A,FALSE,"ppepsum";"ecprof",#N/A,FALSE,"ppepsum"}</definedName>
    <definedName name="_______________V5" hidden="1">{"avrev",#N/A,FALSE,"AVREV";"rates",#N/A,FALSE,"AVREV"}</definedName>
    <definedName name="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wrn1" hidden="1">{#N/A,#N/A,TRUE,"Frame&amp;Body-All";#N/A,#N/A,TRUE,"Powrplant Mnts-5.4l_4.6l";#N/A,#N/A,TRUE,"Powerplant-5.4l_4.6l";#N/A,#N/A,TRUE,"Exhaust-5.4l_4.6l";#N/A,#N/A,TRUE,"Induction-5.4l"}</definedName>
    <definedName name="_______________wrn2" hidden="1">{"pep204a",#N/A,FALSE,"tpepsum4a";"pep205a",#N/A,FALSE,"tpepsum4a";"wpep204a",#N/A,FALSE,"tpepsum4a";"wpep205a",#N/A,FALSE,"tpepsum4a"}</definedName>
    <definedName name="_______________WRN4" hidden="1">{"salaried",#N/A,FALSE,"VLD View (2)"}</definedName>
    <definedName name="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21">#REF!</definedName>
    <definedName name="______________App2" hidden="1">{#N/A,#N/A,FALSE,"Cover Page";#N/A,#N/A,FALSE,"Facing Page";#N/A,#N/A,FALSE,"Main Page";#N/A,#N/A,FALSE,"Risk-Adjusted";#N/A,#N/A,FALSE,"Profit Improvement"}</definedName>
    <definedName name="______________ba1" hidden="1">{"Fiesta Facer Page",#N/A,FALSE,"Q_C_S";"Fiesta Main Page",#N/A,FALSE,"V_L";"Fiesta 95BP Struct",#N/A,FALSE,"StructBP";"Fiesta Post 95BP Struct",#N/A,FALSE,"AdjStructBP"}</definedName>
    <definedName name="______________D258" hidden="1">{"Presentation",#N/A,FALSE,"Feb96 - ALL"}</definedName>
    <definedName name="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gph3" hidden="1">{"salaried",#N/A,FALSE,"VLD View (2)"}</definedName>
    <definedName name="______________gph4" hidden="1">{"rev",#N/A,FALSE,"ppepsum";"vcost",#N/A,FALSE,"ppepsum";"ecprof",#N/A,FALSE,"ppepsum"}</definedName>
    <definedName name="______________gph5" hidden="1">{"rates",#N/A,FALSE,"tavg4a";"rev",#N/A,FALSE,"tavg4a"}</definedName>
    <definedName name="______________gph6" hidden="1">{"pep204a",#N/A,FALSE,"tpepsum4a";"pep205a",#N/A,FALSE,"tpepsum4a";"wpep204a",#N/A,FALSE,"tpepsum4a";"wpep205a",#N/A,FALSE,"tpepsum4a"}</definedName>
    <definedName name="______________jij1" hidden="1">{"Fiesta Facer Page",#N/A,FALSE,"Q_C_S";"Fiesta Main Page",#N/A,FALSE,"V_L";"Fiesta 95BP Struct",#N/A,FALSE,"StructBP";"Fiesta Post 95BP Struct",#N/A,FALSE,"AdjStructBP"}</definedName>
    <definedName name="______________lk1" hidden="1">{"Presentation",#N/A,FALSE,"Feb96 - ALL"}</definedName>
    <definedName name="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po1" hidden="1">{"Presentation",#N/A,FALSE,"Feb96 - ALL"}</definedName>
    <definedName name="______________Q1" hidden="1">{"avrev",#N/A,FALSE,"AVREV";"rates",#N/A,FALSE,"AVREV"}</definedName>
    <definedName name="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ut1" hidden="1">{"rev",#N/A,FALSE,"ppepsum";"vcost",#N/A,FALSE,"ppepsum";"ecprof",#N/A,FALSE,"ppepsum"}</definedName>
    <definedName name="______________V5" hidden="1">{"avrev",#N/A,FALSE,"AVREV";"rates",#N/A,FALSE,"AVREV"}</definedName>
    <definedName name="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wrn1" hidden="1">{#N/A,#N/A,TRUE,"Frame&amp;Body-All";#N/A,#N/A,TRUE,"Powrplant Mnts-5.4l_4.6l";#N/A,#N/A,TRUE,"Powerplant-5.4l_4.6l";#N/A,#N/A,TRUE,"Exhaust-5.4l_4.6l";#N/A,#N/A,TRUE,"Induction-5.4l"}</definedName>
    <definedName name="______________wrn2" hidden="1">{"pep204a",#N/A,FALSE,"tpepsum4a";"pep205a",#N/A,FALSE,"tpepsum4a";"wpep204a",#N/A,FALSE,"tpepsum4a";"wpep205a",#N/A,FALSE,"tpepsum4a"}</definedName>
    <definedName name="______________WRN4" hidden="1">{"salaried",#N/A,FALSE,"VLD View (2)"}</definedName>
    <definedName name="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21">#REF!</definedName>
    <definedName name="_____________APS2003" hidden="1">{#N/A,#N/A,FALSE,"expense";#N/A,#N/A,FALSE,"heads"}</definedName>
    <definedName name="_____________ba1" hidden="1">{"Fiesta Facer Page",#N/A,FALSE,"Q_C_S";"Fiesta Main Page",#N/A,FALSE,"V_L";"Fiesta 95BP Struct",#N/A,FALSE,"StructBP";"Fiesta Post 95BP Struct",#N/A,FALSE,"AdjStructBP"}</definedName>
    <definedName name="_____________D258" hidden="1">{"Presentation",#N/A,FALSE,"Feb96 - ALL"}</definedName>
    <definedName name="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gph3" hidden="1">{"salaried",#N/A,FALSE,"VLD View (2)"}</definedName>
    <definedName name="_____________gph4" hidden="1">{"rev",#N/A,FALSE,"ppepsum";"vcost",#N/A,FALSE,"ppepsum";"ecprof",#N/A,FALSE,"ppepsum"}</definedName>
    <definedName name="_____________gph5" hidden="1">{"rates",#N/A,FALSE,"tavg4a";"rev",#N/A,FALSE,"tavg4a"}</definedName>
    <definedName name="_____________gph6" hidden="1">{"pep204a",#N/A,FALSE,"tpepsum4a";"pep205a",#N/A,FALSE,"tpepsum4a";"wpep204a",#N/A,FALSE,"tpepsum4a";"wpep205a",#N/A,FALSE,"tpepsum4a"}</definedName>
    <definedName name="_____________jij1" hidden="1">{"Fiesta Facer Page",#N/A,FALSE,"Q_C_S";"Fiesta Main Page",#N/A,FALSE,"V_L";"Fiesta 95BP Struct",#N/A,FALSE,"StructBP";"Fiesta Post 95BP Struct",#N/A,FALSE,"AdjStructBP"}</definedName>
    <definedName name="_____________lk1" hidden="1">{"Presentation",#N/A,FALSE,"Feb96 - ALL"}</definedName>
    <definedName name="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po1" hidden="1">{"Presentation",#N/A,FALSE,"Feb96 - ALL"}</definedName>
    <definedName name="_____________Q1" hidden="1">{"avrev",#N/A,FALSE,"AVREV";"rates",#N/A,FALSE,"AVREV"}</definedName>
    <definedName name="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ut1" hidden="1">{"rev",#N/A,FALSE,"ppepsum";"vcost",#N/A,FALSE,"ppepsum";"ecprof",#N/A,FALSE,"ppepsum"}</definedName>
    <definedName name="_____________V5" hidden="1">{"avrev",#N/A,FALSE,"AVREV";"rates",#N/A,FALSE,"AVREV"}</definedName>
    <definedName name="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wrn1" hidden="1">{#N/A,#N/A,TRUE,"Frame&amp;Body-All";#N/A,#N/A,TRUE,"Powrplant Mnts-5.4l_4.6l";#N/A,#N/A,TRUE,"Powerplant-5.4l_4.6l";#N/A,#N/A,TRUE,"Exhaust-5.4l_4.6l";#N/A,#N/A,TRUE,"Induction-5.4l"}</definedName>
    <definedName name="_____________wrn2" hidden="1">{"pep204a",#N/A,FALSE,"tpepsum4a";"pep205a",#N/A,FALSE,"tpepsum4a";"wpep204a",#N/A,FALSE,"tpepsum4a";"wpep205a",#N/A,FALSE,"tpepsum4a"}</definedName>
    <definedName name="_____________WRN4" hidden="1">{"salaried",#N/A,FALSE,"VLD View (2)"}</definedName>
    <definedName name="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21">#REF!</definedName>
    <definedName name="____________App2" hidden="1">{#N/A,#N/A,FALSE,"Cover Page";#N/A,#N/A,FALSE,"Facing Page";#N/A,#N/A,FALSE,"Main Page";#N/A,#N/A,FALSE,"Risk-Adjusted";#N/A,#N/A,FALSE,"Profit Improvement"}</definedName>
    <definedName name="____________ba1" hidden="1">{"Fiesta Facer Page",#N/A,FALSE,"Q_C_S";"Fiesta Main Page",#N/A,FALSE,"V_L";"Fiesta 95BP Struct",#N/A,FALSE,"StructBP";"Fiesta Post 95BP Struct",#N/A,FALSE,"AdjStructBP"}</definedName>
    <definedName name="____________D258" hidden="1">{"Presentation",#N/A,FALSE,"Feb96 - ALL"}</definedName>
    <definedName name="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gph3" hidden="1">{"salaried",#N/A,FALSE,"VLD View (2)"}</definedName>
    <definedName name="____________gph4" hidden="1">{"rev",#N/A,FALSE,"ppepsum";"vcost",#N/A,FALSE,"ppepsum";"ecprof",#N/A,FALSE,"ppepsum"}</definedName>
    <definedName name="____________gph5" hidden="1">{"rates",#N/A,FALSE,"tavg4a";"rev",#N/A,FALSE,"tavg4a"}</definedName>
    <definedName name="____________gph6" hidden="1">{"pep204a",#N/A,FALSE,"tpepsum4a";"pep205a",#N/A,FALSE,"tpepsum4a";"wpep204a",#N/A,FALSE,"tpepsum4a";"wpep205a",#N/A,FALSE,"tpepsum4a"}</definedName>
    <definedName name="____________jij1" hidden="1">{"Fiesta Facer Page",#N/A,FALSE,"Q_C_S";"Fiesta Main Page",#N/A,FALSE,"V_L";"Fiesta 95BP Struct",#N/A,FALSE,"StructBP";"Fiesta Post 95BP Struct",#N/A,FALSE,"AdjStructBP"}</definedName>
    <definedName name="____________lk1" hidden="1">{"Presentation",#N/A,FALSE,"Feb96 - ALL"}</definedName>
    <definedName name="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po1" hidden="1">{"Presentation",#N/A,FALSE,"Feb96 - ALL"}</definedName>
    <definedName name="____________Q1" hidden="1">{"avrev",#N/A,FALSE,"AVREV";"rates",#N/A,FALSE,"AVREV"}</definedName>
    <definedName name="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ut1" hidden="1">{"rev",#N/A,FALSE,"ppepsum";"vcost",#N/A,FALSE,"ppepsum";"ecprof",#N/A,FALSE,"ppepsum"}</definedName>
    <definedName name="____________V5" hidden="1">{"avrev",#N/A,FALSE,"AVREV";"rates",#N/A,FALSE,"AVREV"}</definedName>
    <definedName name="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wrn1" hidden="1">{#N/A,#N/A,TRUE,"Frame&amp;Body-All";#N/A,#N/A,TRUE,"Powrplant Mnts-5.4l_4.6l";#N/A,#N/A,TRUE,"Powerplant-5.4l_4.6l";#N/A,#N/A,TRUE,"Exhaust-5.4l_4.6l";#N/A,#N/A,TRUE,"Induction-5.4l"}</definedName>
    <definedName name="____________wrn2" hidden="1">{"pep204a",#N/A,FALSE,"tpepsum4a";"pep205a",#N/A,FALSE,"tpepsum4a";"wpep204a",#N/A,FALSE,"tpepsum4a";"wpep205a",#N/A,FALSE,"tpepsum4a"}</definedName>
    <definedName name="____________WRN4" hidden="1">{"salaried",#N/A,FALSE,"VLD View (2)"}</definedName>
    <definedName name="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21">#REF!</definedName>
    <definedName name="___________ba1" hidden="1">{"Fiesta Facer Page",#N/A,FALSE,"Q_C_S";"Fiesta Main Page",#N/A,FALSE,"V_L";"Fiesta 95BP Struct",#N/A,FALSE,"StructBP";"Fiesta Post 95BP Struct",#N/A,FALSE,"AdjStructBP"}</definedName>
    <definedName name="___________D258" hidden="1">{"Presentation",#N/A,FALSE,"Feb96 - ALL"}</definedName>
    <definedName name="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gph3" hidden="1">{"salaried",#N/A,FALSE,"VLD View (2)"}</definedName>
    <definedName name="___________gph4" hidden="1">{"rev",#N/A,FALSE,"ppepsum";"vcost",#N/A,FALSE,"ppepsum";"ecprof",#N/A,FALSE,"ppepsum"}</definedName>
    <definedName name="___________gph5" hidden="1">{"rates",#N/A,FALSE,"tavg4a";"rev",#N/A,FALSE,"tavg4a"}</definedName>
    <definedName name="___________gph6" hidden="1">{"pep204a",#N/A,FALSE,"tpepsum4a";"pep205a",#N/A,FALSE,"tpepsum4a";"wpep204a",#N/A,FALSE,"tpepsum4a";"wpep205a",#N/A,FALSE,"tpepsum4a"}</definedName>
    <definedName name="___________jij1" hidden="1">{"Fiesta Facer Page",#N/A,FALSE,"Q_C_S";"Fiesta Main Page",#N/A,FALSE,"V_L";"Fiesta 95BP Struct",#N/A,FALSE,"StructBP";"Fiesta Post 95BP Struct",#N/A,FALSE,"AdjStructBP"}</definedName>
    <definedName name="___________lk1" hidden="1">{"Presentation",#N/A,FALSE,"Feb96 - ALL"}</definedName>
    <definedName name="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po1" hidden="1">{"Presentation",#N/A,FALSE,"Feb96 - ALL"}</definedName>
    <definedName name="___________Q1" hidden="1">{"avrev",#N/A,FALSE,"AVREV";"rates",#N/A,FALSE,"AVREV"}</definedName>
    <definedName name="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ut1" hidden="1">{"rev",#N/A,FALSE,"ppepsum";"vcost",#N/A,FALSE,"ppepsum";"ecprof",#N/A,FALSE,"ppepsum"}</definedName>
    <definedName name="___________V5" hidden="1">{"avrev",#N/A,FALSE,"AVREV";"rates",#N/A,FALSE,"AVREV"}</definedName>
    <definedName name="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wrn1" hidden="1">{#N/A,#N/A,TRUE,"Frame&amp;Body-All";#N/A,#N/A,TRUE,"Powrplant Mnts-5.4l_4.6l";#N/A,#N/A,TRUE,"Powerplant-5.4l_4.6l";#N/A,#N/A,TRUE,"Exhaust-5.4l_4.6l";#N/A,#N/A,TRUE,"Induction-5.4l"}</definedName>
    <definedName name="___________wrn2" hidden="1">{"pep204a",#N/A,FALSE,"tpepsum4a";"pep205a",#N/A,FALSE,"tpepsum4a";"wpep204a",#N/A,FALSE,"tpepsum4a";"wpep205a",#N/A,FALSE,"tpepsum4a"}</definedName>
    <definedName name="___________WRN4" hidden="1">{"salaried",#N/A,FALSE,"VLD View (2)"}</definedName>
    <definedName name="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21">#REF!</definedName>
    <definedName name="__________ab2" hidden="1">{#N/A,#N/A,FALSE,"Cover";#N/A,#N/A,FALSE,"Profits";#N/A,#N/A,FALSE,"ABS";#N/A,#N/A,FALSE,"TFLE Detail";#N/A,#N/A,FALSE,"TFLE Walk";#N/A,#N/A,FALSE,"Variable Cost";#N/A,#N/A,FALSE,"V.C. Walk"}</definedName>
    <definedName name="__________ab3" hidden="1">{#N/A,#N/A,FALSE,"Profit Status";#N/A,#N/A,FALSE,"Invest";#N/A,#N/A,FALSE,"Revenue";#N/A,#N/A,FALSE,"Variable Cost";#N/A,#N/A,FALSE,"Options &amp; Series"}</definedName>
    <definedName name="__________App2" hidden="1">{#N/A,#N/A,FALSE,"Cover Page";#N/A,#N/A,FALSE,"Facing Page";#N/A,#N/A,FALSE,"Main Page";#N/A,#N/A,FALSE,"Risk-Adjusted";#N/A,#N/A,FALSE,"Profit Improvement"}</definedName>
    <definedName name="__________ba1" hidden="1">{"Fiesta Facer Page",#N/A,FALSE,"Q_C_S";"Fiesta Main Page",#N/A,FALSE,"V_L";"Fiesta 95BP Struct",#N/A,FALSE,"StructBP";"Fiesta Post 95BP Struct",#N/A,FALSE,"AdjStructBP"}</definedName>
    <definedName name="__________bjw1" hidden="1">{#N/A,#N/A,FALSE,"Profit Status";#N/A,#N/A,FALSE,"Invest";#N/A,#N/A,FALSE,"Revenue";#N/A,#N/A,FALSE,"Variable Cost";#N/A,#N/A,FALSE,"Options &amp; Series"}</definedName>
    <definedName name="______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D258" hidden="1">{"Presentation",#N/A,FALSE,"Feb96 - ALL"}</definedName>
    <definedName name="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gph3" hidden="1">{"salaried",#N/A,FALSE,"VLD View (2)"}</definedName>
    <definedName name="__________gph4" hidden="1">{"rev",#N/A,FALSE,"ppepsum";"vcost",#N/A,FALSE,"ppepsum";"ecprof",#N/A,FALSE,"ppepsum"}</definedName>
    <definedName name="__________gph5" hidden="1">{"rates",#N/A,FALSE,"tavg4a";"rev",#N/A,FALSE,"tavg4a"}</definedName>
    <definedName name="__________gph6" hidden="1">{"pep204a",#N/A,FALSE,"tpepsum4a";"pep205a",#N/A,FALSE,"tpepsum4a";"wpep204a",#N/A,FALSE,"tpepsum4a";"wpep205a",#N/A,FALSE,"tpepsum4a"}</definedName>
    <definedName name="__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jij1" hidden="1">{"Fiesta Facer Page",#N/A,FALSE,"Q_C_S";"Fiesta Main Page",#N/A,FALSE,"V_L";"Fiesta 95BP Struct",#N/A,FALSE,"StructBP";"Fiesta Post 95BP Struct",#N/A,FALSE,"AdjStructBP"}</definedName>
    <definedName name="__________lk1" hidden="1">{"Presentation",#N/A,FALSE,"Feb96 - ALL"}</definedName>
    <definedName name="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po1" hidden="1">{"Presentation",#N/A,FALSE,"Feb96 - ALL"}</definedName>
    <definedName name="__________Q1" hidden="1">{"avrev",#N/A,FALSE,"AVREV";"rates",#N/A,FALSE,"AVREV"}</definedName>
    <definedName name="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ut1" hidden="1">{"rev",#N/A,FALSE,"ppepsum";"vcost",#N/A,FALSE,"ppepsum";"ecprof",#N/A,FALSE,"ppepsum"}</definedName>
    <definedName name="__________V5" hidden="1">{"avrev",#N/A,FALSE,"AVREV";"rates",#N/A,FALSE,"AVREV"}</definedName>
    <definedName name="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wrn1" hidden="1">{#N/A,#N/A,TRUE,"Frame&amp;Body-All";#N/A,#N/A,TRUE,"Powrplant Mnts-5.4l_4.6l";#N/A,#N/A,TRUE,"Powerplant-5.4l_4.6l";#N/A,#N/A,TRUE,"Exhaust-5.4l_4.6l";#N/A,#N/A,TRUE,"Induction-5.4l"}</definedName>
    <definedName name="__________wrn2" hidden="1">{"pep204a",#N/A,FALSE,"tpepsum4a";"pep205a",#N/A,FALSE,"tpepsum4a";"wpep204a",#N/A,FALSE,"tpepsum4a";"wpep205a",#N/A,FALSE,"tpepsum4a"}</definedName>
    <definedName name="__________WRN4" hidden="1">{"salaried",#N/A,FALSE,"VLD View (2)"}</definedName>
    <definedName name="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21">#REF!</definedName>
    <definedName name="_________ab2" hidden="1">{#N/A,#N/A,FALSE,"Cover";#N/A,#N/A,FALSE,"Profits";#N/A,#N/A,FALSE,"ABS";#N/A,#N/A,FALSE,"TFLE Detail";#N/A,#N/A,FALSE,"TFLE Walk";#N/A,#N/A,FALSE,"Variable Cost";#N/A,#N/A,FALSE,"V.C. Walk"}</definedName>
    <definedName name="_________ab3" hidden="1">{#N/A,#N/A,FALSE,"Profit Status";#N/A,#N/A,FALSE,"Invest";#N/A,#N/A,FALSE,"Revenue";#N/A,#N/A,FALSE,"Variable Cost";#N/A,#N/A,FALSE,"Options &amp; Series"}</definedName>
    <definedName name="_________ba1" hidden="1">{"Fiesta Facer Page",#N/A,FALSE,"Q_C_S";"Fiesta Main Page",#N/A,FALSE,"V_L";"Fiesta 95BP Struct",#N/A,FALSE,"StructBP";"Fiesta Post 95BP Struct",#N/A,FALSE,"AdjStructBP"}</definedName>
    <definedName name="_________D258" hidden="1">{"Presentation",#N/A,FALSE,"Feb96 - ALL"}</definedName>
    <definedName name="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DEC20" hidden="1">{#N/A,#N/A,FALSE,"Cover Page";#N/A,#N/A,FALSE,"Facing Page";#N/A,#N/A,FALSE,"Main Page";#N/A,#N/A,FALSE,"Risk-Adjusted";#N/A,#N/A,FALSE,"Profit Improvement"}</definedName>
    <definedName name="_________DEL1" hidden="1">{"Fiesta Facer Page",#N/A,FALSE,"Q_C_S";"Fiesta Main Page",#N/A,FALSE,"V_L";"Fiesta 95BP Struct",#N/A,FALSE,"StructBP";"Fiesta Post 95BP Struct",#N/A,FALSE,"AdjStructBP"}</definedName>
    <definedName name="_________DEL2" hidden="1">{#N/A,#N/A,FALSE,"expense";#N/A,#N/A,FALSE,"heads"}</definedName>
    <definedName name="_________DEL3" hidden="1">{#N/A,#N/A,FALSE,"SumMonth"}</definedName>
    <definedName name="_________DEL4" hidden="1">{#N/A,#N/A,FALSE,"SumMonth";#N/A,#N/A,FALSE,"SumMonth"}</definedName>
    <definedName name="___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___gph3" hidden="1">{"salaried",#N/A,FALSE,"VLD View (2)"}</definedName>
    <definedName name="_________gph4" hidden="1">{"rev",#N/A,FALSE,"ppepsum";"vcost",#N/A,FALSE,"ppepsum";"ecprof",#N/A,FALSE,"ppepsum"}</definedName>
    <definedName name="_________gph5" hidden="1">{"rates",#N/A,FALSE,"tavg4a";"rev",#N/A,FALSE,"tavg4a"}</definedName>
    <definedName name="_________gph6" hidden="1">{"pep204a",#N/A,FALSE,"tpepsum4a";"pep205a",#N/A,FALSE,"tpepsum4a";"wpep204a",#N/A,FALSE,"tpepsum4a";"wpep205a",#N/A,FALSE,"tpepsum4a"}</definedName>
    <definedName name="_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jij1" hidden="1">{"Fiesta Facer Page",#N/A,FALSE,"Q_C_S";"Fiesta Main Page",#N/A,FALSE,"V_L";"Fiesta 95BP Struct",#N/A,FALSE,"StructBP";"Fiesta Post 95BP Struct",#N/A,FALSE,"AdjStructBP"}</definedName>
    <definedName name="_________lk1" hidden="1">{"Presentation",#N/A,FALSE,"Feb96 - ALL"}</definedName>
    <definedName name="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po1" hidden="1">{"Presentation",#N/A,FALSE,"Feb96 - ALL"}</definedName>
    <definedName name="_________Q1" hidden="1">{"avrev",#N/A,FALSE,"AVREV";"rates",#N/A,FALSE,"AVREV"}</definedName>
    <definedName name="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ut1" hidden="1">{"rev",#N/A,FALSE,"ppepsum";"vcost",#N/A,FALSE,"ppepsum";"ecprof",#N/A,FALSE,"ppepsum"}</definedName>
    <definedName name="_________V5" hidden="1">{"avrev",#N/A,FALSE,"AVREV";"rates",#N/A,FALSE,"AVREV"}</definedName>
    <definedName name="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wrn1" hidden="1">{#N/A,#N/A,TRUE,"Frame&amp;Body-All";#N/A,#N/A,TRUE,"Powrplant Mnts-5.4l_4.6l";#N/A,#N/A,TRUE,"Powerplant-5.4l_4.6l";#N/A,#N/A,TRUE,"Exhaust-5.4l_4.6l";#N/A,#N/A,TRUE,"Induction-5.4l"}</definedName>
    <definedName name="_________wrn2" hidden="1">{"pep204a",#N/A,FALSE,"tpepsum4a";"pep205a",#N/A,FALSE,"tpepsum4a";"wpep204a",#N/A,FALSE,"tpepsum4a";"wpep205a",#N/A,FALSE,"tpepsum4a"}</definedName>
    <definedName name="_________WRN4" hidden="1">{"salaried",#N/A,FALSE,"VLD View (2)"}</definedName>
    <definedName name="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21">#REF!</definedName>
    <definedName name="________ab2" hidden="1">{#N/A,#N/A,FALSE,"Cover";#N/A,#N/A,FALSE,"Profits";#N/A,#N/A,FALSE,"ABS";#N/A,#N/A,FALSE,"TFLE Detail";#N/A,#N/A,FALSE,"TFLE Walk";#N/A,#N/A,FALSE,"Variable Cost";#N/A,#N/A,FALSE,"V.C. Walk"}</definedName>
    <definedName name="________ab3" hidden="1">{#N/A,#N/A,FALSE,"Profit Status";#N/A,#N/A,FALSE,"Invest";#N/A,#N/A,FALSE,"Revenue";#N/A,#N/A,FALSE,"Variable Cost";#N/A,#N/A,FALSE,"Options &amp; Series"}</definedName>
    <definedName name="________App2" hidden="1">{#N/A,#N/A,FALSE,"Cover Page";#N/A,#N/A,FALSE,"Facing Page";#N/A,#N/A,FALSE,"Main Page";#N/A,#N/A,FALSE,"Risk-Adjusted";#N/A,#N/A,FALSE,"Profit Improvement"}</definedName>
    <definedName name="________APS2003" hidden="1">{#N/A,#N/A,FALSE,"expense";#N/A,#N/A,FALSE,"heads"}</definedName>
    <definedName name="________ba1" hidden="1">{"Fiesta Facer Page",#N/A,FALSE,"Q_C_S";"Fiesta Main Page",#N/A,FALSE,"V_L";"Fiesta 95BP Struct",#N/A,FALSE,"StructBP";"Fiesta Post 95BP Struct",#N/A,FALSE,"AdjStructBP"}</definedName>
    <definedName name="________bjw1" hidden="1">{#N/A,#N/A,FALSE,"Profit Status";#N/A,#N/A,FALSE,"Invest";#N/A,#N/A,FALSE,"Revenue";#N/A,#N/A,FALSE,"Variable Cost";#N/A,#N/A,FALSE,"Options &amp; Series"}</definedName>
    <definedName name="____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D258" hidden="1">{"Presentation",#N/A,FALSE,"Feb96 - ALL"}</definedName>
    <definedName name="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gph3" hidden="1">{"salaried",#N/A,FALSE,"VLD View (2)"}</definedName>
    <definedName name="________gph4" hidden="1">{"rev",#N/A,FALSE,"ppepsum";"vcost",#N/A,FALSE,"ppepsum";"ecprof",#N/A,FALSE,"ppepsum"}</definedName>
    <definedName name="________gph5" hidden="1">{"rates",#N/A,FALSE,"tavg4a";"rev",#N/A,FALSE,"tavg4a"}</definedName>
    <definedName name="________gph6" hidden="1">{"pep204a",#N/A,FALSE,"tpepsum4a";"pep205a",#N/A,FALSE,"tpepsum4a";"wpep204a",#N/A,FALSE,"tpepsum4a";"wpep205a",#N/A,FALSE,"tpepsum4a"}</definedName>
    <definedName name="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jij1" hidden="1">{"Fiesta Facer Page",#N/A,FALSE,"Q_C_S";"Fiesta Main Page",#N/A,FALSE,"V_L";"Fiesta 95BP Struct",#N/A,FALSE,"StructBP";"Fiesta Post 95BP Struct",#N/A,FALSE,"AdjStructBP"}</definedName>
    <definedName name="________lk1" hidden="1">{"Presentation",#N/A,FALSE,"Feb96 - ALL"}</definedName>
    <definedName name="________MMT6" hidden="1">{"REVISED",#N/A,FALSE,"Sheet1"}</definedName>
    <definedName name="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po1" hidden="1">{"Presentation",#N/A,FALSE,"Feb96 - ALL"}</definedName>
    <definedName name="________Q1" hidden="1">{"avrev",#N/A,FALSE,"AVREV";"rates",#N/A,FALSE,"AVREV"}</definedName>
    <definedName name="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spk1" hidden="1">{#N/A,#N/A,FALSE,"Cover";#N/A,#N/A,FALSE,"Profits";#N/A,#N/A,FALSE,"ABS";#N/A,#N/A,FALSE,"TFLE Detail";#N/A,#N/A,FALSE,"TFLE Walk";#N/A,#N/A,FALSE,"Variable Cost";#N/A,#N/A,FALSE,"V.C. Walk"}</definedName>
    <definedName name="________spk2" hidden="1">{#N/A,#N/A,FALSE,"Profit Status";#N/A,#N/A,FALSE,"Invest";#N/A,#N/A,FALSE,"Revenue";#N/A,#N/A,FALSE,"Variable Cost";#N/A,#N/A,FALSE,"Options &amp; Series"}</definedName>
    <definedName name="_____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ut1" hidden="1">{"rev",#N/A,FALSE,"ppepsum";"vcost",#N/A,FALSE,"ppepsum";"ecprof",#N/A,FALSE,"ppepsum"}</definedName>
    <definedName name="________V5" hidden="1">{"avrev",#N/A,FALSE,"AVREV";"rates",#N/A,FALSE,"AVREV"}</definedName>
    <definedName name="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wrn1" hidden="1">{#N/A,#N/A,TRUE,"Frame&amp;Body-All";#N/A,#N/A,TRUE,"Powrplant Mnts-5.4l_4.6l";#N/A,#N/A,TRUE,"Powerplant-5.4l_4.6l";#N/A,#N/A,TRUE,"Exhaust-5.4l_4.6l";#N/A,#N/A,TRUE,"Induction-5.4l"}</definedName>
    <definedName name="________wrn2" hidden="1">{"pep204a",#N/A,FALSE,"tpepsum4a";"pep205a",#N/A,FALSE,"tpepsum4a";"wpep204a",#N/A,FALSE,"tpepsum4a";"wpep205a",#N/A,FALSE,"tpepsum4a"}</definedName>
    <definedName name="________WRN4" hidden="1">{"salaried",#N/A,FALSE,"VLD View (2)"}</definedName>
    <definedName name="________XS1" hidden="1">{#N/A,#N/A,FALSE,"Title - E";#N/A,#N/A,FALSE,"Insert";#N/A,#N/A,FALSE,"Rpt-98-E PG_1";#N/A,#N/A,FALSE,"Rpt-98-E PG_2f";#N/A,#N/A,FALSE,"Rpt-98-E PG_2";#N/A,#N/A,FALSE,"Insert";#N/A,#N/A,FALSE,"Rpt-98-E PG_3 "}</definedName>
    <definedName name="________xx1" hidden="1">{#N/A,#N/A,FALSE,"Title - E";#N/A,#N/A,FALSE,"Insert";#N/A,#N/A,FALSE,"Rpt-98-E PG_1";#N/A,#N/A,FALSE,"Rpt-98-E PG_2f";#N/A,#N/A,FALSE,"Rpt-98-E PG_2";#N/A,#N/A,FALSE,"Insert";#N/A,#N/A,FALSE,"Rpt-98-E PG_3 "}</definedName>
    <definedName name="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21">#REF!</definedName>
    <definedName name="_______A99999">#REF!</definedName>
    <definedName name="_______ab2" hidden="1">{#N/A,#N/A,FALSE,"Cover";#N/A,#N/A,FALSE,"Profits";#N/A,#N/A,FALSE,"ABS";#N/A,#N/A,FALSE,"TFLE Detail";#N/A,#N/A,FALSE,"TFLE Walk";#N/A,#N/A,FALSE,"Variable Cost";#N/A,#N/A,FALSE,"V.C. Walk"}</definedName>
    <definedName name="_______ab3" hidden="1">{#N/A,#N/A,FALSE,"Profit Status";#N/A,#N/A,FALSE,"Invest";#N/A,#N/A,FALSE,"Revenue";#N/A,#N/A,FALSE,"Variable Cost";#N/A,#N/A,FALSE,"Options &amp; Series"}</definedName>
    <definedName name="_______App2" hidden="1">{#N/A,#N/A,FALSE,"Cover Page";#N/A,#N/A,FALSE,"Facing Page";#N/A,#N/A,FALSE,"Main Page";#N/A,#N/A,FALSE,"Risk-Adjusted";#N/A,#N/A,FALSE,"Profit Improvement"}</definedName>
    <definedName name="_______b5678" hidden="1">{"Presentation",#N/A,FALSE,"Feb96 - ALL"}</definedName>
    <definedName name="_______ba1" hidden="1">{"Fiesta Facer Page",#N/A,FALSE,"Q_C_S";"Fiesta Main Page",#N/A,FALSE,"V_L";"Fiesta 95BP Struct",#N/A,FALSE,"StructBP";"Fiesta Post 95BP Struct",#N/A,FALSE,"AdjStructBP"}</definedName>
    <definedName name="_______bb2" hidden="1">{"Fiesta Facer Page",#N/A,FALSE,"Q_C_S";"Fiesta Main Page",#N/A,FALSE,"V_L";"Fiesta 95BP Struct",#N/A,FALSE,"StructBP";"Fiesta Post 95BP Struct",#N/A,FALSE,"AdjStructBP"}</definedName>
    <definedName name="_______cz1" hidden="1">{"Fiesta Facer Page",#N/A,FALSE,"Q_C_S";"Fiesta Main Page",#N/A,FALSE,"V_L";"Fiesta 95BP Struct",#N/A,FALSE,"StructBP";"Fiesta Post 95BP Struct",#N/A,FALSE,"AdjStructBP"}</definedName>
    <definedName name="_______D258" hidden="1">{"Presentation",#N/A,FALSE,"Feb96 - ALL"}</definedName>
    <definedName name="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EC20" hidden="1">{#N/A,#N/A,FALSE,"Cover Page";#N/A,#N/A,FALSE,"Facing Page";#N/A,#N/A,FALSE,"Main Page";#N/A,#N/A,FALSE,"Risk-Adjusted";#N/A,#N/A,FALSE,"Profit Improvement"}</definedName>
    <definedName name="_______DEL1" hidden="1">{"Fiesta Facer Page",#N/A,FALSE,"Q_C_S";"Fiesta Main Page",#N/A,FALSE,"V_L";"Fiesta 95BP Struct",#N/A,FALSE,"StructBP";"Fiesta Post 95BP Struct",#N/A,FALSE,"AdjStructBP"}</definedName>
    <definedName name="_______DEL2" hidden="1">{#N/A,#N/A,FALSE,"expense";#N/A,#N/A,FALSE,"heads"}</definedName>
    <definedName name="_______DEL3" hidden="1">{#N/A,#N/A,FALSE,"SumMonth"}</definedName>
    <definedName name="_______DEL4" hidden="1">{#N/A,#N/A,FALSE,"SumMonth";#N/A,#N/A,FALSE,"SumMonth"}</definedName>
    <definedName name="_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_dkk1">#REF!</definedName>
    <definedName name="_______dkk2">#REF!</definedName>
    <definedName name="_______e4" hidden="1">{"REVISED",#N/A,FALSE,"Sheet1"}</definedName>
    <definedName name="_______exp10">#REF!</definedName>
    <definedName name="_______exp11">#REF!</definedName>
    <definedName name="_______exp12">#REF!</definedName>
    <definedName name="_______EXP22">#REF!</definedName>
    <definedName name="_______exp5">#REF!</definedName>
    <definedName name="_______exp7">#REF!</definedName>
    <definedName name="_______exp8">#REF!</definedName>
    <definedName name="_______exp9">#REF!</definedName>
    <definedName name="_______g5" hidden="1">{#N/A,#N/A,FALSE,"UW152PPL"}</definedName>
    <definedName name="____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g7" hidden="1">{#N/A,#N/A,FALSE,"Cover";#N/A,#N/A,FALSE,"Profits";#N/A,#N/A,FALSE,"ABS";#N/A,#N/A,FALSE,"TFLE Detail";#N/A,#N/A,FALSE,"TFLE Walk";#N/A,#N/A,FALSE,"Variable Cost";#N/A,#N/A,FALSE,"V.C. Walk"}</definedName>
    <definedName name="_______gph3" hidden="1">{"salaried",#N/A,FALSE,"VLD View (2)"}</definedName>
    <definedName name="_______gph4" hidden="1">{"rev",#N/A,FALSE,"ppepsum";"vcost",#N/A,FALSE,"ppepsum";"ecprof",#N/A,FALSE,"ppepsum"}</definedName>
    <definedName name="_______gph5" hidden="1">{"rates",#N/A,FALSE,"tavg4a";"rev",#N/A,FALSE,"tavg4a"}</definedName>
    <definedName name="_______gph6" hidden="1">{"pep204a",#N/A,FALSE,"tpepsum4a";"pep205a",#N/A,FALSE,"tpepsum4a";"wpep204a",#N/A,FALSE,"tpepsum4a";"wpep205a",#N/A,FALSE,"tpepsum4a"}</definedName>
    <definedName name="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H300" hidden="1">{"Presentation",#N/A,FALSE,"Feb96 - ALL"}</definedName>
    <definedName name="____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h4" hidden="1">{"REVISED",#N/A,FALSE,"Sheet1"}</definedName>
    <definedName name="_______IZ1">#REF!</definedName>
    <definedName name="_______j7" hidden="1">{#N/A,#N/A,FALSE,"Cover";#N/A,#N/A,FALSE,"Profits";#N/A,#N/A,FALSE,"ABS";#N/A,#N/A,FALSE,"TFLE Detail";#N/A,#N/A,FALSE,"TFLE Walk";#N/A,#N/A,FALSE,"Variable Cost";#N/A,#N/A,FALSE,"V.C. Walk"}</definedName>
    <definedName name="_______jij1" hidden="1">{"Fiesta Facer Page",#N/A,FALSE,"Q_C_S";"Fiesta Main Page",#N/A,FALSE,"V_L";"Fiesta 95BP Struct",#N/A,FALSE,"StructBP";"Fiesta Post 95BP Struct",#N/A,FALSE,"AdjStructBP"}</definedName>
    <definedName name="_______JJ1">#REF!</definedName>
    <definedName name="_______k8" hidden="1">{"REVISED",#N/A,FALSE,"Sheet1"}</definedName>
    <definedName name="_______l9" hidden="1">{"REVISED",#N/A,FALSE,"Sheet1"}</definedName>
    <definedName name="_______lit1">#REF!</definedName>
    <definedName name="_______lit2">#REF!</definedName>
    <definedName name="_______lk1" hidden="1">{"Presentation",#N/A,FALSE,"Feb96 - ALL"}</definedName>
    <definedName name="_______LL1">#REF!</definedName>
    <definedName name="_______MM1">#REF!</definedName>
    <definedName name="_______MZ1">#REF!</definedName>
    <definedName name="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PM2">#REF!</definedName>
    <definedName name="_______po1" hidden="1">{"Presentation",#N/A,FALSE,"Feb96 - ALL"}</definedName>
    <definedName name="_______Q1" hidden="1">{"avrev",#N/A,FALSE,"AVREV";"rates",#N/A,FALSE,"AVREV"}</definedName>
    <definedName name="_______SCB1">#REF!</definedName>
    <definedName name="_______SCB2">#REF!</definedName>
    <definedName name="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TCD1">#REF!</definedName>
    <definedName name="_______TCD2">#REF!</definedName>
    <definedName name="_______TCD3">#REF!</definedName>
    <definedName name="_______TCD4">#REF!</definedName>
    <definedName name="_______TCD5">#REF!</definedName>
    <definedName name="_______TCD6">#REF!</definedName>
    <definedName name="_______TCD7">#REF!</definedName>
    <definedName name="_______TCD8">#REF!</definedName>
    <definedName name="_______TCD9">#REF!</definedName>
    <definedName name="_______Us1">#REF!</definedName>
    <definedName name="_______Us2">#REF!</definedName>
    <definedName name="_______ut1" hidden="1">{"rev",#N/A,FALSE,"ppepsum";"vcost",#N/A,FALSE,"ppepsum";"ecprof",#N/A,FALSE,"ppepsum"}</definedName>
    <definedName name="_______V5" hidden="1">{"avrev",#N/A,FALSE,"AVREV";"rates",#N/A,FALSE,"AVREV"}</definedName>
    <definedName name="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wrn1" hidden="1">{#N/A,#N/A,TRUE,"Frame&amp;Body-All";#N/A,#N/A,TRUE,"Powrplant Mnts-5.4l_4.6l";#N/A,#N/A,TRUE,"Powerplant-5.4l_4.6l";#N/A,#N/A,TRUE,"Exhaust-5.4l_4.6l";#N/A,#N/A,TRUE,"Induction-5.4l"}</definedName>
    <definedName name="_______wrn2" hidden="1">{"pep204a",#N/A,FALSE,"tpepsum4a";"pep205a",#N/A,FALSE,"tpepsum4a";"wpep204a",#N/A,FALSE,"tpepsum4a";"wpep205a",#N/A,FALSE,"tpepsum4a"}</definedName>
    <definedName name="_______WRN4" hidden="1">{"salaried",#N/A,FALSE,"VLD View (2)"}</definedName>
    <definedName name="_______XS1" hidden="1">{#N/A,#N/A,FALSE,"Title - E";#N/A,#N/A,FALSE,"Insert";#N/A,#N/A,FALSE,"Rpt-98-E PG_1";#N/A,#N/A,FALSE,"Rpt-98-E PG_2f";#N/A,#N/A,FALSE,"Rpt-98-E PG_2";#N/A,#N/A,FALSE,"Insert";#N/A,#N/A,FALSE,"Rpt-98-E PG_3 "}</definedName>
    <definedName name="_______xx1" hidden="1">{#N/A,#N/A,FALSE,"Title - E";#N/A,#N/A,FALSE,"Insert";#N/A,#N/A,FALSE,"Rpt-98-E PG_1";#N/A,#N/A,FALSE,"Rpt-98-E PG_2f";#N/A,#N/A,FALSE,"Rpt-98-E PG_2";#N/A,#N/A,FALSE,"Insert";#N/A,#N/A,FALSE,"Rpt-98-E PG_3 "}</definedName>
    <definedName name="_______xx6666">#REF!</definedName>
    <definedName name="_______ZA1">#REF!</definedName>
    <definedName name="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z9999">#REF!</definedName>
    <definedName name="______21">#REF!</definedName>
    <definedName name="______A99999">#REF!</definedName>
    <definedName name="______App2" hidden="1">{#N/A,#N/A,FALSE,"Cover Page";#N/A,#N/A,FALSE,"Facing Page";#N/A,#N/A,FALSE,"Main Page";#N/A,#N/A,FALSE,"Risk-Adjusted";#N/A,#N/A,FALSE,"Profit Improvement"}</definedName>
    <definedName name="______APS2003" hidden="1">{#N/A,#N/A,FALSE,"expense";#N/A,#N/A,FALSE,"heads"}</definedName>
    <definedName name="______ba1" hidden="1">{"Fiesta Facer Page",#N/A,FALSE,"Q_C_S";"Fiesta Main Page",#N/A,FALSE,"V_L";"Fiesta 95BP Struct",#N/A,FALSE,"StructBP";"Fiesta Post 95BP Struct",#N/A,FALSE,"AdjStructBP"}</definedName>
    <definedName name="______BV226" hidden="1">{#N/A,#N/A,FALSE,"TR_OUT1"}</definedName>
    <definedName name="______D258" hidden="1">{"Presentation",#N/A,FALSE,"Feb96 - ALL"}</definedName>
    <definedName name="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DEC20" hidden="1">{#N/A,#N/A,FALSE,"Cover Page";#N/A,#N/A,FALSE,"Facing Page";#N/A,#N/A,FALSE,"Main Page";#N/A,#N/A,FALSE,"Risk-Adjusted";#N/A,#N/A,FALSE,"Profit Improvement"}</definedName>
    <definedName name="______DEL1" hidden="1">{"Fiesta Facer Page",#N/A,FALSE,"Q_C_S";"Fiesta Main Page",#N/A,FALSE,"V_L";"Fiesta 95BP Struct",#N/A,FALSE,"StructBP";"Fiesta Post 95BP Struct",#N/A,FALSE,"AdjStructBP"}</definedName>
    <definedName name="______DEL2" hidden="1">{#N/A,#N/A,FALSE,"expense";#N/A,#N/A,FALSE,"heads"}</definedName>
    <definedName name="______DEL3" hidden="1">{#N/A,#N/A,FALSE,"SumMonth"}</definedName>
    <definedName name="______DEL4" hidden="1">{#N/A,#N/A,FALSE,"SumMonth";#N/A,#N/A,FALSE,"SumMonth"}</definedName>
    <definedName name="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dkk1">#REF!</definedName>
    <definedName name="______dkk2">#REF!</definedName>
    <definedName name="______exp10">#REF!</definedName>
    <definedName name="______exp11">#REF!</definedName>
    <definedName name="______exp12">#REF!</definedName>
    <definedName name="______EXP22">#REF!</definedName>
    <definedName name="______exp5">#REF!</definedName>
    <definedName name="______exp7">#REF!</definedName>
    <definedName name="______exp8">#REF!</definedName>
    <definedName name="______exp9">#REF!</definedName>
    <definedName name="______fe1">#N/A</definedName>
    <definedName name="______gph3" hidden="1">{"salaried",#N/A,FALSE,"VLD View (2)"}</definedName>
    <definedName name="______gph4" hidden="1">{"rev",#N/A,FALSE,"ppepsum";"vcost",#N/A,FALSE,"ppepsum";"ecprof",#N/A,FALSE,"ppepsum"}</definedName>
    <definedName name="______gph5" hidden="1">{"rates",#N/A,FALSE,"tavg4a";"rev",#N/A,FALSE,"tavg4a"}</definedName>
    <definedName name="______gph6" hidden="1">{"pep204a",#N/A,FALSE,"tpepsum4a";"pep205a",#N/A,FALSE,"tpepsum4a";"wpep204a",#N/A,FALSE,"tpepsum4a";"wpep205a",#N/A,FALSE,"tpepsum4a"}</definedName>
    <definedName name="______hg1">#N/A</definedName>
    <definedName name="______IZ1">#REF!</definedName>
    <definedName name="______jij1" hidden="1">{"Fiesta Facer Page",#N/A,FALSE,"Q_C_S";"Fiesta Main Page",#N/A,FALSE,"V_L";"Fiesta 95BP Struct",#N/A,FALSE,"StructBP";"Fiesta Post 95BP Struct",#N/A,FALSE,"AdjStructBP"}</definedName>
    <definedName name="______JJ1">#REF!</definedName>
    <definedName name="______lit1">#REF!</definedName>
    <definedName name="______lit2">#REF!</definedName>
    <definedName name="______lk1" hidden="1">{"Presentation",#N/A,FALSE,"Feb96 - ALL"}</definedName>
    <definedName name="______LL1">#REF!</definedName>
    <definedName name="______MM1">#REF!</definedName>
    <definedName name="______MMT6" hidden="1">{"REVISED",#N/A,FALSE,"Sheet1"}</definedName>
    <definedName name="______MZ1">#REF!</definedName>
    <definedName name="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PM2">#REF!</definedName>
    <definedName name="______po1" hidden="1">{"Presentation",#N/A,FALSE,"Feb96 - ALL"}</definedName>
    <definedName name="______Q1" hidden="1">{"avrev",#N/A,FALSE,"AVREV";"rates",#N/A,FALSE,"AVREV"}</definedName>
    <definedName name="______SCB1">#REF!</definedName>
    <definedName name="______SCB2">#REF!</definedName>
    <definedName name="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TCD1">#REF!</definedName>
    <definedName name="______TCD2">#REF!</definedName>
    <definedName name="______TCD3">#REF!</definedName>
    <definedName name="______TCD4">#REF!</definedName>
    <definedName name="______TCD5">#REF!</definedName>
    <definedName name="______TCD6">#REF!</definedName>
    <definedName name="______TCD7">#REF!</definedName>
    <definedName name="______TCD8">#REF!</definedName>
    <definedName name="______TCD9">#REF!</definedName>
    <definedName name="______Us1">#REF!</definedName>
    <definedName name="______Us2">#REF!</definedName>
    <definedName name="______ut1" hidden="1">{"rev",#N/A,FALSE,"ppepsum";"vcost",#N/A,FALSE,"ppepsum";"ecprof",#N/A,FALSE,"ppepsum"}</definedName>
    <definedName name="______V5" hidden="1">{"avrev",#N/A,FALSE,"AVREV";"rates",#N/A,FALSE,"AVREV"}</definedName>
    <definedName name="__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c1" hidden="1">{#N/A,#N/A,FALSE,"Profit Status";#N/A,#N/A,FALSE,"Invest";#N/A,#N/A,FALSE,"Revenue";#N/A,#N/A,FALSE,"Variable Cost";#N/A,#N/A,FALSE,"Options &amp; Series"}</definedName>
    <definedName name="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wrn1" hidden="1">{#N/A,#N/A,TRUE,"Frame&amp;Body-All";#N/A,#N/A,TRUE,"Powrplant Mnts-5.4l_4.6l";#N/A,#N/A,TRUE,"Powerplant-5.4l_4.6l";#N/A,#N/A,TRUE,"Exhaust-5.4l_4.6l";#N/A,#N/A,TRUE,"Induction-5.4l"}</definedName>
    <definedName name="______wrn2" hidden="1">{"pep204a",#N/A,FALSE,"tpepsum4a";"pep205a",#N/A,FALSE,"tpepsum4a";"wpep204a",#N/A,FALSE,"tpepsum4a";"wpep205a",#N/A,FALSE,"tpepsum4a"}</definedName>
    <definedName name="______WRN4" hidden="1">{"salaried",#N/A,FALSE,"VLD View (2)"}</definedName>
    <definedName name="______XS1" hidden="1">{#N/A,#N/A,FALSE,"Title - E";#N/A,#N/A,FALSE,"Insert";#N/A,#N/A,FALSE,"Rpt-98-E PG_1";#N/A,#N/A,FALSE,"Rpt-98-E PG_2f";#N/A,#N/A,FALSE,"Rpt-98-E PG_2";#N/A,#N/A,FALSE,"Insert";#N/A,#N/A,FALSE,"Rpt-98-E PG_3 "}</definedName>
    <definedName name="______xx1" hidden="1">{#N/A,#N/A,FALSE,"Title - E";#N/A,#N/A,FALSE,"Insert";#N/A,#N/A,FALSE,"Rpt-98-E PG_1";#N/A,#N/A,FALSE,"Rpt-98-E PG_2f";#N/A,#N/A,FALSE,"Rpt-98-E PG_2";#N/A,#N/A,FALSE,"Insert";#N/A,#N/A,FALSE,"Rpt-98-E PG_3 "}</definedName>
    <definedName name="______xx6666">#REF!</definedName>
    <definedName name="______ZA1">#REF!</definedName>
    <definedName name="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zz9999">#REF!</definedName>
    <definedName name="_____0">#REF!</definedName>
    <definedName name="_____21">#REF!</definedName>
    <definedName name="_____A4" hidden="1">{#N/A,#N/A,FALSE,"India - 3f";#N/A,#N/A,FALSE,"India - 3";#N/A,#N/A,FALSE,"India - 4f";#N/A,#N/A,FALSE,"India - 4";#N/A,#N/A,FALSE,"Retail Spider"}</definedName>
    <definedName name="_____A99999">#REF!</definedName>
    <definedName name="_____ab2" hidden="1">{#N/A,#N/A,FALSE,"Cover";#N/A,#N/A,FALSE,"Profits";#N/A,#N/A,FALSE,"ABS";#N/A,#N/A,FALSE,"TFLE Detail";#N/A,#N/A,FALSE,"TFLE Walk";#N/A,#N/A,FALSE,"Variable Cost";#N/A,#N/A,FALSE,"V.C. Walk"}</definedName>
    <definedName name="_____ab3" hidden="1">{#N/A,#N/A,FALSE,"Profit Status";#N/A,#N/A,FALSE,"Invest";#N/A,#N/A,FALSE,"Revenue";#N/A,#N/A,FALSE,"Variable Cost";#N/A,#N/A,FALSE,"Options &amp; Series"}</definedName>
    <definedName name="_____App2" hidden="1">{#N/A,#N/A,FALSE,"Cover Page";#N/A,#N/A,FALSE,"Facing Page";#N/A,#N/A,FALSE,"Main Page";#N/A,#N/A,FALSE,"Risk-Adjusted";#N/A,#N/A,FALSE,"Profit Improvement"}</definedName>
    <definedName name="_____APS2003" hidden="1">{#N/A,#N/A,FALSE,"expense";#N/A,#N/A,FALSE,"heads"}</definedName>
    <definedName name="____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2" hidden="1">{"Fiesta Facer Page",#N/A,FALSE,"Q_C_S";"Fiesta Main Page",#N/A,FALSE,"V_L";"Fiesta 95BP Struct",#N/A,FALSE,"StructBP";"Fiesta Post 95BP Struct",#N/A,FALSE,"AdjStructBP"}</definedName>
    <definedName name="_____arm13" hidden="1">{"Presentation",#N/A,FALSE,"Feb96 - ALL"}</definedName>
    <definedName name="_____arm14" hidden="1">{"Presentation",#N/A,FALSE,"Feb96 - ALL"}</definedName>
    <definedName name="_____arm15" hidden="1">{"Presentation",#N/A,FALSE,"Feb96 - ALL"}</definedName>
    <definedName name="____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8" hidden="1">{"Presentation",#N/A,FALSE,"Feb96 - ALL"}</definedName>
    <definedName name="_____arm19" hidden="1">{"Fiesta Facer Page",#N/A,FALSE,"Q_C_S";"Fiesta Main Page",#N/A,FALSE,"V_L";"Fiesta 95BP Struct",#N/A,FALSE,"StructBP";"Fiesta Post 95BP Struct",#N/A,FALSE,"AdjStructBP"}</definedName>
    <definedName name="_____arm20" hidden="1">{"Fiesta Facer Page",#N/A,FALSE,"Q_C_S";"Fiesta Main Page",#N/A,FALSE,"V_L";"Fiesta 95BP Struct",#N/A,FALSE,"StructBP";"Fiesta Post 95BP Struct",#N/A,FALSE,"AdjStructBP"}</definedName>
    <definedName name="_____arm21" hidden="1">{"Presentation",#N/A,FALSE,"Feb96 - ALL"}</definedName>
    <definedName name="_____arm22" hidden="1">{"Presentation",#N/A,FALSE,"Feb96 - ALL"}</definedName>
    <definedName name="____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5" hidden="1">{"Fiesta Facer Page",#N/A,FALSE,"Q_C_S";"Fiesta Main Page",#N/A,FALSE,"V_L";"Fiesta 95BP Struct",#N/A,FALSE,"StructBP";"Fiesta Post 95BP Struct",#N/A,FALSE,"AdjStructBP"}</definedName>
    <definedName name="_____arm26" hidden="1">{"Fiesta Facer Page",#N/A,FALSE,"Q_C_S";"Fiesta Main Page",#N/A,FALSE,"V_L";"Fiesta 95BP Struct",#N/A,FALSE,"StructBP";"Fiesta Post 95BP Struct",#N/A,FALSE,"AdjStructBP"}</definedName>
    <definedName name="_____arm27" hidden="1">{"Presentation",#N/A,FALSE,"Feb96 - ALL"}</definedName>
    <definedName name="_____arm28" hidden="1">{"Presentation",#N/A,FALSE,"Feb96 - ALL"}</definedName>
    <definedName name="____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__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4" hidden="1">{"Fiesta Facer Page",#N/A,FALSE,"Q_C_S";"Fiesta Main Page",#N/A,FALSE,"V_L";"Fiesta 95BP Struct",#N/A,FALSE,"StructBP";"Fiesta Post 95BP Struct",#N/A,FALSE,"AdjStructBP"}</definedName>
    <definedName name="____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8" hidden="1">{"Presentation",#N/A,FALSE,"Feb96 - ALL"}</definedName>
    <definedName name="_____arm9" hidden="1">{"Presentation",#N/A,FALSE,"Feb96 - ALL"}</definedName>
    <definedName name="_____ba1" hidden="1">{"Fiesta Facer Page",#N/A,FALSE,"Q_C_S";"Fiesta Main Page",#N/A,FALSE,"V_L";"Fiesta 95BP Struct",#N/A,FALSE,"StructBP";"Fiesta Post 95BP Struct",#N/A,FALSE,"AdjStructBP"}</definedName>
    <definedName name="_____BV226" hidden="1">{#N/A,#N/A,FALSE,"TR_OUT1"}</definedName>
    <definedName name="_____d2" hidden="1">{#N/A,#N/A,FALSE,"UW152PPL"}</definedName>
    <definedName name="_____D258" hidden="1">{"Presentation",#N/A,FALSE,"Feb96 - ALL"}</definedName>
    <definedName name="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EC20" hidden="1">{#N/A,#N/A,FALSE,"Cover Page";#N/A,#N/A,FALSE,"Facing Page";#N/A,#N/A,FALSE,"Main Page";#N/A,#N/A,FALSE,"Risk-Adjusted";#N/A,#N/A,FALSE,"Profit Improvement"}</definedName>
    <definedName name="_____DEL1" hidden="1">{"Fiesta Facer Page",#N/A,FALSE,"Q_C_S";"Fiesta Main Page",#N/A,FALSE,"V_L";"Fiesta 95BP Struct",#N/A,FALSE,"StructBP";"Fiesta Post 95BP Struct",#N/A,FALSE,"AdjStructBP"}</definedName>
    <definedName name="_____DEL2" hidden="1">{#N/A,#N/A,FALSE,"expense";#N/A,#N/A,FALSE,"heads"}</definedName>
    <definedName name="_____DEL3" hidden="1">{#N/A,#N/A,FALSE,"SumMonth"}</definedName>
    <definedName name="_____DEL4" hidden="1">{#N/A,#N/A,FALSE,"SumMonth";#N/A,#N/A,FALSE,"SumMonth"}</definedName>
    <definedName name="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dkk1">#REF!</definedName>
    <definedName name="_____dkk2">#REF!</definedName>
    <definedName name="_____em1">#REF!</definedName>
    <definedName name="_____exp10">#REF!</definedName>
    <definedName name="_____exp11">#REF!</definedName>
    <definedName name="_____exp12">#REF!</definedName>
    <definedName name="_____EXP22">#REF!</definedName>
    <definedName name="_____exp5">#REF!</definedName>
    <definedName name="_____exp7">#REF!</definedName>
    <definedName name="_____exp8">#REF!</definedName>
    <definedName name="_____exp9">#REF!</definedName>
    <definedName name="_____fe1">#N/A</definedName>
    <definedName name="_____gph3" hidden="1">{"salaried",#N/A,FALSE,"VLD View (2)"}</definedName>
    <definedName name="_____gph4" hidden="1">{"rev",#N/A,FALSE,"ppepsum";"vcost",#N/A,FALSE,"ppepsum";"ecprof",#N/A,FALSE,"ppepsum"}</definedName>
    <definedName name="_____gph5" hidden="1">{"rates",#N/A,FALSE,"tavg4a";"rev",#N/A,FALSE,"tavg4a"}</definedName>
    <definedName name="_____gph6" hidden="1">{"pep204a",#N/A,FALSE,"tpepsum4a";"pep205a",#N/A,FALSE,"tpepsum4a";"wpep204a",#N/A,FALSE,"tpepsum4a";"wpep205a",#N/A,FALSE,"tpepsum4a"}</definedName>
    <definedName name="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hg1">#N/A</definedName>
    <definedName name="_____IZ1">#REF!</definedName>
    <definedName name="_____jij1" hidden="1">{"Fiesta Facer Page",#N/A,FALSE,"Q_C_S";"Fiesta Main Page",#N/A,FALSE,"V_L";"Fiesta 95BP Struct",#N/A,FALSE,"StructBP";"Fiesta Post 95BP Struct",#N/A,FALSE,"AdjStructBP"}</definedName>
    <definedName name="_____JJ1">#REF!</definedName>
    <definedName name="_____joe1" hidden="1">{#N/A,#N/A,FALSE,"Cover Page";#N/A,#N/A,FALSE,"Facing Page";#N/A,#N/A,FALSE,"Main Page";#N/A,#N/A,FALSE,"Risk-Adjusted";#N/A,#N/A,FALSE,"Profit Improvement"}</definedName>
    <definedName name="_____kp1" hidden="1">{"pep204a",#N/A,FALSE,"tpepsum4a";"pep205a",#N/A,FALSE,"tpepsum4a";"wpep204a",#N/A,FALSE,"tpepsum4a";"wpep205a",#N/A,FALSE,"tpepsum4a"}</definedName>
    <definedName name="_____lit1">#REF!</definedName>
    <definedName name="_____lit2">#REF!</definedName>
    <definedName name="_____lk1" hidden="1">{"Presentation",#N/A,FALSE,"Feb96 - ALL"}</definedName>
    <definedName name="_____LL1">#REF!</definedName>
    <definedName name="_____MM1">#REF!</definedName>
    <definedName name="_____MZ1">#REF!</definedName>
    <definedName name="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PM2">#REF!</definedName>
    <definedName name="_____po1" hidden="1">{"Presentation",#N/A,FALSE,"Feb96 - ALL"}</definedName>
    <definedName name="_____PTc4" hidden="1">{"'Verr-enseig-ex'!$M$22:$M$23"}</definedName>
    <definedName name="_____Q1" hidden="1">{"avrev",#N/A,FALSE,"AVREV";"rates",#N/A,FALSE,"AVREV"}</definedName>
    <definedName name="_____s2" hidden="1">{#N/A,#N/A,FALSE,"Assumptions";#N/A,#N/A,FALSE,"Volumes";#N/A,#N/A,FALSE,"Pricing";#N/A,#N/A,FALSE,"Variable Cost";#N/A,#N/A,FALSE,"Investment";#N/A,#N/A,FALSE,"Profitability";#N/A,#N/A,FALSE,"Business Comparison"}</definedName>
    <definedName name="_____SCB1">#REF!</definedName>
    <definedName name="_____SCB2">#REF!</definedName>
    <definedName name="_____sdg1" hidden="1">{#N/A,#N/A,FALSE,"Assumptions";#N/A,#N/A,FALSE,"Volumes";#N/A,#N/A,FALSE,"Pricing";#N/A,#N/A,FALSE,"Variable Cost";#N/A,#N/A,FALSE,"Investment";#N/A,#N/A,FALSE,"Profitability";#N/A,#N/A,FALSE,"Business Comparison"}</definedName>
    <definedName name="_____T1" hidden="1">{#N/A,#N/A,TRUE,"Engine";#N/A,#N/A,TRUE,"Trans 5R55N";#N/A,#N/A,TRUE,"Manual Trans";#N/A,#N/A,TRUE,"DS and Axle";#N/A,#N/A,TRUE,"PTSSE";#N/A,#N/A,TRUE,"Summary"}</definedName>
    <definedName name="_____T2" hidden="1">{#N/A,#N/A,TRUE,"Engine";#N/A,#N/A,TRUE,"Trans 5R55N";#N/A,#N/A,TRUE,"Manual Trans";#N/A,#N/A,TRUE,"DS and Axle";#N/A,#N/A,TRUE,"PTSSE";#N/A,#N/A,TRUE,"Summary"}</definedName>
    <definedName name="_____TCD1">#REF!</definedName>
    <definedName name="_____TCD2">#REF!</definedName>
    <definedName name="_____TCD3">#REF!</definedName>
    <definedName name="_____TCD4">#REF!</definedName>
    <definedName name="_____TCD5">#REF!</definedName>
    <definedName name="_____TCD6">#REF!</definedName>
    <definedName name="_____TCD7">#REF!</definedName>
    <definedName name="_____TCD8">#REF!</definedName>
    <definedName name="_____TCD9">#REF!</definedName>
    <definedName name="_____Us1">#REF!</definedName>
    <definedName name="_____Us2">#REF!</definedName>
    <definedName name="_____ut1" hidden="1">{"rev",#N/A,FALSE,"ppepsum";"vcost",#N/A,FALSE,"ppepsum";"ecprof",#N/A,FALSE,"ppepsum"}</definedName>
    <definedName name="_____V5" hidden="1">{"avrev",#N/A,FALSE,"AVREV";"rates",#N/A,FALSE,"AVREV"}</definedName>
    <definedName name="_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c1" hidden="1">{#N/A,#N/A,FALSE,"Profit Status";#N/A,#N/A,FALSE,"Invest";#N/A,#N/A,FALSE,"Revenue";#N/A,#N/A,FALSE,"Variable Cost";#N/A,#N/A,FALSE,"Options &amp; Series"}</definedName>
    <definedName name="_____vx1" hidden="1">{#N/A,#N/A,FALSE,"Assumptions";#N/A,#N/A,FALSE,"Volumes";#N/A,#N/A,FALSE,"Pricing";#N/A,#N/A,FALSE,"Variable Cost";#N/A,#N/A,FALSE,"Investment";#N/A,#N/A,FALSE,"Profitability";#N/A,#N/A,FALSE,"Business Comparison"}</definedName>
    <definedName name="_____wrn1" hidden="1">{#N/A,#N/A,TRUE,"Frame&amp;Body-All";#N/A,#N/A,TRUE,"Powrplant Mnts-5.4l_4.6l";#N/A,#N/A,TRUE,"Powerplant-5.4l_4.6l";#N/A,#N/A,TRUE,"Exhaust-5.4l_4.6l";#N/A,#N/A,TRUE,"Induction-5.4l"}</definedName>
    <definedName name="_____wrn2" hidden="1">{"pep204a",#N/A,FALSE,"tpepsum4a";"pep205a",#N/A,FALSE,"tpepsum4a";"wpep204a",#N/A,FALSE,"tpepsum4a";"wpep205a",#N/A,FALSE,"tpepsum4a"}</definedName>
    <definedName name="_____WRN4" hidden="1">{"salaried",#N/A,FALSE,"VLD View (2)"}</definedName>
    <definedName name="_____XS1" hidden="1">{#N/A,#N/A,FALSE,"Title - E";#N/A,#N/A,FALSE,"Insert";#N/A,#N/A,FALSE,"Rpt-98-E PG_1";#N/A,#N/A,FALSE,"Rpt-98-E PG_2f";#N/A,#N/A,FALSE,"Rpt-98-E PG_2";#N/A,#N/A,FALSE,"Insert";#N/A,#N/A,FALSE,"Rpt-98-E PG_3 "}</definedName>
    <definedName name="_____xx1" hidden="1">{#N/A,#N/A,FALSE,"Title - E";#N/A,#N/A,FALSE,"Insert";#N/A,#N/A,FALSE,"Rpt-98-E PG_1";#N/A,#N/A,FALSE,"Rpt-98-E PG_2f";#N/A,#N/A,FALSE,"Rpt-98-E PG_2";#N/A,#N/A,FALSE,"Insert";#N/A,#N/A,FALSE,"Rpt-98-E PG_3 "}</definedName>
    <definedName name="_____xx6666">#REF!</definedName>
    <definedName name="_____ZA1">#REF!</definedName>
    <definedName name="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z9999">#REF!</definedName>
    <definedName name="____0">#REF!</definedName>
    <definedName name="____185W_Master">#REF!</definedName>
    <definedName name="____186W_Master">#REF!</definedName>
    <definedName name="____21">#REF!</definedName>
    <definedName name="____A99999">#REF!</definedName>
    <definedName name="____ab2" hidden="1">{#N/A,#N/A,FALSE,"Cover";#N/A,#N/A,FALSE,"Profits";#N/A,#N/A,FALSE,"ABS";#N/A,#N/A,FALSE,"TFLE Detail";#N/A,#N/A,FALSE,"TFLE Walk";#N/A,#N/A,FALSE,"Variable Cost";#N/A,#N/A,FALSE,"V.C. Walk"}</definedName>
    <definedName name="____ab3" hidden="1">{#N/A,#N/A,FALSE,"Profit Status";#N/A,#N/A,FALSE,"Invest";#N/A,#N/A,FALSE,"Revenue";#N/A,#N/A,FALSE,"Variable Cost";#N/A,#N/A,FALSE,"Options &amp; Series"}</definedName>
    <definedName name="____Apr04" hidden="1">{"current deposit",#N/A,FALSE,"Sheet1"}</definedName>
    <definedName name="____Apr05" hidden="1">{#N/A,#N/A,FALSE,"Sheet1";"current deposit",#N/A,FALSE,"Sheet1";"current deposit",#N/A,FALSE,"Sheet1"}</definedName>
    <definedName name="____APS2003" hidden="1">{#N/A,#N/A,FALSE,"expense";#N/A,#N/A,FALSE,"heads"}</definedName>
    <definedName name="____Att1" hidden="1">{#VALUE!,#N/A,FALSE,0;#N/A,#N/A,FALSE,0;#N/A,#N/A,FALSE,0;#N/A,#N/A,FALSE,0}</definedName>
    <definedName name="____Aug04" hidden="1">{#N/A,#N/A,FALSE,"Sheet1";"current deposit",#N/A,FALSE,"Sheet1";"current deposit",#N/A,FALSE,"Sheet1"}</definedName>
    <definedName name="____Aug05" hidden="1">{"current deposit",#N/A,FALSE,"Sheet1"}</definedName>
    <definedName name="____b5678" hidden="1">{"Presentation",#N/A,FALSE,"Feb96 - ALL"}</definedName>
    <definedName name="____ba1" hidden="1">{"Fiesta Facer Page",#N/A,FALSE,"Q_C_S";"Fiesta Main Page",#N/A,FALSE,"V_L";"Fiesta 95BP Struct",#N/A,FALSE,"StructBP";"Fiesta Post 95BP Struct",#N/A,FALSE,"AdjStructBP"}</definedName>
    <definedName name="____bb2" hidden="1">{"Fiesta Facer Page",#N/A,FALSE,"Q_C_S";"Fiesta Main Page",#N/A,FALSE,"V_L";"Fiesta 95BP Struct",#N/A,FALSE,"StructBP";"Fiesta Post 95BP Struct",#N/A,FALSE,"AdjStructBP"}</definedName>
    <definedName name="____be01" hidden="1">{"current deposit",#N/A,FALSE,"Sheet1"}</definedName>
    <definedName name="____bjw1" hidden="1">{#N/A,#N/A,FALSE,"Profit Status";#N/A,#N/A,FALSE,"Invest";#N/A,#N/A,FALSE,"Revenue";#N/A,#N/A,FALSE,"Variable Cost";#N/A,#N/A,FALSE,"Options &amp; Series"}</definedName>
    <definedName name="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BV226" hidden="1">{#N/A,#N/A,FALSE,"TR_OUT1"}</definedName>
    <definedName name="____cc1" hidden="1">{"Fiesta Facer Page",#N/A,FALSE,"Q_C_S";"Fiesta Main Page",#N/A,FALSE,"V_L";"Fiesta 95BP Struct",#N/A,FALSE,"StructBP";"Fiesta Post 95BP Struct",#N/A,FALSE,"AdjStructBP"}</definedName>
    <definedName name="____cz1" hidden="1">{"Fiesta Facer Page",#N/A,FALSE,"Q_C_S";"Fiesta Main Page",#N/A,FALSE,"V_L";"Fiesta 95BP Struct",#N/A,FALSE,"StructBP";"Fiesta Post 95BP Struct",#N/A,FALSE,"AdjStructBP"}</definedName>
    <definedName name="____d2" hidden="1">{#N/A,#N/A,FALSE,"UW152PPL"}</definedName>
    <definedName name="____D258" hidden="1">{"Presentation",#N/A,FALSE,"Feb96 - ALL"}</definedName>
    <definedName name="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ec04" hidden="1">{"current deposit",#N/A,FALSE,"Sheet1"}</definedName>
    <definedName name="____Dec05" hidden="1">{"current deposit",#N/A,FALSE,"Sheet1"}</definedName>
    <definedName name="____DEC06" hidden="1">{"current deposit",#N/A,FALSE,"Sheet1"}</definedName>
    <definedName name="____DEC20" hidden="1">{#N/A,#N/A,FALSE,"Cover Page";#N/A,#N/A,FALSE,"Facing Page";#N/A,#N/A,FALSE,"Main Page";#N/A,#N/A,FALSE,"Risk-Adjusted";#N/A,#N/A,FALSE,"Profit Improvement"}</definedName>
    <definedName name="____dkk1">#REF!</definedName>
    <definedName name="____dkk2">#REF!</definedName>
    <definedName name="____e4" hidden="1">{"REVISED",#N/A,FALSE,"Sheet1"}</definedName>
    <definedName name="____em1">#REF!</definedName>
    <definedName name="____exp10">#REF!</definedName>
    <definedName name="____exp11">#REF!</definedName>
    <definedName name="____exp12">#REF!</definedName>
    <definedName name="____EXP22">#REF!</definedName>
    <definedName name="____exp5">#REF!</definedName>
    <definedName name="____exp7">#REF!</definedName>
    <definedName name="____exp8">#REF!</definedName>
    <definedName name="____exp9">#REF!</definedName>
    <definedName name="____fe1">#N/A</definedName>
    <definedName name="____Feb04" hidden="1">{#N/A,#N/A,FALSE,"Sheet1";"current deposit",#N/A,FALSE,"Sheet1";"current deposit",#N/A,FALSE,"Sheet1"}</definedName>
    <definedName name="____Feb05" hidden="1">{#N/A,#N/A,FALSE,"Sheet1";"current deposit",#N/A,FALSE,"Sheet1";"current deposit",#N/A,FALSE,"Sheet1"}</definedName>
    <definedName name="____g5" hidden="1">{#N/A,#N/A,FALSE,"UW152PPL"}</definedName>
    <definedName name="_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g7" hidden="1">{#N/A,#N/A,FALSE,"Cover";#N/A,#N/A,FALSE,"Profits";#N/A,#N/A,FALSE,"ABS";#N/A,#N/A,FALSE,"TFLE Detail";#N/A,#N/A,FALSE,"TFLE Walk";#N/A,#N/A,FALSE,"Variable Cost";#N/A,#N/A,FALSE,"V.C. Walk"}</definedName>
    <definedName name="____gph3" hidden="1">{"salaried",#N/A,FALSE,"VLD View (2)"}</definedName>
    <definedName name="____gph4" hidden="1">{"rev",#N/A,FALSE,"ppepsum";"vcost",#N/A,FALSE,"ppepsum";"ecprof",#N/A,FALSE,"ppepsum"}</definedName>
    <definedName name="____gph5" hidden="1">{"rates",#N/A,FALSE,"tavg4a";"rev",#N/A,FALSE,"tavg4a"}</definedName>
    <definedName name="____gph6" hidden="1">{"pep204a",#N/A,FALSE,"tpepsum4a";"pep205a",#N/A,FALSE,"tpepsum4a";"wpep204a",#N/A,FALSE,"tpepsum4a";"wpep205a",#N/A,FALSE,"tpepsum4a"}</definedName>
    <definedName name="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H300" hidden="1">{"Presentation",#N/A,FALSE,"Feb96 - ALL"}</definedName>
    <definedName name="_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h4" hidden="1">{"REVISED",#N/A,FALSE,"Sheet1"}</definedName>
    <definedName name="____hg1">#N/A</definedName>
    <definedName name="____IZ1">#REF!</definedName>
    <definedName name="____j7" hidden="1">{#N/A,#N/A,FALSE,"Cover";#N/A,#N/A,FALSE,"Profits";#N/A,#N/A,FALSE,"ABS";#N/A,#N/A,FALSE,"TFLE Detail";#N/A,#N/A,FALSE,"TFLE Walk";#N/A,#N/A,FALSE,"Variable Cost";#N/A,#N/A,FALSE,"V.C. Walk"}</definedName>
    <definedName name="____Jan04" hidden="1">{#N/A,#N/A,FALSE,"Sheet1";"current deposit",#N/A,FALSE,"Sheet1";"current deposit",#N/A,FALSE,"Sheet1"}</definedName>
    <definedName name="____jij1" hidden="1">{"Fiesta Facer Page",#N/A,FALSE,"Q_C_S";"Fiesta Main Page",#N/A,FALSE,"V_L";"Fiesta 95BP Struct",#N/A,FALSE,"StructBP";"Fiesta Post 95BP Struct",#N/A,FALSE,"AdjStructBP"}</definedName>
    <definedName name="____JJ1">#REF!</definedName>
    <definedName name="____Jul04" hidden="1">{"current deposit",#N/A,FALSE,"Sheet1"}</definedName>
    <definedName name="____Jul05" hidden="1">{#N/A,#N/A,FALSE,"Sheet1";"current deposit",#N/A,FALSE,"Sheet1";"current deposit",#N/A,FALSE,"Sheet1"}</definedName>
    <definedName name="____Jun04" hidden="1">{#N/A,#N/A,FALSE,"Sheet1";"current deposit",#N/A,FALSE,"Sheet1";"current deposit",#N/A,FALSE,"Sheet1"}</definedName>
    <definedName name="____k8" hidden="1">{"REVISED",#N/A,FALSE,"Sheet1"}</definedName>
    <definedName name="____l9" hidden="1">{"REVISED",#N/A,FALSE,"Sheet1"}</definedName>
    <definedName name="____lit1">#REF!</definedName>
    <definedName name="____lit2">#REF!</definedName>
    <definedName name="____lk1" hidden="1">{"Presentation",#N/A,FALSE,"Feb96 - ALL"}</definedName>
    <definedName name="____LL1">#REF!</definedName>
    <definedName name="____Mar04" hidden="1">{#N/A,#N/A,FALSE,"Sheet1";"current deposit",#N/A,FALSE,"Sheet1";"current deposit",#N/A,FALSE,"Sheet1"}</definedName>
    <definedName name="____Mar05" hidden="1">{#N/A,#N/A,FALSE,"Sheet1";"current deposit",#N/A,FALSE,"Sheet1";"current deposit",#N/A,FALSE,"Sheet1"}</definedName>
    <definedName name="____May04" hidden="1">{#N/A,#N/A,FALSE,"Sheet1";"current deposit",#N/A,FALSE,"Sheet1";"current deposit",#N/A,FALSE,"Sheet1"}</definedName>
    <definedName name="____may05" hidden="1">{#N/A,#N/A,FALSE,"Sheet1";"current deposit",#N/A,FALSE,"Sheet1";"current deposit",#N/A,FALSE,"Sheet1"}</definedName>
    <definedName name="____MM1">#REF!</definedName>
    <definedName name="____MMT6" hidden="1">{"REVISED",#N/A,FALSE,"Sheet1"}</definedName>
    <definedName name="____MZ1">#REF!</definedName>
    <definedName name="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ov04" hidden="1">{#N/A,#N/A,FALSE,"Sheet1";"current deposit",#N/A,FALSE,"Sheet1";"current deposit",#N/A,FALSE,"Sheet1"}</definedName>
    <definedName name="____Nov041" hidden="1">{#N/A,#N/A,FALSE,"Sheet1";"current deposit",#N/A,FALSE,"Sheet1";"current deposit",#N/A,FALSE,"Sheet1"}</definedName>
    <definedName name="____nOV05" hidden="1">{"current deposit",#N/A,FALSE,"Sheet1"}</definedName>
    <definedName name="____NOV07" hidden="1">{#N/A,#N/A,FALSE,"Sheet1";"current deposit",#N/A,FALSE,"Sheet1";"current deposit",#N/A,FALSE,"Sheet1"}</definedName>
    <definedName name="____Oct04" hidden="1">{#N/A,#N/A,FALSE,"Sheet1";"current deposit",#N/A,FALSE,"Sheet1";"current deposit",#N/A,FALSE,"Sheet1"}</definedName>
    <definedName name="____Oct05" hidden="1">{"current deposit",#N/A,FALSE,"Sheet1"}</definedName>
    <definedName name="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PM2">#REF!</definedName>
    <definedName name="____po1" hidden="1">{"Presentation",#N/A,FALSE,"Feb96 - ALL"}</definedName>
    <definedName name="____PTc4" hidden="1">{"'Verr-enseig-ex'!$M$22:$M$23"}</definedName>
    <definedName name="____Q1" hidden="1">{"avrev",#N/A,FALSE,"AVREV";"rates",#N/A,FALSE,"AVREV"}</definedName>
    <definedName name="____SCB1">#REF!</definedName>
    <definedName name="____SCB2">#REF!</definedName>
    <definedName name="____sdg1" hidden="1">{#N/A,#N/A,FALSE,"Assumptions";#N/A,#N/A,FALSE,"Volumes";#N/A,#N/A,FALSE,"Pricing";#N/A,#N/A,FALSE,"Variable Cost";#N/A,#N/A,FALSE,"Investment";#N/A,#N/A,FALSE,"Profitability";#N/A,#N/A,FALSE,"Business Comparison"}</definedName>
    <definedName name="____Sep04" hidden="1">{#N/A,#N/A,FALSE,"Sheet1";"current deposit",#N/A,FALSE,"Sheet1";"current deposit",#N/A,FALSE,"Sheet1"}</definedName>
    <definedName name="____Sep05" hidden="1">{"current deposit",#N/A,FALSE,"Sheet1"}</definedName>
    <definedName name="____spk1" hidden="1">{#N/A,#N/A,FALSE,"Cover";#N/A,#N/A,FALSE,"Profits";#N/A,#N/A,FALSE,"ABS";#N/A,#N/A,FALSE,"TFLE Detail";#N/A,#N/A,FALSE,"TFLE Walk";#N/A,#N/A,FALSE,"Variable Cost";#N/A,#N/A,FALSE,"V.C. Walk"}</definedName>
    <definedName name="____spk2" hidden="1">{#N/A,#N/A,FALSE,"Profit Status";#N/A,#N/A,FALSE,"Invest";#N/A,#N/A,FALSE,"Revenue";#N/A,#N/A,FALSE,"Variable Cost";#N/A,#N/A,FALSE,"Options &amp; Series"}</definedName>
    <definedName name="_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TCD1">#REF!</definedName>
    <definedName name="____TCD2">#REF!</definedName>
    <definedName name="____TCD3">#REF!</definedName>
    <definedName name="____TCD4">#REF!</definedName>
    <definedName name="____TCD5">#REF!</definedName>
    <definedName name="____TCD6">#REF!</definedName>
    <definedName name="____TCD7">#REF!</definedName>
    <definedName name="____TCD8">#REF!</definedName>
    <definedName name="____TCD9">#REF!</definedName>
    <definedName name="____Us1">#REF!</definedName>
    <definedName name="____Us2">#REF!</definedName>
    <definedName name="____ut1" hidden="1">{"rev",#N/A,FALSE,"ppepsum";"vcost",#N/A,FALSE,"ppepsum";"ecprof",#N/A,FALSE,"ppepsum"}</definedName>
    <definedName name="____V5" hidden="1">{"avrev",#N/A,FALSE,"AVREV";"rates",#N/A,FALSE,"AVREV"}</definedName>
    <definedName name="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c1" hidden="1">{#N/A,#N/A,FALSE,"Profit Status";#N/A,#N/A,FALSE,"Invest";#N/A,#N/A,FALSE,"Revenue";#N/A,#N/A,FALSE,"Variable Cost";#N/A,#N/A,FALSE,"Options &amp; Series"}</definedName>
    <definedName name="____vx1" hidden="1">{#N/A,#N/A,FALSE,"Assumptions";#N/A,#N/A,FALSE,"Volumes";#N/A,#N/A,FALSE,"Pricing";#N/A,#N/A,FALSE,"Variable Cost";#N/A,#N/A,FALSE,"Investment";#N/A,#N/A,FALSE,"Profitability";#N/A,#N/A,FALSE,"Business Comparison"}</definedName>
    <definedName name="____wrn1" hidden="1">{#N/A,#N/A,TRUE,"Frame&amp;Body-All";#N/A,#N/A,TRUE,"Powrplant Mnts-5.4l_4.6l";#N/A,#N/A,TRUE,"Powerplant-5.4l_4.6l";#N/A,#N/A,TRUE,"Exhaust-5.4l_4.6l";#N/A,#N/A,TRUE,"Induction-5.4l"}</definedName>
    <definedName name="____wrn2" hidden="1">{"pep204a",#N/A,FALSE,"tpepsum4a";"pep205a",#N/A,FALSE,"tpepsum4a";"wpep204a",#N/A,FALSE,"tpepsum4a";"wpep205a",#N/A,FALSE,"tpepsum4a"}</definedName>
    <definedName name="____WRN4" hidden="1">{"salaried",#N/A,FALSE,"VLD View (2)"}</definedName>
    <definedName name="____XS1" hidden="1">{#N/A,#N/A,FALSE,"Title - E";#N/A,#N/A,FALSE,"Insert";#N/A,#N/A,FALSE,"Rpt-98-E PG_1";#N/A,#N/A,FALSE,"Rpt-98-E PG_2f";#N/A,#N/A,FALSE,"Rpt-98-E PG_2";#N/A,#N/A,FALSE,"Insert";#N/A,#N/A,FALSE,"Rpt-98-E PG_3 "}</definedName>
    <definedName name="____xx1" hidden="1">{#N/A,#N/A,FALSE,"Title - E";#N/A,#N/A,FALSE,"Insert";#N/A,#N/A,FALSE,"Rpt-98-E PG_1";#N/A,#N/A,FALSE,"Rpt-98-E PG_2f";#N/A,#N/A,FALSE,"Rpt-98-E PG_2";#N/A,#N/A,FALSE,"Insert";#N/A,#N/A,FALSE,"Rpt-98-E PG_3 "}</definedName>
    <definedName name="____xx6666">#REF!</definedName>
    <definedName name="____ZA1">#REF!</definedName>
    <definedName name="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z9999">#REF!</definedName>
    <definedName name="___0">#REF!</definedName>
    <definedName name="___185W_Master">#REF!</definedName>
    <definedName name="___186W_Master">#REF!</definedName>
    <definedName name="___21">#REF!</definedName>
    <definedName name="___A99999">#REF!</definedName>
    <definedName name="___ab2" hidden="1">{#N/A,#N/A,FALSE,"Cover";#N/A,#N/A,FALSE,"Profits";#N/A,#N/A,FALSE,"ABS";#N/A,#N/A,FALSE,"TFLE Detail";#N/A,#N/A,FALSE,"TFLE Walk";#N/A,#N/A,FALSE,"Variable Cost";#N/A,#N/A,FALSE,"V.C. Walk"}</definedName>
    <definedName name="___ab3" hidden="1">{#N/A,#N/A,FALSE,"Profit Status";#N/A,#N/A,FALSE,"Invest";#N/A,#N/A,FALSE,"Revenue";#N/A,#N/A,FALSE,"Variable Cost";#N/A,#N/A,FALSE,"Options &amp; Series"}</definedName>
    <definedName name="___App2" hidden="1">{#N/A,#N/A,FALSE,"Cover Page";#N/A,#N/A,FALSE,"Facing Page";#N/A,#N/A,FALSE,"Main Page";#N/A,#N/A,FALSE,"Risk-Adjusted";#N/A,#N/A,FALSE,"Profit Improvement"}</definedName>
    <definedName name="___Apr04" hidden="1">{"current deposit",#N/A,FALSE,"Sheet1"}</definedName>
    <definedName name="___Apr05" hidden="1">{#N/A,#N/A,FALSE,"Sheet1";"current deposit",#N/A,FALSE,"Sheet1";"current deposit",#N/A,FALSE,"Sheet1"}</definedName>
    <definedName name="___APS2003" hidden="1">{#N/A,#N/A,FALSE,"expense";#N/A,#N/A,FALSE,"heads"}</definedName>
    <definedName name="___Att1" hidden="1">{#VALUE!,#N/A,FALSE,0;#N/A,#N/A,FALSE,0;#N/A,#N/A,FALSE,0;#N/A,#N/A,FALSE,0}</definedName>
    <definedName name="___Aug04" hidden="1">{#N/A,#N/A,FALSE,"Sheet1";"current deposit",#N/A,FALSE,"Sheet1";"current deposit",#N/A,FALSE,"Sheet1"}</definedName>
    <definedName name="___Aug05" hidden="1">{"current deposit",#N/A,FALSE,"Sheet1"}</definedName>
    <definedName name="___b5678" hidden="1">{"Presentation",#N/A,FALSE,"Feb96 - ALL"}</definedName>
    <definedName name="___ba1" hidden="1">{"Fiesta Facer Page",#N/A,FALSE,"Q_C_S";"Fiesta Main Page",#N/A,FALSE,"V_L";"Fiesta 95BP Struct",#N/A,FALSE,"StructBP";"Fiesta Post 95BP Struct",#N/A,FALSE,"AdjStructBP"}</definedName>
    <definedName name="___bb2" hidden="1">{"Fiesta Facer Page",#N/A,FALSE,"Q_C_S";"Fiesta Main Page",#N/A,FALSE,"V_L";"Fiesta 95BP Struct",#N/A,FALSE,"StructBP";"Fiesta Post 95BP Struct",#N/A,FALSE,"AdjStructBP"}</definedName>
    <definedName name="___be01" hidden="1">{"current deposit",#N/A,FALSE,"Sheet1"}</definedName>
    <definedName name="___bjw1" hidden="1">{#N/A,#N/A,FALSE,"Profit Status";#N/A,#N/A,FALSE,"Invest";#N/A,#N/A,FALSE,"Revenue";#N/A,#N/A,FALSE,"Variable Cost";#N/A,#N/A,FALSE,"Options &amp; Series"}</definedName>
    <definedName name="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BV226" hidden="1">{#N/A,#N/A,FALSE,"TR_OUT1"}</definedName>
    <definedName name="___cz1" hidden="1">{"Fiesta Facer Page",#N/A,FALSE,"Q_C_S";"Fiesta Main Page",#N/A,FALSE,"V_L";"Fiesta 95BP Struct",#N/A,FALSE,"StructBP";"Fiesta Post 95BP Struct",#N/A,FALSE,"AdjStructBP"}</definedName>
    <definedName name="___d2" hidden="1">{#N/A,#N/A,FALSE,"UW152PPL"}</definedName>
    <definedName name="___D258" hidden="1">{"Presentation",#N/A,FALSE,"Feb96 - ALL"}</definedName>
    <definedName name="___DAT3">#REF!</definedName>
    <definedName name="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ec04" hidden="1">{"current deposit",#N/A,FALSE,"Sheet1"}</definedName>
    <definedName name="___Dec05" hidden="1">{"current deposit",#N/A,FALSE,"Sheet1"}</definedName>
    <definedName name="___DEC06" hidden="1">{"current deposit",#N/A,FALSE,"Sheet1"}</definedName>
    <definedName name="___DEC20" hidden="1">{#N/A,#N/A,FALSE,"Cover Page";#N/A,#N/A,FALSE,"Facing Page";#N/A,#N/A,FALSE,"Main Page";#N/A,#N/A,FALSE,"Risk-Adjusted";#N/A,#N/A,FALSE,"Profit Improvement"}</definedName>
    <definedName name="___DEL1" hidden="1">{"Fiesta Facer Page",#N/A,FALSE,"Q_C_S";"Fiesta Main Page",#N/A,FALSE,"V_L";"Fiesta 95BP Struct",#N/A,FALSE,"StructBP";"Fiesta Post 95BP Struct",#N/A,FALSE,"AdjStructBP"}</definedName>
    <definedName name="___DEL2" hidden="1">{#N/A,#N/A,FALSE,"expense";#N/A,#N/A,FALSE,"heads"}</definedName>
    <definedName name="___DEL3" hidden="1">{#N/A,#N/A,FALSE,"SumMonth"}</definedName>
    <definedName name="___DEL4" hidden="1">{#N/A,#N/A,FALSE,"SumMonth";#N/A,#N/A,FALSE,"SumMonth"}</definedName>
    <definedName name="___DEL5" hidden="1">{#N/A,#N/A,FALSE,"2001 CBG";#N/A,#N/A,FALSE,"2002 CBG";#N/A,#N/A,FALSE,"2003 CBG";#N/A,#N/A,FALSE,"2004 CBG";#N/A,#N/A,FALSE,"2005 CBG";#N/A,#N/A,FALSE,"2006 CBG ";#N/A,#N/A,FALSE,"2007 CBG";#N/A,#N/A,FALSE,"2008 CBG"}</definedName>
    <definedName name="___dkk1">#REF!</definedName>
    <definedName name="___dkk2">#REF!</definedName>
    <definedName name="___e4" hidden="1">{"REVISED",#N/A,FALSE,"Sheet1"}</definedName>
    <definedName name="___em1">#REF!</definedName>
    <definedName name="___exp10">#REF!</definedName>
    <definedName name="___exp11">#REF!</definedName>
    <definedName name="___exp12">#REF!</definedName>
    <definedName name="___EXP22">#REF!</definedName>
    <definedName name="___exp5">#REF!</definedName>
    <definedName name="___exp7">#REF!</definedName>
    <definedName name="___exp8">#REF!</definedName>
    <definedName name="___exp9">#REF!</definedName>
    <definedName name="___Feb04" hidden="1">{#N/A,#N/A,FALSE,"Sheet1";"current deposit",#N/A,FALSE,"Sheet1";"current deposit",#N/A,FALSE,"Sheet1"}</definedName>
    <definedName name="___Feb05" hidden="1">{#N/A,#N/A,FALSE,"Sheet1";"current deposit",#N/A,FALSE,"Sheet1";"current deposit",#N/A,FALSE,"Sheet1"}</definedName>
    <definedName name="___fg151" hidden="1">{#N/A,#N/A,FALSE,"Profit Status";#N/A,#N/A,FALSE,"Invest";#N/A,#N/A,FALSE,"Revenue";#N/A,#N/A,FALSE,"Variable Cost";#N/A,#N/A,FALSE,"Options &amp; Series"}</definedName>
    <definedName name="___fg16" hidden="1">{#N/A,#N/A,FALSE,"Assumptions";#N/A,#N/A,FALSE,"Volumes";#N/A,#N/A,FALSE,"Pricing";#N/A,#N/A,FALSE,"Variable Cost";#N/A,#N/A,FALSE,"Investment";#N/A,#N/A,FALSE,"Profitability";#N/A,#N/A,FALSE,"Business Comparison"}</definedName>
    <definedName name="___fin1" hidden="1">{#N/A,#N/A,FALSE,"Cover";#N/A,#N/A,FALSE,"Profits";#N/A,#N/A,FALSE,"ABS";#N/A,#N/A,FALSE,"TFLE Detail";#N/A,#N/A,FALSE,"TFLE Walk";#N/A,#N/A,FALSE,"Variable Cost";#N/A,#N/A,FALSE,"V.C. Walk"}</definedName>
    <definedName name="___g5" hidden="1">{#N/A,#N/A,FALSE,"UW152PPL"}</definedName>
    <definedName name="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g7" hidden="1">{#N/A,#N/A,FALSE,"Cover";#N/A,#N/A,FALSE,"Profits";#N/A,#N/A,FALSE,"ABS";#N/A,#N/A,FALSE,"TFLE Detail";#N/A,#N/A,FALSE,"TFLE Walk";#N/A,#N/A,FALSE,"Variable Cost";#N/A,#N/A,FALSE,"V.C. Walk"}</definedName>
    <definedName name="___gph3" hidden="1">{"salaried",#N/A,FALSE,"VLD View (2)"}</definedName>
    <definedName name="___gph4" hidden="1">{"rev",#N/A,FALSE,"ppepsum";"vcost",#N/A,FALSE,"ppepsum";"ecprof",#N/A,FALSE,"ppepsum"}</definedName>
    <definedName name="___gph5" hidden="1">{"rates",#N/A,FALSE,"tavg4a";"rev",#N/A,FALSE,"tavg4a"}</definedName>
    <definedName name="___gph6" hidden="1">{"pep204a",#N/A,FALSE,"tpepsum4a";"pep205a",#N/A,FALSE,"tpepsum4a";"wpep204a",#N/A,FALSE,"tpepsum4a";"wpep205a",#N/A,FALSE,"tpepsum4a"}</definedName>
    <definedName name="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H300" hidden="1">{"Presentation",#N/A,FALSE,"Feb96 - ALL"}</definedName>
    <definedName name="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h4" hidden="1">{"REVISED",#N/A,FALSE,"Sheet1"}</definedName>
    <definedName name="___Ita1" hidden="1">{#N/A,#N/A,FALSE,"Profit Status";#N/A,#N/A,FALSE,"Invest";#N/A,#N/A,FALSE,"Revenue";#N/A,#N/A,FALSE,"Variable Cost";#N/A,#N/A,FALSE,"Options &amp; Series"}</definedName>
    <definedName name="___IZ1">#REF!</definedName>
    <definedName name="___j7" hidden="1">{#N/A,#N/A,FALSE,"Cover";#N/A,#N/A,FALSE,"Profits";#N/A,#N/A,FALSE,"ABS";#N/A,#N/A,FALSE,"TFLE Detail";#N/A,#N/A,FALSE,"TFLE Walk";#N/A,#N/A,FALSE,"Variable Cost";#N/A,#N/A,FALSE,"V.C. Walk"}</definedName>
    <definedName name="___Jan04" hidden="1">{#N/A,#N/A,FALSE,"Sheet1";"current deposit",#N/A,FALSE,"Sheet1";"current deposit",#N/A,FALSE,"Sheet1"}</definedName>
    <definedName name="___JB1" hidden="1">{"COMPARISON",#N/A,FALSE,"Sheet1"}</definedName>
    <definedName name="___jij1" hidden="1">{"Fiesta Facer Page",#N/A,FALSE,"Q_C_S";"Fiesta Main Page",#N/A,FALSE,"V_L";"Fiesta 95BP Struct",#N/A,FALSE,"StructBP";"Fiesta Post 95BP Struct",#N/A,FALSE,"AdjStructBP"}</definedName>
    <definedName name="___JJ1">#REF!</definedName>
    <definedName name="___Jul04" hidden="1">{"current deposit",#N/A,FALSE,"Sheet1"}</definedName>
    <definedName name="___Jul05" hidden="1">{#N/A,#N/A,FALSE,"Sheet1";"current deposit",#N/A,FALSE,"Sheet1";"current deposit",#N/A,FALSE,"Sheet1"}</definedName>
    <definedName name="___Jun04" hidden="1">{#N/A,#N/A,FALSE,"Sheet1";"current deposit",#N/A,FALSE,"Sheet1";"current deposit",#N/A,FALSE,"Sheet1"}</definedName>
    <definedName name="___k8" hidden="1">{"REVISED",#N/A,FALSE,"Sheet1"}</definedName>
    <definedName name="___l9" hidden="1">{"REVISED",#N/A,FALSE,"Sheet1"}</definedName>
    <definedName name="___lit1">#REF!</definedName>
    <definedName name="___lit2">#REF!</definedName>
    <definedName name="___lk1" hidden="1">{"Presentation",#N/A,FALSE,"Feb96 - ALL"}</definedName>
    <definedName name="___LL1">#REF!</definedName>
    <definedName name="___Mar04" hidden="1">{#N/A,#N/A,FALSE,"Sheet1";"current deposit",#N/A,FALSE,"Sheet1";"current deposit",#N/A,FALSE,"Sheet1"}</definedName>
    <definedName name="___Mar05" hidden="1">{#N/A,#N/A,FALSE,"Sheet1";"current deposit",#N/A,FALSE,"Sheet1";"current deposit",#N/A,FALSE,"Sheet1"}</definedName>
    <definedName name="___May04" hidden="1">{#N/A,#N/A,FALSE,"Sheet1";"current deposit",#N/A,FALSE,"Sheet1";"current deposit",#N/A,FALSE,"Sheet1"}</definedName>
    <definedName name="___may05" hidden="1">{#N/A,#N/A,FALSE,"Sheet1";"current deposit",#N/A,FALSE,"Sheet1";"current deposit",#N/A,FALSE,"Sheet1"}</definedName>
    <definedName name="___MM1">#REF!</definedName>
    <definedName name="___MMT6" hidden="1">{"REVISED",#N/A,FALSE,"Sheet1"}</definedName>
    <definedName name="___MZ1">#REF!</definedName>
    <definedName name="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ov04" hidden="1">{#N/A,#N/A,FALSE,"Sheet1";"current deposit",#N/A,FALSE,"Sheet1";"current deposit",#N/A,FALSE,"Sheet1"}</definedName>
    <definedName name="___Nov041" hidden="1">{#N/A,#N/A,FALSE,"Sheet1";"current deposit",#N/A,FALSE,"Sheet1";"current deposit",#N/A,FALSE,"Sheet1"}</definedName>
    <definedName name="___nOV05" hidden="1">{"current deposit",#N/A,FALSE,"Sheet1"}</definedName>
    <definedName name="___NOV07" hidden="1">{#N/A,#N/A,FALSE,"Sheet1";"current deposit",#N/A,FALSE,"Sheet1";"current deposit",#N/A,FALSE,"Sheet1"}</definedName>
    <definedName name="___Oct04" hidden="1">{#N/A,#N/A,FALSE,"Sheet1";"current deposit",#N/A,FALSE,"Sheet1";"current deposit",#N/A,FALSE,"Sheet1"}</definedName>
    <definedName name="___Oct05" hidden="1">{"current deposit",#N/A,FALSE,"Sheet1"}</definedName>
    <definedName name="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M2">#REF!</definedName>
    <definedName name="___po1" hidden="1">{"Presentation",#N/A,FALSE,"Feb96 - ALL"}</definedName>
    <definedName name="___Q1" hidden="1">{"avrev",#N/A,FALSE,"AVREV";"rates",#N/A,FALSE,"AVREV"}</definedName>
    <definedName name="___Ref1">#REF!</definedName>
    <definedName name="___Ref2">#REF!</definedName>
    <definedName name="___Ref3">#REF!</definedName>
    <definedName name="___s2" hidden="1">{#N/A,#N/A,FALSE,"Assumptions";#N/A,#N/A,FALSE,"Volumes";#N/A,#N/A,FALSE,"Pricing";#N/A,#N/A,FALSE,"Variable Cost";#N/A,#N/A,FALSE,"Investment";#N/A,#N/A,FALSE,"Profitability";#N/A,#N/A,FALSE,"Business Comparison"}</definedName>
    <definedName name="___SCB1">#REF!</definedName>
    <definedName name="___SCB2">#REF!</definedName>
    <definedName name="___sdg1" hidden="1">{#N/A,#N/A,FALSE,"Assumptions";#N/A,#N/A,FALSE,"Volumes";#N/A,#N/A,FALSE,"Pricing";#N/A,#N/A,FALSE,"Variable Cost";#N/A,#N/A,FALSE,"Investment";#N/A,#N/A,FALSE,"Profitability";#N/A,#N/A,FALSE,"Business Comparison"}</definedName>
    <definedName name="___Sep04" hidden="1">{#N/A,#N/A,FALSE,"Sheet1";"current deposit",#N/A,FALSE,"Sheet1";"current deposit",#N/A,FALSE,"Sheet1"}</definedName>
    <definedName name="___Sep05" hidden="1">{"current deposit",#N/A,FALSE,"Sheet1"}</definedName>
    <definedName name="___spk1" hidden="1">{#N/A,#N/A,FALSE,"Cover";#N/A,#N/A,FALSE,"Profits";#N/A,#N/A,FALSE,"ABS";#N/A,#N/A,FALSE,"TFLE Detail";#N/A,#N/A,FALSE,"TFLE Walk";#N/A,#N/A,FALSE,"Variable Cost";#N/A,#N/A,FALSE,"V.C. Walk"}</definedName>
    <definedName name="___spk2" hidden="1">{#N/A,#N/A,FALSE,"Profit Status";#N/A,#N/A,FALSE,"Invest";#N/A,#N/A,FALSE,"Revenue";#N/A,#N/A,FALSE,"Variable Cost";#N/A,#N/A,FALSE,"Options &amp; Series"}</definedName>
    <definedName name="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T1" hidden="1">{#N/A,#N/A,TRUE,"Engine";#N/A,#N/A,TRUE,"Trans 5R55N";#N/A,#N/A,TRUE,"Manual Trans";#N/A,#N/A,TRUE,"DS and Axle";#N/A,#N/A,TRUE,"PTSSE";#N/A,#N/A,TRUE,"Summary"}</definedName>
    <definedName name="___T2" hidden="1">{#N/A,#N/A,TRUE,"Engine";#N/A,#N/A,TRUE,"Trans 5R55N";#N/A,#N/A,TRUE,"Manual Trans";#N/A,#N/A,TRUE,"DS and Axle";#N/A,#N/A,TRUE,"PTSSE";#N/A,#N/A,TRUE,"Summary"}</definedName>
    <definedName name="___TCD1">#REF!</definedName>
    <definedName name="___TCD2">#REF!</definedName>
    <definedName name="___TCD3">#REF!</definedName>
    <definedName name="___TCD4">#REF!</definedName>
    <definedName name="___TCD5">#REF!</definedName>
    <definedName name="___TCD6">#REF!</definedName>
    <definedName name="___TCD7">#REF!</definedName>
    <definedName name="___TCD8">#REF!</definedName>
    <definedName name="___TCD9">#REF!</definedName>
    <definedName name="___Us1">#REF!</definedName>
    <definedName name="___Us2">#REF!</definedName>
    <definedName name="___ut1" hidden="1">{"rev",#N/A,FALSE,"ppepsum";"vcost",#N/A,FALSE,"ppepsum";"ecprof",#N/A,FALSE,"ppepsum"}</definedName>
    <definedName name="___V5" hidden="1">{"avrev",#N/A,FALSE,"AVREV";"rates",#N/A,FALSE,"AVREV"}</definedName>
    <definedName name="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c1" hidden="1">{#N/A,#N/A,FALSE,"Profit Status";#N/A,#N/A,FALSE,"Invest";#N/A,#N/A,FALSE,"Revenue";#N/A,#N/A,FALSE,"Variable Cost";#N/A,#N/A,FALSE,"Options &amp; Series"}</definedName>
    <definedName name="___vx1" hidden="1">{#N/A,#N/A,FALSE,"Assumptions";#N/A,#N/A,FALSE,"Volumes";#N/A,#N/A,FALSE,"Pricing";#N/A,#N/A,FALSE,"Variable Cost";#N/A,#N/A,FALSE,"Investment";#N/A,#N/A,FALSE,"Profitability";#N/A,#N/A,FALSE,"Business Comparison"}</definedName>
    <definedName name="___wrn1" hidden="1">{#N/A,#N/A,TRUE,"Frame&amp;Body-All";#N/A,#N/A,TRUE,"Powrplant Mnts-5.4l_4.6l";#N/A,#N/A,TRUE,"Powerplant-5.4l_4.6l";#N/A,#N/A,TRUE,"Exhaust-5.4l_4.6l";#N/A,#N/A,TRUE,"Induction-5.4l"}</definedName>
    <definedName name="___wrn2" hidden="1">{"pep204a",#N/A,FALSE,"tpepsum4a";"pep205a",#N/A,FALSE,"tpepsum4a";"wpep204a",#N/A,FALSE,"tpepsum4a";"wpep205a",#N/A,FALSE,"tpepsum4a"}</definedName>
    <definedName name="___WRN4" hidden="1">{"salaried",#N/A,FALSE,"VLD View (2)"}</definedName>
    <definedName name="___X3" hidden="1">#REF!</definedName>
    <definedName name="___XS1" hidden="1">{#N/A,#N/A,FALSE,"Title - E";#N/A,#N/A,FALSE,"Insert";#N/A,#N/A,FALSE,"Rpt-98-E PG_1";#N/A,#N/A,FALSE,"Rpt-98-E PG_2f";#N/A,#N/A,FALSE,"Rpt-98-E PG_2";#N/A,#N/A,FALSE,"Insert";#N/A,#N/A,FALSE,"Rpt-98-E PG_3 "}</definedName>
    <definedName name="___xx1" hidden="1">{#N/A,#N/A,FALSE,"Title - E";#N/A,#N/A,FALSE,"Insert";#N/A,#N/A,FALSE,"Rpt-98-E PG_1";#N/A,#N/A,FALSE,"Rpt-98-E PG_2f";#N/A,#N/A,FALSE,"Rpt-98-E PG_2";#N/A,#N/A,FALSE,"Insert";#N/A,#N/A,FALSE,"Rpt-98-E PG_3 "}</definedName>
    <definedName name="___xx3" hidden="1">#REF!</definedName>
    <definedName name="___xx6666">#REF!</definedName>
    <definedName name="___ZA1">#REF!</definedName>
    <definedName name="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z9999">#REF!</definedName>
    <definedName name="__0">#REF!</definedName>
    <definedName name="__123Graph_A" hidden="1">#N/A</definedName>
    <definedName name="__123Graph_ANETREV" hidden="1">#REF!</definedName>
    <definedName name="__123Graph_ANRENG" hidden="1">#REF!</definedName>
    <definedName name="__123Graph_ANRIMP" hidden="1">#REF!</definedName>
    <definedName name="__123Graph_ANRLOCMOT" hidden="1">#REF!</definedName>
    <definedName name="__123Graph_B" hidden="1">#REF!</definedName>
    <definedName name="__123Graph_BNETREV" hidden="1">#REF!</definedName>
    <definedName name="__123Graph_BNRENG" hidden="1">#REF!</definedName>
    <definedName name="__123Graph_BNRIMP" hidden="1">#REF!</definedName>
    <definedName name="__123Graph_BNRLOCMO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NETREV" hidden="1">#REF!</definedName>
    <definedName name="__123Graph_LBL_ANRENG" hidden="1">#REF!</definedName>
    <definedName name="__123Graph_LBL_ANRIMP" hidden="1">#REF!</definedName>
    <definedName name="__123Graph_LBL_ANRLOCMOT" hidden="1">#REF!</definedName>
    <definedName name="__123Graph_LBL_BNRENG" hidden="1">#REF!</definedName>
    <definedName name="__123Graph_LBL_BNRIMP" hidden="1">#REF!</definedName>
    <definedName name="__123Graph_LBL_BNRLOCMOT" hidden="1">#REF!</definedName>
    <definedName name="__123Graph_X" hidden="1">#N/A</definedName>
    <definedName name="__123Graph_XNETREV" hidden="1">#REF!</definedName>
    <definedName name="__123Graph_XNRENG" hidden="1">#REF!</definedName>
    <definedName name="__123Graph_XNRIMP" hidden="1">#REF!</definedName>
    <definedName name="__123Graph_XNRLOCMOT" hidden="1">#REF!</definedName>
    <definedName name="__185W_Master">#REF!</definedName>
    <definedName name="__186W_Master">#REF!</definedName>
    <definedName name="__21">#REF!</definedName>
    <definedName name="__506_Export_Invoice_Details">#REF!</definedName>
    <definedName name="__a1">#REF!</definedName>
    <definedName name="__a2">#REF!</definedName>
    <definedName name="__a3">#REF!</definedName>
    <definedName name="__a4">#REF!</definedName>
    <definedName name="__A99999">#REF!</definedName>
    <definedName name="__ab2" hidden="1">{#N/A,#N/A,FALSE,"Cover";#N/A,#N/A,FALSE,"Profits";#N/A,#N/A,FALSE,"ABS";#N/A,#N/A,FALSE,"TFLE Detail";#N/A,#N/A,FALSE,"TFLE Walk";#N/A,#N/A,FALSE,"Variable Cost";#N/A,#N/A,FALSE,"V.C. Walk"}</definedName>
    <definedName name="__ab3" hidden="1">{#N/A,#N/A,FALSE,"Profit Status";#N/A,#N/A,FALSE,"Invest";#N/A,#N/A,FALSE,"Revenue";#N/A,#N/A,FALSE,"Variable Cost";#N/A,#N/A,FALSE,"Options &amp; Series"}</definedName>
    <definedName name="__ADR1">#REF!</definedName>
    <definedName name="__ADR2">#REF!</definedName>
    <definedName name="__ADR3">#REF!</definedName>
    <definedName name="__alr99">90.63</definedName>
    <definedName name="__APS2003" hidden="1">{#N/A,#N/A,FALSE,"expense";#N/A,#N/A,FALSE,"heads"}</definedName>
    <definedName name="_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2" hidden="1">{"Fiesta Facer Page",#N/A,FALSE,"Q_C_S";"Fiesta Main Page",#N/A,FALSE,"V_L";"Fiesta 95BP Struct",#N/A,FALSE,"StructBP";"Fiesta Post 95BP Struct",#N/A,FALSE,"AdjStructBP"}</definedName>
    <definedName name="__arm13" hidden="1">{"Presentation",#N/A,FALSE,"Feb96 - ALL"}</definedName>
    <definedName name="__arm14" hidden="1">{"Presentation",#N/A,FALSE,"Feb96 - ALL"}</definedName>
    <definedName name="__arm15" hidden="1">{"Presentation",#N/A,FALSE,"Feb96 - ALL"}</definedName>
    <definedName name="_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8" hidden="1">{"Presentation",#N/A,FALSE,"Feb96 - ALL"}</definedName>
    <definedName name="__arm19" hidden="1">{"Fiesta Facer Page",#N/A,FALSE,"Q_C_S";"Fiesta Main Page",#N/A,FALSE,"V_L";"Fiesta 95BP Struct",#N/A,FALSE,"StructBP";"Fiesta Post 95BP Struct",#N/A,FALSE,"AdjStructBP"}</definedName>
    <definedName name="__arm20" hidden="1">{"Fiesta Facer Page",#N/A,FALSE,"Q_C_S";"Fiesta Main Page",#N/A,FALSE,"V_L";"Fiesta 95BP Struct",#N/A,FALSE,"StructBP";"Fiesta Post 95BP Struct",#N/A,FALSE,"AdjStructBP"}</definedName>
    <definedName name="__arm21" hidden="1">{"Presentation",#N/A,FALSE,"Feb96 - ALL"}</definedName>
    <definedName name="__arm22" hidden="1">{"Presentation",#N/A,FALSE,"Feb96 - ALL"}</definedName>
    <definedName name="_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5" hidden="1">{"Fiesta Facer Page",#N/A,FALSE,"Q_C_S";"Fiesta Main Page",#N/A,FALSE,"V_L";"Fiesta 95BP Struct",#N/A,FALSE,"StructBP";"Fiesta Post 95BP Struct",#N/A,FALSE,"AdjStructBP"}</definedName>
    <definedName name="__arm26" hidden="1">{"Fiesta Facer Page",#N/A,FALSE,"Q_C_S";"Fiesta Main Page",#N/A,FALSE,"V_L";"Fiesta 95BP Struct",#N/A,FALSE,"StructBP";"Fiesta Post 95BP Struct",#N/A,FALSE,"AdjStructBP"}</definedName>
    <definedName name="__arm27" hidden="1">{"Presentation",#N/A,FALSE,"Feb96 - ALL"}</definedName>
    <definedName name="__arm28" hidden="1">{"Presentation",#N/A,FALSE,"Feb96 - ALL"}</definedName>
    <definedName name="_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4" hidden="1">{"Fiesta Facer Page",#N/A,FALSE,"Q_C_S";"Fiesta Main Page",#N/A,FALSE,"V_L";"Fiesta 95BP Struct",#N/A,FALSE,"StructBP";"Fiesta Post 95BP Struct",#N/A,FALSE,"AdjStructBP"}</definedName>
    <definedName name="_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8" hidden="1">{"Presentation",#N/A,FALSE,"Feb96 - ALL"}</definedName>
    <definedName name="__arm9" hidden="1">{"Presentation",#N/A,FALSE,"Feb96 - ALL"}</definedName>
    <definedName name="__Att1" hidden="1">{#VALUE!,#N/A,FALSE,0;#N/A,#N/A,FALSE,0;#N/A,#N/A,FALSE,0;#N/A,#N/A,FALSE,0}</definedName>
    <definedName name="__b5678" hidden="1">{"Presentation",#N/A,FALSE,"Feb96 - ALL"}</definedName>
    <definedName name="__ba1" hidden="1">{"Fiesta Facer Page",#N/A,FALSE,"Q_C_S";"Fiesta Main Page",#N/A,FALSE,"V_L";"Fiesta 95BP Struct",#N/A,FALSE,"StructBP";"Fiesta Post 95BP Struct",#N/A,FALSE,"AdjStructBP"}</definedName>
    <definedName name="__bb2" hidden="1">{"Fiesta Facer Page",#N/A,FALSE,"Q_C_S";"Fiesta Main Page",#N/A,FALSE,"V_L";"Fiesta 95BP Struct",#N/A,FALSE,"StructBP";"Fiesta Post 95BP Struct",#N/A,FALSE,"AdjStructBP"}</definedName>
    <definedName name="__bjw1" hidden="1">{#N/A,#N/A,FALSE,"Profit Status";#N/A,#N/A,FALSE,"Invest";#N/A,#N/A,FALSE,"Revenue";#N/A,#N/A,FALSE,"Variable Cost";#N/A,#N/A,FALSE,"Options &amp; Series"}</definedName>
    <definedName name="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BV226" hidden="1">{#N/A,#N/A,FALSE,"TR_OUT1"}</definedName>
    <definedName name="__cc1">#REF!</definedName>
    <definedName name="__cc2">#REF!</definedName>
    <definedName name="__cc3">#REF!</definedName>
    <definedName name="__ccc1">#REF!</definedName>
    <definedName name="__ccc2">#REF!</definedName>
    <definedName name="__cz1" hidden="1">{"Fiesta Facer Page",#N/A,FALSE,"Q_C_S";"Fiesta Main Page",#N/A,FALSE,"V_L";"Fiesta 95BP Struct",#N/A,FALSE,"StructBP";"Fiesta Post 95BP Struct",#N/A,FALSE,"AdjStructBP"}</definedName>
    <definedName name="__d2" hidden="1">{#N/A,#N/A,FALSE,"UW152PPL"}</definedName>
    <definedName name="__D258" hidden="1">{"Presentation",#N/A,FALSE,"Feb96 - ALL"}</definedName>
    <definedName name="__DAT1">#REF!</definedName>
    <definedName name="__DAT10">#REF!</definedName>
    <definedName name="__DAT11">#REF!</definedName>
    <definedName name="__DAT2">#REF!</definedName>
    <definedName name="__DAT3">#REF!</definedName>
    <definedName name="__DAT6">#REF!</definedName>
    <definedName name="__DAT7">#REF!</definedName>
    <definedName name="__DAT8">#REF!</definedName>
    <definedName name="__DAT9">#REF!</definedName>
    <definedName name="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DEC20" hidden="1">{#N/A,#N/A,FALSE,"Cover Page";#N/A,#N/A,FALSE,"Facing Page";#N/A,#N/A,FALSE,"Main Page";#N/A,#N/A,FALSE,"Risk-Adjusted";#N/A,#N/A,FALSE,"Profit Improvement"}</definedName>
    <definedName name="__DemandLoad">TRUE</definedName>
    <definedName name="__dkk1">#REF!</definedName>
    <definedName name="__dkk2">#REF!</definedName>
    <definedName name="__e4" hidden="1">{"REVISED",#N/A,FALSE,"Sheet1"}</definedName>
    <definedName name="__em1">#REF!</definedName>
    <definedName name="__exp10">#REF!</definedName>
    <definedName name="__exp11">#REF!</definedName>
    <definedName name="__exp12">#REF!</definedName>
    <definedName name="__EXP22">#REF!</definedName>
    <definedName name="__exp5">#REF!</definedName>
    <definedName name="__exp7">#REF!</definedName>
    <definedName name="__exp8">#REF!</definedName>
    <definedName name="__exp9">#REF!</definedName>
    <definedName name="__fe1">#N/A</definedName>
    <definedName name="__fg151" hidden="1">{#N/A,#N/A,FALSE,"Profit Status";#N/A,#N/A,FALSE,"Invest";#N/A,#N/A,FALSE,"Revenue";#N/A,#N/A,FALSE,"Variable Cost";#N/A,#N/A,FALSE,"Options &amp; Series"}</definedName>
    <definedName name="__fg16" hidden="1">{#N/A,#N/A,FALSE,"Assumptions";#N/A,#N/A,FALSE,"Volumes";#N/A,#N/A,FALSE,"Pricing";#N/A,#N/A,FALSE,"Variable Cost";#N/A,#N/A,FALSE,"Investment";#N/A,#N/A,FALSE,"Profitability";#N/A,#N/A,FALSE,"Business Comparison"}</definedName>
    <definedName name="__fin1" hidden="1">{#N/A,#N/A,FALSE,"Cover";#N/A,#N/A,FALSE,"Profits";#N/A,#N/A,FALSE,"ABS";#N/A,#N/A,FALSE,"TFLE Detail";#N/A,#N/A,FALSE,"TFLE Walk";#N/A,#N/A,FALSE,"Variable Cost";#N/A,#N/A,FALSE,"V.C. Walk"}</definedName>
    <definedName name="__g5" hidden="1">{#N/A,#N/A,FALSE,"UW152PPL"}</definedName>
    <definedName name="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g7" hidden="1">{#N/A,#N/A,FALSE,"Cover";#N/A,#N/A,FALSE,"Profits";#N/A,#N/A,FALSE,"ABS";#N/A,#N/A,FALSE,"TFLE Detail";#N/A,#N/A,FALSE,"TFLE Walk";#N/A,#N/A,FALSE,"Variable Cost";#N/A,#N/A,FALSE,"V.C. Walk"}</definedName>
    <definedName name="__gph3" hidden="1">{"salaried",#N/A,FALSE,"VLD View (2)"}</definedName>
    <definedName name="__gph4" hidden="1">{"rev",#N/A,FALSE,"ppepsum";"vcost",#N/A,FALSE,"ppepsum";"ecprof",#N/A,FALSE,"ppepsum"}</definedName>
    <definedName name="__gph5" hidden="1">{"rates",#N/A,FALSE,"tavg4a";"rev",#N/A,FALSE,"tavg4a"}</definedName>
    <definedName name="__gph6" hidden="1">{"pep204a",#N/A,FALSE,"tpepsum4a";"pep205a",#N/A,FALSE,"tpepsum4a";"wpep204a",#N/A,FALSE,"tpepsum4a";"wpep205a",#N/A,FALSE,"tpepsum4a"}</definedName>
    <definedName name="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H300" hidden="1">{"Presentation",#N/A,FALSE,"Feb96 - ALL"}</definedName>
    <definedName name="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h4" hidden="1">{"REVISED",#N/A,FALSE,"Sheet1"}</definedName>
    <definedName name="__hg1">#N/A</definedName>
    <definedName name="__hou23" localSheetId="5">Scheduled_Payment+Extra_Payment</definedName>
    <definedName name="__hou23" localSheetId="8">Scheduled_Payment+Extra_Payment</definedName>
    <definedName name="__hou23" localSheetId="6">Scheduled_Payment+Extra_Payment</definedName>
    <definedName name="__hou23" localSheetId="13">Scheduled_Payment+Extra_Payment</definedName>
    <definedName name="__hou23" localSheetId="14">Scheduled_Payment+Extra_Payment</definedName>
    <definedName name="__hou23" localSheetId="12">Scheduled_Payment+Extra_Payment</definedName>
    <definedName name="__hou23" localSheetId="4">Scheduled_Payment+Extra_Payment</definedName>
    <definedName name="__hou23" localSheetId="10">Scheduled_Payment+Extra_Payment</definedName>
    <definedName name="__hou23" localSheetId="9">Scheduled_Payment+Extra_Payment</definedName>
    <definedName name="__hou23">Scheduled_Payment+Extra_Payment</definedName>
    <definedName name="__IntlFixup" hidden="1">TRUE</definedName>
    <definedName name="__Ita1" hidden="1">{#N/A,#N/A,FALSE,"Profit Status";#N/A,#N/A,FALSE,"Invest";#N/A,#N/A,FALSE,"Revenue";#N/A,#N/A,FALSE,"Variable Cost";#N/A,#N/A,FALSE,"Options &amp; Series"}</definedName>
    <definedName name="__IZ1">#REF!</definedName>
    <definedName name="__j7" hidden="1">{#N/A,#N/A,FALSE,"Cover";#N/A,#N/A,FALSE,"Profits";#N/A,#N/A,FALSE,"ABS";#N/A,#N/A,FALSE,"TFLE Detail";#N/A,#N/A,FALSE,"TFLE Walk";#N/A,#N/A,FALSE,"Variable Cost";#N/A,#N/A,FALSE,"V.C. Walk"}</definedName>
    <definedName name="__jij1" hidden="1">{"Fiesta Facer Page",#N/A,FALSE,"Q_C_S";"Fiesta Main Page",#N/A,FALSE,"V_L";"Fiesta 95BP Struct",#N/A,FALSE,"StructBP";"Fiesta Post 95BP Struct",#N/A,FALSE,"AdjStructBP"}</definedName>
    <definedName name="__JJ1">#REF!</definedName>
    <definedName name="__jj2" hidden="1">{"'Highlights'!$A$1:$M$123"}</definedName>
    <definedName name="__joe1" hidden="1">{#N/A,#N/A,FALSE,"Cover Page";#N/A,#N/A,FALSE,"Facing Page";#N/A,#N/A,FALSE,"Main Page";#N/A,#N/A,FALSE,"Risk-Adjusted";#N/A,#N/A,FALSE,"Profit Improvement"}</definedName>
    <definedName name="__k8" hidden="1">{"REVISED",#N/A,FALSE,"Sheet1"}</definedName>
    <definedName name="__kp1" hidden="1">{"pep204a",#N/A,FALSE,"tpepsum4a";"pep205a",#N/A,FALSE,"tpepsum4a";"wpep204a",#N/A,FALSE,"tpepsum4a";"wpep205a",#N/A,FALSE,"tpepsum4a"}</definedName>
    <definedName name="__l9" hidden="1">{"REVISED",#N/A,FALSE,"Sheet1"}</definedName>
    <definedName name="__lev4" hidden="1">{#N/A,#N/A,FALSE,"TEST HOURS MONTHLY REPORT"}</definedName>
    <definedName name="__lit1">#REF!</definedName>
    <definedName name="__lit2">#REF!</definedName>
    <definedName name="__lk1" hidden="1">{"Presentation",#N/A,FALSE,"Feb96 - ALL"}</definedName>
    <definedName name="__LL1">#REF!</definedName>
    <definedName name="__MM1">#REF!</definedName>
    <definedName name="__MMT6" hidden="1">{"REVISED",#N/A,FALSE,"Sheet1"}</definedName>
    <definedName name="__MZ1">#REF!</definedName>
    <definedName name="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M2">#REF!</definedName>
    <definedName name="__pmm1" hidden="1">{#N/A,#N/A,FALSE,"Assumptions";#N/A,#N/A,FALSE,"Volumes";#N/A,#N/A,FALSE,"Pricing";#N/A,#N/A,FALSE,"Variable Cost";#N/A,#N/A,FALSE,"Investment";#N/A,#N/A,FALSE,"Profitability";#N/A,#N/A,FALSE,"Business Comparison"}</definedName>
    <definedName name="__pmm2" hidden="1">{#N/A,#N/A,FALSE,"Assumptions";#N/A,#N/A,FALSE,"Volumes";#N/A,#N/A,FALSE,"Pricing";#N/A,#N/A,FALSE,"Variable Cost";#N/A,#N/A,FALSE,"Investment";#N/A,#N/A,FALSE,"Profitability";#N/A,#N/A,FALSE,"Business Comparison"}</definedName>
    <definedName name="__pmm3" hidden="1">{#N/A,#N/A,FALSE,"Cover";#N/A,#N/A,FALSE,"Profits";#N/A,#N/A,FALSE,"ABS";#N/A,#N/A,FALSE,"TFLE Detail";#N/A,#N/A,FALSE,"TFLE Walk";#N/A,#N/A,FALSE,"Variable Cost";#N/A,#N/A,FALSE,"V.C. Walk"}</definedName>
    <definedName name="__pmm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_pmm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_pmm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o1" hidden="1">{"Presentation",#N/A,FALSE,"Feb96 - ALL"}</definedName>
    <definedName name="__PTc4" hidden="1">{"'Verr-enseig-ex'!$M$22:$M$23"}</definedName>
    <definedName name="__Q1" hidden="1">{"avrev",#N/A,FALSE,"AVREV";"rates",#N/A,FALSE,"AVREV"}</definedName>
    <definedName name="__R650000">#REF!</definedName>
    <definedName name="__Ref1">#REF!</definedName>
    <definedName name="__Ref2">#REF!</definedName>
    <definedName name="__Ref3">#REF!</definedName>
    <definedName name="__RRC57">#REF!</definedName>
    <definedName name="__s2" hidden="1">{#N/A,#N/A,FALSE,"Assumptions";#N/A,#N/A,FALSE,"Volumes";#N/A,#N/A,FALSE,"Pricing";#N/A,#N/A,FALSE,"Variable Cost";#N/A,#N/A,FALSE,"Investment";#N/A,#N/A,FALSE,"Profitability";#N/A,#N/A,FALSE,"Business Comparison"}</definedName>
    <definedName name="__SCB1">#REF!</definedName>
    <definedName name="__SCB2">#REF!</definedName>
    <definedName name="__sdg1" hidden="1">{#N/A,#N/A,FALSE,"Assumptions";#N/A,#N/A,FALSE,"Volumes";#N/A,#N/A,FALSE,"Pricing";#N/A,#N/A,FALSE,"Variable Cost";#N/A,#N/A,FALSE,"Investment";#N/A,#N/A,FALSE,"Profitability";#N/A,#N/A,FALSE,"Business Comparison"}</definedName>
    <definedName name="__spk1" hidden="1">{#N/A,#N/A,FALSE,"Cover";#N/A,#N/A,FALSE,"Profits";#N/A,#N/A,FALSE,"ABS";#N/A,#N/A,FALSE,"TFLE Detail";#N/A,#N/A,FALSE,"TFLE Walk";#N/A,#N/A,FALSE,"Variable Cost";#N/A,#N/A,FALSE,"V.C. Walk"}</definedName>
    <definedName name="__spk2" hidden="1">{#N/A,#N/A,FALSE,"Profit Status";#N/A,#N/A,FALSE,"Invest";#N/A,#N/A,FALSE,"Revenue";#N/A,#N/A,FALSE,"Variable Cost";#N/A,#N/A,FALSE,"Options &amp; Series"}</definedName>
    <definedName name="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T1" hidden="1">{#N/A,#N/A,TRUE,"Engine";#N/A,#N/A,TRUE,"Trans 5R55N";#N/A,#N/A,TRUE,"Manual Trans";#N/A,#N/A,TRUE,"DS and Axle";#N/A,#N/A,TRUE,"PTSSE";#N/A,#N/A,TRUE,"Summary"}</definedName>
    <definedName name="__T2" hidden="1">{#N/A,#N/A,TRUE,"Engine";#N/A,#N/A,TRUE,"Trans 5R55N";#N/A,#N/A,TRUE,"Manual Trans";#N/A,#N/A,TRUE,"DS and Axle";#N/A,#N/A,TRUE,"PTSSE";#N/A,#N/A,TRUE,"Summary"}</definedName>
    <definedName name="__TCD1">#REF!</definedName>
    <definedName name="__TCD2">#REF!</definedName>
    <definedName name="__TCD3">#REF!</definedName>
    <definedName name="__TCD4">#REF!</definedName>
    <definedName name="__TCD5">#REF!</definedName>
    <definedName name="__TCD6">#REF!</definedName>
    <definedName name="__TCD7">#REF!</definedName>
    <definedName name="__TCD8">#REF!</definedName>
    <definedName name="__TCD9">#REF!</definedName>
    <definedName name="__um1" hidden="1">{"'Highlights'!$A$1:$M$123"}</definedName>
    <definedName name="__Us1">#REF!</definedName>
    <definedName name="__Us2">#REF!</definedName>
    <definedName name="__ut1" hidden="1">{"rev",#N/A,FALSE,"ppepsum";"vcost",#N/A,FALSE,"ppepsum";"ecprof",#N/A,FALSE,"ppepsum"}</definedName>
    <definedName name="__V5" hidden="1">{"avrev",#N/A,FALSE,"AVREV";"rates",#N/A,FALSE,"AVREV"}</definedName>
    <definedName name="__VA1">#REF!</definedName>
    <definedName name="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c1" hidden="1">{#N/A,#N/A,FALSE,"Profit Status";#N/A,#N/A,FALSE,"Invest";#N/A,#N/A,FALSE,"Revenue";#N/A,#N/A,FALSE,"Variable Cost";#N/A,#N/A,FALSE,"Options &amp; Series"}</definedName>
    <definedName name="__veh1">#REF!</definedName>
    <definedName name="__veh2">#REF!</definedName>
    <definedName name="__veh3">#REF!</definedName>
    <definedName name="__veh4">#REF!</definedName>
    <definedName name="__vx1" hidden="1">{#N/A,#N/A,FALSE,"Assumptions";#N/A,#N/A,FALSE,"Volumes";#N/A,#N/A,FALSE,"Pricing";#N/A,#N/A,FALSE,"Variable Cost";#N/A,#N/A,FALSE,"Investment";#N/A,#N/A,FALSE,"Profitability";#N/A,#N/A,FALSE,"Business Comparison"}</definedName>
    <definedName name="__w4">#N/A</definedName>
    <definedName name="__wrn1" hidden="1">{#N/A,#N/A,FALSE,"MBR PCS";#N/A,#N/A,FALSE,"MBR CIG";#N/A,#N/A,FALSE,"MBR iDEN";#N/A,#N/A,FALSE,"MBR_FWT";#N/A,#N/A,FALSE,"MBR TOTAL"}</definedName>
    <definedName name="__wrn2" hidden="1">{"pep204a",#N/A,FALSE,"tpepsum4a";"pep205a",#N/A,FALSE,"tpepsum4a";"wpep204a",#N/A,FALSE,"tpepsum4a";"wpep205a",#N/A,FALSE,"tpepsum4a"}</definedName>
    <definedName name="__WRN4" hidden="1">{"salaried",#N/A,FALSE,"VLD View (2)"}</definedName>
    <definedName name="__X3" hidden="1">#REF!</definedName>
    <definedName name="__XS1" hidden="1">{#N/A,#N/A,FALSE,"Title - E";#N/A,#N/A,FALSE,"Insert";#N/A,#N/A,FALSE,"Rpt-98-E PG_1";#N/A,#N/A,FALSE,"Rpt-98-E PG_2f";#N/A,#N/A,FALSE,"Rpt-98-E PG_2";#N/A,#N/A,FALSE,"Insert";#N/A,#N/A,FALSE,"Rpt-98-E PG_3 "}</definedName>
    <definedName name="__xx1" hidden="1">{#N/A,#N/A,FALSE,"Title - E";#N/A,#N/A,FALSE,"Insert";#N/A,#N/A,FALSE,"Rpt-98-E PG_1";#N/A,#N/A,FALSE,"Rpt-98-E PG_2f";#N/A,#N/A,FALSE,"Rpt-98-E PG_2";#N/A,#N/A,FALSE,"Insert";#N/A,#N/A,FALSE,"Rpt-98-E PG_3 "}</definedName>
    <definedName name="__xx3" hidden="1">#REF!</definedName>
    <definedName name="__xx6666">#REF!</definedName>
    <definedName name="__Y1" hidden="1">{"'OBT_6M_30_6'!$S$1:$AE$53"}</definedName>
    <definedName name="__ZA1">#REF!</definedName>
    <definedName name="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zz9999">#REF!</definedName>
    <definedName name="_01_10_93">#REF!</definedName>
    <definedName name="_1_">#REF!</definedName>
    <definedName name="_1_?">[0]!kkk</definedName>
    <definedName name="_1__123Graph_CA_FCST1" hidden="1">#REF!</definedName>
    <definedName name="_1_0_F" hidden="1">#N/A</definedName>
    <definedName name="_1_0sal_r">#REF!</definedName>
    <definedName name="_1_1_5_GFS_OSR">#REF!</definedName>
    <definedName name="_1_185W_Master">#REF!</definedName>
    <definedName name="_1_506_Export_Invoice_Details">#REF!</definedName>
    <definedName name="_10" hidden="1">#REF!</definedName>
    <definedName name="_10__123Graph_ACHART_1" hidden="1">#N/A</definedName>
    <definedName name="_10_0_F" hidden="1">#REF!</definedName>
    <definedName name="_10_0Revised_97_BP___9">#REF!</definedName>
    <definedName name="_10_0Total_Ford_C">#REF!</definedName>
    <definedName name="_102ba1_" hidden="1">{"Fiesta Facer Page",#N/A,FALSE,"Q_C_S";"Fiesta Main Page",#N/A,FALSE,"V_L";"Fiesta 95BP Struct",#N/A,FALSE,"StructBP";"Fiesta Post 95BP Struct",#N/A,FALSE,"AdjStructBP"}</definedName>
    <definedName name="_10j_b_g">#REF!</definedName>
    <definedName name="_11" hidden="1">#REF!</definedName>
    <definedName name="_11__123Graph_ACHART_14" hidden="1">#N/A</definedName>
    <definedName name="_11_0_F" hidden="1">#REF!</definedName>
    <definedName name="_11_0Total_L_M_C">#REF!</definedName>
    <definedName name="_110D258_" hidden="1">{"Presentation",#N/A,FALSE,"Feb96 - ALL"}</definedName>
    <definedName name="_113dc1_" hidden="1">{#N/A,#N/A,FALSE,"Chart";#N/A,#N/A,FALSE,"Overview";#N/A,#N/A,FALSE,"Overview_Acty";#N/A,#N/A,FALSE,"Inc97D";#N/A,#N/A,FALSE,"Rel_Inc97TD";#N/A,#N/A,FALSE,"Rel_Inc_97_NTD";#N/A,#N/A,FALSE,"Marketing";#N/A,#N/A,FALSE,"Pot_97"}</definedName>
    <definedName name="_11F" hidden="1">#REF!</definedName>
    <definedName name="_11p___c">#REF!</definedName>
    <definedName name="_12" hidden="1">#REF!</definedName>
    <definedName name="_12__123Graph_ACHART_159" hidden="1">#N/A</definedName>
    <definedName name="_12_0_F" hidden="1">#REF!</definedName>
    <definedName name="_12_0RCLvsRet">#REF!</definedName>
    <definedName name="_12_0Total_L_M_Tru">#REF!</definedName>
    <definedName name="_12Revised_97_BP___9">#REF!</definedName>
    <definedName name="_12Z_b_g">#REF!</definedName>
    <definedName name="_13" hidden="1">#REF!</definedName>
    <definedName name="_13__123Graph_ACHART_160" hidden="1">#N/A</definedName>
    <definedName name="_13_0Total_Lincoln_C">#REF!</definedName>
    <definedName name="_14" hidden="1">#REF!</definedName>
    <definedName name="_14__123Graph_ACHART_161" hidden="1">#N/A</definedName>
    <definedName name="_14_0Total_Mercury_C">#REF!</definedName>
    <definedName name="_15" hidden="1">#REF!</definedName>
    <definedName name="_15__123Graph_ACHART_162" hidden="1">#N/A</definedName>
    <definedName name="_15_0_F" hidden="1">#REF!</definedName>
    <definedName name="_15_01_MAB_NI_by_OPLOC_TLOC">#REF!</definedName>
    <definedName name="_15_0Vehnum">#REF!</definedName>
    <definedName name="_16" hidden="1">#REF!</definedName>
    <definedName name="_16__123Graph_ACHART_163" hidden="1">#N/A</definedName>
    <definedName name="_16_0_F" hidden="1">#REF!</definedName>
    <definedName name="_16_5_0svc">#REF!</definedName>
    <definedName name="_17" hidden="1">#REF!</definedName>
    <definedName name="_17__123Graph_ACHART_164" hidden="1">#N/A</definedName>
    <definedName name="_17_0_F" hidden="1">#REF!</definedName>
    <definedName name="_1772A4_" hidden="1">{#N/A,#N/A,FALSE,"India - 3f";#N/A,#N/A,FALSE,"India - 3";#N/A,#N/A,FALSE,"India - 4f";#N/A,#N/A,FALSE,"India - 4";#N/A,#N/A,FALSE,"Retail Spider"}</definedName>
    <definedName name="_17J_0RELE">#REF!</definedName>
    <definedName name="_18" hidden="1">#REF!</definedName>
    <definedName name="_18__123Graph_ACHART_2" hidden="1">#N/A</definedName>
    <definedName name="_18_0_F" hidden="1">#REF!</definedName>
    <definedName name="_18_0Ope">#REF!</definedName>
    <definedName name="_18_5_0svc">#REF!</definedName>
    <definedName name="_185W_Master">#REF!</definedName>
    <definedName name="_186W_Master">#REF!</definedName>
    <definedName name="_18L_0Super">#REF!</definedName>
    <definedName name="_19" hidden="1">#REF!</definedName>
    <definedName name="_19__123Graph_ACHART_3" hidden="1">#N/A</definedName>
    <definedName name="_19_5_0svc">#REF!</definedName>
    <definedName name="_19M_0Heavies_Heavy15.16_Ma">#REF!</definedName>
    <definedName name="_2" hidden="1">#REF!</definedName>
    <definedName name="_2_">#REF!</definedName>
    <definedName name="_2_???">[0]!kkk</definedName>
    <definedName name="_2_0">#REF!</definedName>
    <definedName name="_2_0_F" hidden="1">#REF!</definedName>
    <definedName name="_2_1_5_GFS_OSR">#REF!</definedName>
    <definedName name="_2_1_5_GFS_OSR_NEW">#REF!</definedName>
    <definedName name="_2_186W_Master">#REF!</definedName>
    <definedName name="_2_8">#REF!</definedName>
    <definedName name="_20" hidden="1">#REF!</definedName>
    <definedName name="_20__123Graph_ACHART_4" hidden="1">#N/A</definedName>
    <definedName name="_20_0_F" hidden="1">#REF!</definedName>
    <definedName name="_20M_0Heavies_Heavy19.24_Ma">#REF!</definedName>
    <definedName name="_21" hidden="1">#REF!</definedName>
    <definedName name="_21__123Graph_ACHART_5" hidden="1">#N/A</definedName>
    <definedName name="_21_0_F" hidden="1">#N/A</definedName>
    <definedName name="_21_0PE">#REF!</definedName>
    <definedName name="_21_5__svc">#REF!</definedName>
    <definedName name="_22" hidden="1">#REF!</definedName>
    <definedName name="_22__123Graph_ACHART_6" hidden="1">#N/A</definedName>
    <definedName name="_22_0_F" hidden="1">#REF!</definedName>
    <definedName name="_23" hidden="1">#REF!</definedName>
    <definedName name="_23__123Graph_ACHART_7" hidden="1">#N/A</definedName>
    <definedName name="_24" hidden="1">#REF!</definedName>
    <definedName name="_24__123Graph_ACHART_8" hidden="1">#N/A</definedName>
    <definedName name="_24_0pricesensitiv">#REF!</definedName>
    <definedName name="_25__123Graph_ACHART_80" hidden="1">#N/A</definedName>
    <definedName name="_26__123Graph_ACHART_81" hidden="1">#N/A</definedName>
    <definedName name="_26_0_F" hidden="1">#N/A</definedName>
    <definedName name="_2607ab2_" hidden="1">{#N/A,#N/A,FALSE,"Cover";#N/A,#N/A,FALSE,"Profits";#N/A,#N/A,FALSE,"ABS";#N/A,#N/A,FALSE,"TFLE Detail";#N/A,#N/A,FALSE,"TFLE Walk";#N/A,#N/A,FALSE,"Variable Cost";#N/A,#N/A,FALSE,"V.C. Walk"}</definedName>
    <definedName name="_2637ab3_" hidden="1">{#N/A,#N/A,FALSE,"Profit Status";#N/A,#N/A,FALSE,"Invest";#N/A,#N/A,FALSE,"Revenue";#N/A,#N/A,FALSE,"Variable Cost";#N/A,#N/A,FALSE,"Options &amp; Series"}</definedName>
    <definedName name="_2687AS1_" hidden="1">{#N/A,#N/A,FALSE,"India - 3f";#N/A,#N/A,FALSE,"India - 3";#N/A,#N/A,FALSE,"India - 4f";#N/A,#N/A,FALSE,"India - 4";#N/A,#N/A,FALSE,"Retail Spider"}</definedName>
    <definedName name="_27__123Graph_ACHART_82" hidden="1">#N/A</definedName>
    <definedName name="_27_0TOTAL_C">#REF!</definedName>
    <definedName name="_2718b2_" hidden="1">{#VALUE!,#N/A,FALSE,0;#N/A,#N/A,FALSE,0;#N/A,#N/A,FALSE,0;#N/A,#N/A,FALSE,0}</definedName>
    <definedName name="_28__123Graph_ACHART_83" hidden="1">#N/A</definedName>
    <definedName name="_2804ba1_" hidden="1">{"Fiesta Facer Page",#N/A,FALSE,"Q_C_S";"Fiesta Main Page",#N/A,FALSE,"V_L";"Fiesta 95BP Struct",#N/A,FALSE,"StructBP";"Fiesta Post 95BP Struct",#N/A,FALSE,"AdjStructBP"}</definedName>
    <definedName name="_29__123Graph_ACHART_84" hidden="1">#N/A</definedName>
    <definedName name="_2905C1952_" hidden="1">{#N/A,#N/A,FALSE,"Cover";#N/A,#N/A,FALSE,"VarCost Graph";#N/A,#N/A,FALSE,"VarCost Sum";#N/A,#N/A,FALSE,"Roadmap_Sum";#N/A,#N/A,FALSE,"VarCost";#N/A,#N/A,FALSE,"i-to-i, 06-01-98 [All_CMs]";#N/A,#N/A,FALSE,"VarCost I-2-I"}</definedName>
    <definedName name="_3" hidden="1">#REF!</definedName>
    <definedName name="_3_???????">#REF!</definedName>
    <definedName name="_3_0_F" hidden="1">#REF!</definedName>
    <definedName name="_3_0Revised_97_BP___9">#REF!</definedName>
    <definedName name="_3_0sal_r">#REF!</definedName>
    <definedName name="_3_0VAR_RELE">#REF!</definedName>
    <definedName name="_3_8_0">#REF!</definedName>
    <definedName name="_30__123Graph_ACHART_85" hidden="1">#N/A</definedName>
    <definedName name="_30_0Total_Ford_C">#REF!</definedName>
    <definedName name="_31__123Graph_ACHART_86" hidden="1">#N/A</definedName>
    <definedName name="_3104d2_" hidden="1">{#VALUE!,#N/A,FALSE,0;#N/A,#N/A,FALSE,0;#N/A,#N/A,FALSE,0;#N/A,#N/A,FALSE,0}</definedName>
    <definedName name="_3136D258_" hidden="1">{"Presentation",#N/A,FALSE,"Feb96 - ALL"}</definedName>
    <definedName name="_3168dc1_" hidden="1">{#N/A,#N/A,FALSE,"Chart";#N/A,#N/A,FALSE,"Overview";#N/A,#N/A,FALSE,"Overview_Acty";#N/A,#N/A,FALSE,"Inc97D";#N/A,#N/A,FALSE,"Rel_Inc97TD";#N/A,#N/A,FALSE,"Rel_Inc_97_NTD";#N/A,#N/A,FALSE,"Marketing";#N/A,#N/A,FALSE,"Pot_97"}</definedName>
    <definedName name="_3170dc2_" hidden="1">{#N/A,#N/A,FALSE,"Chart";#N/A,#N/A,FALSE,"Overview";#N/A,#N/A,FALSE,"Overview_Acty";#N/A,#N/A,FALSE,"Inc97D";#N/A,#N/A,FALSE,"Rel_Inc97TD";#N/A,#N/A,FALSE,"Rel_Inc_97_NTD";#N/A,#N/A,FALSE,"Marketing";#N/A,#N/A,FALSE,"Pot_97"}</definedName>
    <definedName name="_32__123Graph_ACHART_87" hidden="1">#N/A</definedName>
    <definedName name="_3242ei1_" hidden="1">{#N/A,#N/A,TRUE,"RIDE";#N/A,#N/A,TRUE,"STEERING";#N/A,#N/A,TRUE,"HANDLING";#N/A,#N/A,TRUE,"BRAKING"}</definedName>
    <definedName name="_3272f" hidden="1">{#N/A,#N/A,FALSE,"Cover";#N/A,#N/A,FALSE,"Profits";#N/A,#N/A,FALSE,"ABS";#N/A,#N/A,FALSE,"TFLE Detail";#N/A,#N/A,FALSE,"TFLE Walk";#N/A,#N/A,FALSE,"Variable Cost";#N/A,#N/A,FALSE,"V.C. Walk"}</definedName>
    <definedName name="_33__123Graph_ACHART_88" hidden="1">#N/A</definedName>
    <definedName name="_33_0Total_L_M_C">#REF!</definedName>
    <definedName name="_34__123Graph_LBL_ACHART_1" hidden="1">#N/A</definedName>
    <definedName name="_3473h1_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35__123Graph_LBL_ACHART_14" hidden="1">#N/A</definedName>
    <definedName name="_36__123Graph_LBL_ACHART_159" hidden="1">#N/A</definedName>
    <definedName name="_36_0Total_L_M_Tru">#REF!</definedName>
    <definedName name="_37__123Graph_LBL_ACHART_160" hidden="1">#N/A</definedName>
    <definedName name="_38__123Graph_LBL_ACHART_161" hidden="1">#N/A</definedName>
    <definedName name="_38_0_F" hidden="1">#N/A</definedName>
    <definedName name="_39__123Graph_LBL_ACHART_162" hidden="1">#N/A</definedName>
    <definedName name="_39_0Total_Lincoln_C">#REF!</definedName>
    <definedName name="_4" hidden="1">#REF!</definedName>
    <definedName name="_4_?????????">#REF!</definedName>
    <definedName name="_4_0RCLvsRet">#REF!</definedName>
    <definedName name="_4_8_0Print_Area">#REF!</definedName>
    <definedName name="_40__123Graph_LBL_ACHART_163" hidden="1">#N/A</definedName>
    <definedName name="_401">#REF!</definedName>
    <definedName name="_41__123Graph_LBL_ACHART_164" hidden="1">#N/A</definedName>
    <definedName name="_42__123Graph_LBL_ACHART_2" hidden="1">#N/A</definedName>
    <definedName name="_42_0Total_Mercury_C">#REF!</definedName>
    <definedName name="_43__123Graph_LBL_ACHART_3" hidden="1">#N/A</definedName>
    <definedName name="_44__123Graph_LBL_ACHART_4" hidden="1">#N/A</definedName>
    <definedName name="_45__123Graph_LBL_ACHART_5" hidden="1">#N/A</definedName>
    <definedName name="_45_0Vehnum">#REF!</definedName>
    <definedName name="_46__123Graph_LBL_ACHART_6" hidden="1">#N/A</definedName>
    <definedName name="_47__123Graph_LBL_ACHART_7" hidden="1">#N/A</definedName>
    <definedName name="_48__123Graph_LBL_ACHART_8" hidden="1">#N/A</definedName>
    <definedName name="_48_5_0svc">#REF!</definedName>
    <definedName name="_49__123Graph_LBL_ACHART_80" hidden="1">#N/A</definedName>
    <definedName name="_4Revised_97_BP___9">#REF!</definedName>
    <definedName name="_5" hidden="1">#REF!</definedName>
    <definedName name="_5_??????????">#REF!</definedName>
    <definedName name="_5_0">#REF!</definedName>
    <definedName name="_5_0_F" hidden="1">#REF!</definedName>
    <definedName name="_5_01_MAB_NI_by_OPLOC_TLOC">#REF!</definedName>
    <definedName name="_5_8__Print_Area">#REF!</definedName>
    <definedName name="_50__123Graph_LBL_ACHART_81" hidden="1">#N/A</definedName>
    <definedName name="_506_Export_Invoice_Details">#REF!</definedName>
    <definedName name="_51__123Graph_LBL_ACHART_82" hidden="1">#N/A</definedName>
    <definedName name="_51_0_F" hidden="1">#REF!</definedName>
    <definedName name="_51J_0RELE">#REF!</definedName>
    <definedName name="_52__123Graph_LBL_ACHART_83" hidden="1">#N/A</definedName>
    <definedName name="_53__123Graph_LBL_ACHART_84" hidden="1">#N/A</definedName>
    <definedName name="_54__123Graph_LBL_ACHART_85" hidden="1">#N/A</definedName>
    <definedName name="_54L_0Super">#REF!</definedName>
    <definedName name="_55__123Graph_LBL_ACHART_86" hidden="1">#N/A</definedName>
    <definedName name="_56__123Graph_LBL_ACHART_87" hidden="1">#N/A</definedName>
    <definedName name="_562">#REF!</definedName>
    <definedName name="_57__123Graph_LBL_ACHART_88" hidden="1">#N/A</definedName>
    <definedName name="_57018" hidden="1">#REF!</definedName>
    <definedName name="_57019" hidden="1">#REF!</definedName>
    <definedName name="_57020" hidden="1">#REF!</definedName>
    <definedName name="_57021" hidden="1">#REF!</definedName>
    <definedName name="_57022" hidden="1">#REF!</definedName>
    <definedName name="_57023" hidden="1">#REF!</definedName>
    <definedName name="_57024" hidden="1">#REF!</definedName>
    <definedName name="_57025" hidden="1">#REF!</definedName>
    <definedName name="_57026" hidden="1">#REF!</definedName>
    <definedName name="_57027" hidden="1">#REF!</definedName>
    <definedName name="_57028" hidden="1">#REF!</definedName>
    <definedName name="_57029" hidden="1">#REF!</definedName>
    <definedName name="_57030" hidden="1">#REF!</definedName>
    <definedName name="_57031" hidden="1">#REF!</definedName>
    <definedName name="_57032" hidden="1">#REF!</definedName>
    <definedName name="_57M_0Heavies_Heavy15.16_Ma">#REF!</definedName>
    <definedName name="_6" hidden="1">#REF!</definedName>
    <definedName name="_6_???????????_01">#REF!</definedName>
    <definedName name="_6_0">#REF!</definedName>
    <definedName name="_6_0Ope">#REF!</definedName>
    <definedName name="_6_5_0svc">#REF!</definedName>
    <definedName name="_60M_0Heavies_Heavy19.24_Ma">#REF!</definedName>
    <definedName name="_651__123Graph_AChart_1" hidden="1">#REF!</definedName>
    <definedName name="_697__123Graph_XChart_1" hidden="1">#REF!</definedName>
    <definedName name="_7" hidden="1">#REF!</definedName>
    <definedName name="_7_??5???">#REF!</definedName>
    <definedName name="_7_0PE">#REF!</definedName>
    <definedName name="_7_5__svc">#REF!</definedName>
    <definedName name="_8" hidden="1">#REF!</definedName>
    <definedName name="_8_0pricesensitiv">#REF!</definedName>
    <definedName name="_8_185W_Master">#REF!</definedName>
    <definedName name="_9" hidden="1">#REF!</definedName>
    <definedName name="_9_0Revised_97_BP___9">#REF!</definedName>
    <definedName name="_9_0TOTAL_C">#REF!</definedName>
    <definedName name="_9_0VAR_RELE">#REF!</definedName>
    <definedName name="_9_186W_Master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F" hidden="1">#REF!</definedName>
    <definedName name="_a1">#REF!</definedName>
    <definedName name="_A165">#N/A</definedName>
    <definedName name="_a1OP">#REF!</definedName>
    <definedName name="_a1T">#REF!</definedName>
    <definedName name="_a1ZP">#REF!</definedName>
    <definedName name="_a2">#REF!</definedName>
    <definedName name="_A222">#REF!</definedName>
    <definedName name="_a23" hidden="1">{0,#N/A,FALSE,0;0,#N/A,FALSE,0;0,#N/A,FALSE,0;0,#N/A,FALSE,0}</definedName>
    <definedName name="_a29" hidden="1">{0,#N/A,FALSE,0}</definedName>
    <definedName name="_a2OP">#REF!</definedName>
    <definedName name="_a2T">#REF!</definedName>
    <definedName name="_a2ZP">#REF!</definedName>
    <definedName name="_a3">#REF!</definedName>
    <definedName name="_a35" hidden="1">{#VALUE!,#N/A,FALSE,0;#N/A,#N/A,FALSE,0;#N/A,#N/A,FALSE,0;#N/A,#N/A,FALSE,0;#N/A,#N/A,FALSE,0;#N/A,#N/A,FALSE,0;#N/A,#N/A,FALSE,0;#N/A,#N/A,FALSE,0}</definedName>
    <definedName name="_a3OP">#REF!</definedName>
    <definedName name="_a3T">#REF!</definedName>
    <definedName name="_a3ZP">#REF!</definedName>
    <definedName name="_a4">#REF!</definedName>
    <definedName name="_a4OP">#REF!</definedName>
    <definedName name="_a4T">#REF!</definedName>
    <definedName name="_a4ZP">#REF!</definedName>
    <definedName name="_a5">#REF!</definedName>
    <definedName name="_a6">#REF!</definedName>
    <definedName name="_a7">#REF!</definedName>
    <definedName name="_a8">#REF!</definedName>
    <definedName name="_a9">#REF!</definedName>
    <definedName name="_A99999">#REF!</definedName>
    <definedName name="_aa1">#REF!</definedName>
    <definedName name="_aa2">#REF!</definedName>
    <definedName name="_aa3">#REF!</definedName>
    <definedName name="_aa4">#REF!</definedName>
    <definedName name="_aa5">#REF!</definedName>
    <definedName name="_aa6">#REF!</definedName>
    <definedName name="_aa7">#REF!</definedName>
    <definedName name="_aa8">#REF!</definedName>
    <definedName name="_aa9">#REF!</definedName>
    <definedName name="_ab2" hidden="1">{#N/A,#N/A,FALSE,"Cover";#N/A,#N/A,FALSE,"Profits";#N/A,#N/A,FALSE,"ABS";#N/A,#N/A,FALSE,"TFLE Detail";#N/A,#N/A,FALSE,"TFLE Walk";#N/A,#N/A,FALSE,"Variable Cost";#N/A,#N/A,FALSE,"V.C. Walk"}</definedName>
    <definedName name="_ab3" hidden="1">{#N/A,#N/A,FALSE,"Profit Status";#N/A,#N/A,FALSE,"Invest";#N/A,#N/A,FALSE,"Revenue";#N/A,#N/A,FALSE,"Variable Cost";#N/A,#N/A,FALSE,"Options &amp; Series"}</definedName>
    <definedName name="_abc1" hidden="1">{0,#N/A,FALSE,0}</definedName>
    <definedName name="_abc2" hidden="1">{0,0,0,0;0,0,0,0;0,0,0,0;0,0,0,0;0,0,0,0;0,0,0,0;0,0,0,0;0,0,0,0;0,0,0,0;0,0,0,0;0,0,0,0}</definedName>
    <definedName name="_abc3" hidden="1">{"",0,0,0;0,0,0,0;0,0,0,0;0,0,0,0}</definedName>
    <definedName name="_abc4" hidden="1">{0,#N/A,FALSE,0}</definedName>
    <definedName name="_AC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ACT1">#REF!</definedName>
    <definedName name="_ACT2">#REF!</definedName>
    <definedName name="_ACT3">#REF!</definedName>
    <definedName name="_ADJ1">#REF!</definedName>
    <definedName name="_ADJ2">#REF!</definedName>
    <definedName name="_ADR1">#REF!</definedName>
    <definedName name="_ADR2">#REF!</definedName>
    <definedName name="_ADR3">#REF!</definedName>
    <definedName name="_aje1">#REF!</definedName>
    <definedName name="_alr99">90.63</definedName>
    <definedName name="_App2" hidden="1">{#N/A,#N/A,FALSE,"Cover Page";#N/A,#N/A,FALSE,"Facing Page";#N/A,#N/A,FALSE,"Main Page";#N/A,#N/A,FALSE,"Risk-Adjusted";#N/A,#N/A,FALSE,"Profit Improvement"}</definedName>
    <definedName name="_Appendix" hidden="1">{"REVISED",#N/A,FALSE,"Sheet1"}</definedName>
    <definedName name="_Apr04" hidden="1">{"current deposit",#N/A,FALSE,"Sheet1"}</definedName>
    <definedName name="_Apr05" hidden="1">{#N/A,#N/A,FALSE,"Sheet1";"current deposit",#N/A,FALSE,"Sheet1";"current deposit",#N/A,FALSE,"Sheet1"}</definedName>
    <definedName name="_APS2003" hidden="1">{#N/A,#N/A,FALSE,"expense";#N/A,#N/A,FALSE,"heads"}</definedName>
    <definedName name="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2" hidden="1">{"Fiesta Facer Page",#N/A,FALSE,"Q_C_S";"Fiesta Main Page",#N/A,FALSE,"V_L";"Fiesta 95BP Struct",#N/A,FALSE,"StructBP";"Fiesta Post 95BP Struct",#N/A,FALSE,"AdjStructBP"}</definedName>
    <definedName name="_arm13" hidden="1">{"Presentation",#N/A,FALSE,"Feb96 - ALL"}</definedName>
    <definedName name="_arm14" hidden="1">{"Presentation",#N/A,FALSE,"Feb96 - ALL"}</definedName>
    <definedName name="_arm15" hidden="1">{"Presentation",#N/A,FALSE,"Feb96 - ALL"}</definedName>
    <definedName name="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8" hidden="1">{"Presentation",#N/A,FALSE,"Feb96 - ALL"}</definedName>
    <definedName name="_arm19" hidden="1">{"Fiesta Facer Page",#N/A,FALSE,"Q_C_S";"Fiesta Main Page",#N/A,FALSE,"V_L";"Fiesta 95BP Struct",#N/A,FALSE,"StructBP";"Fiesta Post 95BP Struct",#N/A,FALSE,"AdjStructBP"}</definedName>
    <definedName name="_arm20" hidden="1">{"Fiesta Facer Page",#N/A,FALSE,"Q_C_S";"Fiesta Main Page",#N/A,FALSE,"V_L";"Fiesta 95BP Struct",#N/A,FALSE,"StructBP";"Fiesta Post 95BP Struct",#N/A,FALSE,"AdjStructBP"}</definedName>
    <definedName name="_arm21" hidden="1">{"Presentation",#N/A,FALSE,"Feb96 - ALL"}</definedName>
    <definedName name="_arm22" hidden="1">{"Presentation",#N/A,FALSE,"Feb96 - ALL"}</definedName>
    <definedName name="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5" hidden="1">{"Fiesta Facer Page",#N/A,FALSE,"Q_C_S";"Fiesta Main Page",#N/A,FALSE,"V_L";"Fiesta 95BP Struct",#N/A,FALSE,"StructBP";"Fiesta Post 95BP Struct",#N/A,FALSE,"AdjStructBP"}</definedName>
    <definedName name="_arm26" hidden="1">{"Fiesta Facer Page",#N/A,FALSE,"Q_C_S";"Fiesta Main Page",#N/A,FALSE,"V_L";"Fiesta 95BP Struct",#N/A,FALSE,"StructBP";"Fiesta Post 95BP Struct",#N/A,FALSE,"AdjStructBP"}</definedName>
    <definedName name="_arm27" hidden="1">{"Presentation",#N/A,FALSE,"Feb96 - ALL"}</definedName>
    <definedName name="_arm28" hidden="1">{"Presentation",#N/A,FALSE,"Feb96 - ALL"}</definedName>
    <definedName name="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4" hidden="1">{"Fiesta Facer Page",#N/A,FALSE,"Q_C_S";"Fiesta Main Page",#N/A,FALSE,"V_L";"Fiesta 95BP Struct",#N/A,FALSE,"StructBP";"Fiesta Post 95BP Struct",#N/A,FALSE,"AdjStructBP"}</definedName>
    <definedName name="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8" hidden="1">{"Presentation",#N/A,FALSE,"Feb96 - ALL"}</definedName>
    <definedName name="_arm9" hidden="1">{"Presentation",#N/A,FALSE,"Feb96 - ALL"}</definedName>
    <definedName name="_Att1" hidden="1">{#VALUE!,#N/A,FALSE,0;#N/A,#N/A,FALSE,0;#N/A,#N/A,FALSE,0;#N/A,#N/A,FALSE,0}</definedName>
    <definedName name="_att2">#REF!</definedName>
    <definedName name="_att3">#REF!</definedName>
    <definedName name="_att4">#REF!</definedName>
    <definedName name="_Aug04" hidden="1">{#N/A,#N/A,FALSE,"Sheet1";"current deposit",#N/A,FALSE,"Sheet1";"current deposit",#N/A,FALSE,"Sheet1"}</definedName>
    <definedName name="_Aug05" hidden="1">{"current deposit",#N/A,FALSE,"Sheet1"}</definedName>
    <definedName name="_avg2" hidden="1">{"Avg_Arg_NoAc",#N/A,FALSE,"Wk_Arg_NoAc";"Avg_Arg_Act",#N/A,FALSE,"Wk_Arg_Act";"Avg_Brz_NoAct",#N/A,FALSE,"Wk_Brz_NoAc";"Avg_Brz_Act",#N/A,FALSE,"Wk_Brz_Act"}</definedName>
    <definedName name="_b1">#REF!</definedName>
    <definedName name="_b1OP">#REF!</definedName>
    <definedName name="_b1T">#REF!</definedName>
    <definedName name="_b1ZP">#REF!</definedName>
    <definedName name="_b2">#REF!</definedName>
    <definedName name="_b2OP">#REF!</definedName>
    <definedName name="_b2T">#REF!</definedName>
    <definedName name="_b2ZP">#REF!</definedName>
    <definedName name="_b3">#REF!</definedName>
    <definedName name="_b3OP">#REF!</definedName>
    <definedName name="_b3T">#REF!</definedName>
    <definedName name="_b3ZP">#REF!</definedName>
    <definedName name="_b4">#REF!</definedName>
    <definedName name="_b4OP">#REF!</definedName>
    <definedName name="_b4T">#REF!</definedName>
    <definedName name="_b4ZP">#REF!</definedName>
    <definedName name="_b5678" hidden="1">{"Presentation",#N/A,FALSE,"Feb96 - ALL"}</definedName>
    <definedName name="_ba1" hidden="1">{"Fiesta Facer Page",#N/A,FALSE,"Q_C_S";"Fiesta Main Page",#N/A,FALSE,"V_L";"Fiesta 95BP Struct",#N/A,FALSE,"StructBP";"Fiesta Post 95BP Struct",#N/A,FALSE,"AdjStructBP"}</definedName>
    <definedName name="_ba1_1" hidden="1">{"Fiesta Facer Page",#N/A,FALSE,"Q_C_S";"Fiesta Main Page",#N/A,FALSE,"V_L";"Fiesta 95BP Struct",#N/A,FALSE,"StructBP";"Fiesta Post 95BP Struct",#N/A,FALSE,"AdjStructBP"}</definedName>
    <definedName name="_ba1_2" hidden="1">{"Fiesta Facer Page",#N/A,FALSE,"Q_C_S";"Fiesta Main Page",#N/A,FALSE,"V_L";"Fiesta 95BP Struct",#N/A,FALSE,"StructBP";"Fiesta Post 95BP Struct",#N/A,FALSE,"AdjStructBP"}</definedName>
    <definedName name="_ba1_3" hidden="1">{"Fiesta Facer Page",#N/A,FALSE,"Q_C_S";"Fiesta Main Page",#N/A,FALSE,"V_L";"Fiesta 95BP Struct",#N/A,FALSE,"StructBP";"Fiesta Post 95BP Struct",#N/A,FALSE,"AdjStructBP"}</definedName>
    <definedName name="_bb2" hidden="1">{"Fiesta Facer Page",#N/A,FALSE,"Q_C_S";"Fiesta Main Page",#N/A,FALSE,"V_L";"Fiesta 95BP Struct",#N/A,FALSE,"StructBP";"Fiesta Post 95BP Struct",#N/A,FALSE,"AdjStructBP"}</definedName>
    <definedName name="_be01" hidden="1">{"current deposit",#N/A,FALSE,"Sheet1"}</definedName>
    <definedName name="_bjw1" hidden="1">{#N/A,#N/A,FALSE,"Profit Status";#N/A,#N/A,FALSE,"Invest";#N/A,#N/A,FALSE,"Revenue";#N/A,#N/A,FALSE,"Variable Cost";#N/A,#N/A,FALSE,"Options &amp; Series"}</definedName>
    <definedName name="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K09">#REF!</definedName>
    <definedName name="_BV226" hidden="1">{#N/A,#N/A,FALSE,"TR_OUT1"}</definedName>
    <definedName name="_c" hidden="1">{"Fiesta Facer Page",#N/A,FALSE,"Q_C_S";"Fiesta Main Page",#N/A,FALSE,"V_L";"Fiesta 95BP Struct",#N/A,FALSE,"StructBP";"Fiesta Post 95BP Struct",#N/A,FALSE,"AdjStructBP"}</definedName>
    <definedName name="_ca1" hidden="1">{"Presentation",#N/A,FALSE,"Feb96 - ALL"}</definedName>
    <definedName name="_CAP1">#REF!</definedName>
    <definedName name="_cap2">#REF!</definedName>
    <definedName name="_cap3">#REF!</definedName>
    <definedName name="_cap4">#REF!</definedName>
    <definedName name="_cap5">#REF!</definedName>
    <definedName name="_cb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cc1">#REF!</definedName>
    <definedName name="_cc2">#REF!</definedName>
    <definedName name="_cc3">#REF!</definedName>
    <definedName name="_ccc1">#REF!</definedName>
    <definedName name="_ccc2">#REF!</definedName>
    <definedName name="_CD1" hidden="1">{0,0,0,0}</definedName>
    <definedName name="_CD2" hidden="1">{0,0,0,0;0,0,0,0;0,0,0,0;0,0,0,0;0,0,0,0;0,0,0,0;0,FALSE,0,0}</definedName>
    <definedName name="_CD3" hidden="1">{0,0,0,0}</definedName>
    <definedName name="_com" hidden="1">{"'OBT_6M_30_6'!$S$1:$AE$53"}</definedName>
    <definedName name="_con" hidden="1">{"'OBT_6M_30_6'!$S$1:$AE$53"}</definedName>
    <definedName name="_COP182">#REF!</definedName>
    <definedName name="_CVB1" hidden="1">{"MaskProfCalc",#N/A,FALSE,"Mask";"MaskTrade",#N/A,FALSE,"Mask"}</definedName>
    <definedName name="_cvb2" hidden="1">{"MaskProfCalc",#N/A,FALSE,"Mask";"MaskTrade",#N/A,FALSE,"Mask"}</definedName>
    <definedName name="_cz1" hidden="1">{"Fiesta Facer Page",#N/A,FALSE,"Q_C_S";"Fiesta Main Page",#N/A,FALSE,"V_L";"Fiesta 95BP Struct",#N/A,FALSE,"StructBP";"Fiesta Post 95BP Struct",#N/A,FALSE,"AdjStructBP"}</definedName>
    <definedName name="_d1" hidden="1">{#N/A,#N/A,FALSE,"Cover";#N/A,#N/A,FALSE,"Profits";#N/A,#N/A,FALSE,"ABS";#N/A,#N/A,FALSE,"TFLE Detail";#N/A,#N/A,FALSE,"TFLE Walk";#N/A,#N/A,FALSE,"Variable Cost";#N/A,#N/A,FALSE,"V.C. Walk"}</definedName>
    <definedName name="_d2" hidden="1">{#N/A,#N/A,FALSE,"UW152PPL"}</definedName>
    <definedName name="_d2005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_D258" hidden="1">{"Presentation",#N/A,FALSE,"Feb96 - ALL"}</definedName>
    <definedName name="_D258_1" hidden="1">{"Presentation",#N/A,FALSE,"Feb96 - ALL"}</definedName>
    <definedName name="_D258_2" hidden="1">{"Presentation",#N/A,FALSE,"Feb96 - ALL"}</definedName>
    <definedName name="_D258_3" hidden="1">{"Presentation",#N/A,FALSE,"Feb96 - ALL"}</definedName>
    <definedName name="_D3" hidden="1">{#N/A,#N/A,FALSE,"TR_OUT1"}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2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3" hidden="1">{#N/A,#N/A,FALSE,"Chart";#N/A,#N/A,FALSE,"Overview";#N/A,#N/A,FALSE,"Overview_Acty";#N/A,#N/A,FALSE,"Inc97D";#N/A,#N/A,FALSE,"Rel_Inc97TD";#N/A,#N/A,FALSE,"Rel_Inc_97_NTD";#N/A,#N/A,FALSE,"Marketing";#N/A,#N/A,FALSE,"Pot_97"}</definedName>
    <definedName name="_dd1">#REF!</definedName>
    <definedName name="_dd2">#REF!</definedName>
    <definedName name="_dd3">#REF!</definedName>
    <definedName name="_dd4">#REF!</definedName>
    <definedName name="_dd5">#REF!</definedName>
    <definedName name="_dd7">#REF!</definedName>
    <definedName name="_dd8">#REF!</definedName>
    <definedName name="_dd9">#REF!</definedName>
    <definedName name="_Dec04" hidden="1">{"current deposit",#N/A,FALSE,"Sheet1"}</definedName>
    <definedName name="_Dec05" hidden="1">{"current deposit",#N/A,FALSE,"Sheet1"}</definedName>
    <definedName name="_DEC06" hidden="1">{"current deposit",#N/A,FALSE,"Sheet1"}</definedName>
    <definedName name="_DEC20" hidden="1">{#N/A,#N/A,FALSE,"Cover Page";#N/A,#N/A,FALSE,"Facing Page";#N/A,#N/A,FALSE,"Main Page";#N/A,#N/A,FALSE,"Risk-Adjusted";#N/A,#N/A,FALSE,"Profit Improvement"}</definedName>
    <definedName name="_DEL1" hidden="1">{"Fiesta Facer Page",#N/A,FALSE,"Q_C_S";"Fiesta Main Page",#N/A,FALSE,"V_L";"Fiesta 95BP Struct",#N/A,FALSE,"StructBP";"Fiesta Post 95BP Struct",#N/A,FALSE,"AdjStructBP"}</definedName>
    <definedName name="_DEL2" hidden="1">{#N/A,#N/A,FALSE,"expense";#N/A,#N/A,FALSE,"heads"}</definedName>
    <definedName name="_DEL3" hidden="1">{#N/A,#N/A,FALSE,"SumMonth"}</definedName>
    <definedName name="_DEL4" hidden="1">{#N/A,#N/A,FALSE,"SumMonth";#N/A,#N/A,FALSE,"SumMonth"}</definedName>
    <definedName name="_DEL5" hidden="1">{#N/A,#N/A,FALSE,"2001 CBG";#N/A,#N/A,FALSE,"2002 CBG";#N/A,#N/A,FALSE,"2003 CBG";#N/A,#N/A,FALSE,"2004 CBG";#N/A,#N/A,FALSE,"2005 CBG";#N/A,#N/A,FALSE,"2006 CBG ";#N/A,#N/A,FALSE,"2007 CBG";#N/A,#N/A,FALSE,"2008 CBG"}</definedName>
    <definedName name="_Dist_Bin" hidden="1">#REF!</definedName>
    <definedName name="_Dist_Values" hidden="1">#REF!</definedName>
    <definedName name="_dkk1">#REF!</definedName>
    <definedName name="_dkk2">#REF!</definedName>
    <definedName name="_DLR32">#REF!</definedName>
    <definedName name="_e4" hidden="1">{"REVISED",#N/A,FALSE,"Sheet1"}</definedName>
    <definedName name="_edu03" hidden="1">{#N/A,#N/A,FALSE,"Assumptions";#N/A,#N/A,FALSE,"Volumes";#N/A,#N/A,FALSE,"Pricing";#N/A,#N/A,FALSE,"Variable Cost";#N/A,#N/A,FALSE,"Investment";#N/A,#N/A,FALSE,"Profitability";#N/A,#N/A,FALSE,"Business Comparison"}</definedName>
    <definedName name="_edu05" hidden="1">{#N/A,#N/A,FALSE,"Assumptions";#N/A,#N/A,FALSE,"Volumes";#N/A,#N/A,FALSE,"Pricing";#N/A,#N/A,FALSE,"Variable Cost";#N/A,#N/A,FALSE,"Investment";#N/A,#N/A,FALSE,"Profitability";#N/A,#N/A,FALSE,"Business Comparison"}</definedName>
    <definedName name="_edu07" hidden="1">{#N/A,#N/A,FALSE,"Assumptions";#N/A,#N/A,FALSE,"Volumes";#N/A,#N/A,FALSE,"Pricing";#N/A,#N/A,FALSE,"Variable Cost";#N/A,#N/A,FALSE,"Investment";#N/A,#N/A,FALSE,"Profitability";#N/A,#N/A,FALSE,"Business Comparison"}</definedName>
    <definedName name="_ee1">#REF!</definedName>
    <definedName name="_ee2">#REF!</definedName>
    <definedName name="_ee3">#REF!</definedName>
    <definedName name="_ee4">#REF!</definedName>
    <definedName name="_ee5">#REF!</definedName>
    <definedName name="_ee6">#REF!</definedName>
    <definedName name="_ee7">#REF!</definedName>
    <definedName name="_ee8">#REF!</definedName>
    <definedName name="_ee9">#REF!</definedName>
    <definedName name="_ei1" hidden="1">{#N/A,#N/A,TRUE,"RIDE";#N/A,#N/A,TRUE,"STEERING";#N/A,#N/A,TRUE,"HANDLING";#N/A,#N/A,TRUE,"BRAKING"}</definedName>
    <definedName name="_exp10">#REF!</definedName>
    <definedName name="_exp11">#REF!</definedName>
    <definedName name="_exp12">#REF!</definedName>
    <definedName name="_EXP22">#REF!</definedName>
    <definedName name="_exp5">#REF!</definedName>
    <definedName name="_exp7">#REF!</definedName>
    <definedName name="_exp8">#REF!</definedName>
    <definedName name="_exp9">#REF!</definedName>
    <definedName name="_f" hidden="1">#REF!</definedName>
    <definedName name="_f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fe1">#REF!</definedName>
    <definedName name="_Feb04" hidden="1">{#N/A,#N/A,FALSE,"Sheet1";"current deposit",#N/A,FALSE,"Sheet1";"current deposit",#N/A,FALSE,"Sheet1"}</definedName>
    <definedName name="_Feb05" hidden="1">{#N/A,#N/A,FALSE,"Sheet1";"current deposit",#N/A,FALSE,"Sheet1";"current deposit",#N/A,FALSE,"Sheet1"}</definedName>
    <definedName name="_ff1">#REF!</definedName>
    <definedName name="_ff2">#REF!</definedName>
    <definedName name="_ff3">#REF!</definedName>
    <definedName name="_ff4">#REF!</definedName>
    <definedName name="_ff5">#REF!</definedName>
    <definedName name="_ff6">#REF!</definedName>
    <definedName name="_ff7">#REF!</definedName>
    <definedName name="_ff8">#REF!</definedName>
    <definedName name="_ff9">#REF!</definedName>
    <definedName name="_fg151" hidden="1">{#N/A,#N/A,FALSE,"Profit Status";#N/A,#N/A,FALSE,"Invest";#N/A,#N/A,FALSE,"Revenue";#N/A,#N/A,FALSE,"Variable Cost";#N/A,#N/A,FALSE,"Options &amp; Series"}</definedName>
    <definedName name="_fg16" hidden="1">{#N/A,#N/A,FALSE,"Assumptions";#N/A,#N/A,FALSE,"Volumes";#N/A,#N/A,FALSE,"Pricing";#N/A,#N/A,FALSE,"Variable Cost";#N/A,#N/A,FALSE,"Investment";#N/A,#N/A,FALSE,"Profitability";#N/A,#N/A,FALSE,"Business Comparison"}</definedName>
    <definedName name="_Fill" hidden="1">#REF!</definedName>
    <definedName name="_xlnm._FilterDatabase" localSheetId="8" hidden="1">'Daily Down time'!$A$26:$B$26</definedName>
    <definedName name="_xlnm._FilterDatabase" localSheetId="6" hidden="1">'Down time, Issue'!$A$1:$U$130</definedName>
    <definedName name="_xlnm._FilterDatabase" localSheetId="14" hidden="1">'Feb-26'!$A$1:$B$1</definedName>
    <definedName name="_xlnm._FilterDatabase" localSheetId="16" hidden="1">'Jan-26'!$A$1:$B$1</definedName>
    <definedName name="_xlnm._FilterDatabase" localSheetId="12" hidden="1">'Loss-Mar2026'!$A$26:$B$26</definedName>
    <definedName name="_xlnm._FilterDatabase" localSheetId="10" hidden="1">'MTD-Down time'!$A$26:$B$26</definedName>
    <definedName name="_xlnm._FilterDatabase" localSheetId="9" hidden="1">'WTD-Down time'!$A$26:$B$26</definedName>
    <definedName name="_xlnm._FilterDatabase" hidden="1">#REF!</definedName>
    <definedName name="_fin1" hidden="1">{#N/A,#N/A,FALSE,"Cover";#N/A,#N/A,FALSE,"Profits";#N/A,#N/A,FALSE,"ABS";#N/A,#N/A,FALSE,"TFLE Detail";#N/A,#N/A,FALSE,"TFLE Walk";#N/A,#N/A,FALSE,"Variable Cost";#N/A,#N/A,FALSE,"V.C. Walk"}</definedName>
    <definedName name="_FRANCE">#REF!</definedName>
    <definedName name="_g5" hidden="1">{#N/A,#N/A,FALSE,"UW152PPL"}</definedName>
    <definedName name="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g687" hidden="1">{"2001-02 Summary",#N/A,TRUE,"Summary";"2001-06 Summary",#N/A,TRUE,"Summary"}</definedName>
    <definedName name="_g7" hidden="1">{#N/A,#N/A,FALSE,"Cover";#N/A,#N/A,FALSE,"Profits";#N/A,#N/A,FALSE,"ABS";#N/A,#N/A,FALSE,"TFLE Detail";#N/A,#N/A,FALSE,"TFLE Walk";#N/A,#N/A,FALSE,"Variable Cost";#N/A,#N/A,FALSE,"V.C. Walk"}</definedName>
    <definedName name="_ggg5" hidden="1">{0,#N/A,FALSE,0;0,#N/A,FALSE,0;0,#N/A,FALSE,0;0,#N/A,FALSE,0}</definedName>
    <definedName name="_gph3" hidden="1">{"salaried",#N/A,FALSE,"VLD View (2)"}</definedName>
    <definedName name="_gph4" hidden="1">{"rev",#N/A,FALSE,"ppepsum";"vcost",#N/A,FALSE,"ppepsum";"ecprof",#N/A,FALSE,"ppepsum"}</definedName>
    <definedName name="_gph5" hidden="1">{"rates",#N/A,FALSE,"tavg4a";"rev",#N/A,FALSE,"tavg4a"}</definedName>
    <definedName name="_gph6" hidden="1">{"pep204a",#N/A,FALSE,"tpepsum4a";"pep205a",#N/A,FALSE,"tpepsum4a";"wpep204a",#N/A,FALSE,"tpepsum4a";"wpep205a",#N/A,FALSE,"tpepsum4a"}</definedName>
    <definedName name="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300" hidden="1">{"Presentation",#N/A,FALSE,"Feb96 - ALL"}</definedName>
    <definedName name="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h4" hidden="1">{"REVISED",#N/A,FALSE,"Sheet1"}</definedName>
    <definedName name="_hg1">#REF!</definedName>
    <definedName name="_hou23" localSheetId="5">Scheduled_Payment+Extra_Payment</definedName>
    <definedName name="_hou23" localSheetId="8">Scheduled_Payment+Extra_Payment</definedName>
    <definedName name="_hou23" localSheetId="6">Scheduled_Payment+Extra_Payment</definedName>
    <definedName name="_hou23" localSheetId="13">Scheduled_Payment+Extra_Payment</definedName>
    <definedName name="_hou23" localSheetId="14">Scheduled_Payment+Extra_Payment</definedName>
    <definedName name="_hou23" localSheetId="12">Scheduled_Payment+Extra_Payment</definedName>
    <definedName name="_hou23" localSheetId="4">Scheduled_Payment+Extra_Payment</definedName>
    <definedName name="_hou23" localSheetId="10">Scheduled_Payment+Extra_Payment</definedName>
    <definedName name="_hou23" localSheetId="9">Scheduled_Payment+Extra_Payment</definedName>
    <definedName name="_hou23">Scheduled_Payment+Extra_Payment</definedName>
    <definedName name="_i456132" hidden="1">{"2001-02 Summary",#N/A,TRUE,"Summary";"2001-06 Summary",#N/A,TRUE,"Summary"}</definedName>
    <definedName name="_Ita1" hidden="1">{#N/A,#N/A,FALSE,"Profit Status";#N/A,#N/A,FALSE,"Invest";#N/A,#N/A,FALSE,"Revenue";#N/A,#N/A,FALSE,"Variable Cost";#N/A,#N/A,FALSE,"Options &amp; Series"}</definedName>
    <definedName name="_IZ1">#REF!</definedName>
    <definedName name="_j7" hidden="1">{#N/A,#N/A,FALSE,"Cover";#N/A,#N/A,FALSE,"Profits";#N/A,#N/A,FALSE,"ABS";#N/A,#N/A,FALSE,"TFLE Detail";#N/A,#N/A,FALSE,"TFLE Walk";#N/A,#N/A,FALSE,"Variable Cost";#N/A,#N/A,FALSE,"V.C. Walk"}</definedName>
    <definedName name="_Jan04" hidden="1">{#N/A,#N/A,FALSE,"Sheet1";"current deposit",#N/A,FALSE,"Sheet1";"current deposit",#N/A,FALSE,"Sheet1"}</definedName>
    <definedName name="_JE17">#REF!</definedName>
    <definedName name="_jij1" hidden="1">{"Fiesta Facer Page",#N/A,FALSE,"Q_C_S";"Fiesta Main Page",#N/A,FALSE,"V_L";"Fiesta 95BP Struct",#N/A,FALSE,"StructBP";"Fiesta Post 95BP Struct",#N/A,FALSE,"AdjStructBP"}</definedName>
    <definedName name="_JJ1">#REF!</definedName>
    <definedName name="_jj2" hidden="1">{"'Highlights'!$A$1:$M$123"}</definedName>
    <definedName name="_joe1" hidden="1">{#N/A,#N/A,FALSE,"Cover Page";#N/A,#N/A,FALSE,"Facing Page";#N/A,#N/A,FALSE,"Main Page";#N/A,#N/A,FALSE,"Risk-Adjusted";#N/A,#N/A,FALSE,"Profit Improvement"}</definedName>
    <definedName name="_joe2" hidden="1">{#N/A,#N/A,FALSE,"Cover Page";#N/A,#N/A,FALSE,"Facing Page";#N/A,#N/A,FALSE,"Main Page";#N/A,#N/A,FALSE,"Risk-Adjusted";#N/A,#N/A,FALSE,"Profit Improvement"}</definedName>
    <definedName name="_Jul04" hidden="1">{"current deposit",#N/A,FALSE,"Sheet1"}</definedName>
    <definedName name="_Jul05" hidden="1">{#N/A,#N/A,FALSE,"Sheet1";"current deposit",#N/A,FALSE,"Sheet1";"current deposit",#N/A,FALSE,"Sheet1"}</definedName>
    <definedName name="_Jun04" hidden="1">{#N/A,#N/A,FALSE,"Sheet1";"current deposit",#N/A,FALSE,"Sheet1";"current deposit",#N/A,FALSE,"Sheet1"}</definedName>
    <definedName name="_K2" hidden="1">{#N/A,#N/A,FALSE,"Sheet1"}</definedName>
    <definedName name="_k8" hidden="1">{"REVISED",#N/A,FALSE,"Sheet1"}</definedName>
    <definedName name="_KA1" hidden="1">{#N/A,#N/A,FALSE,"Sheet1"}</definedName>
    <definedName name="_key">#REF!</definedName>
    <definedName name="_Key010" hidden="1">#REF!</definedName>
    <definedName name="_Key020" hidden="1">#REF!</definedName>
    <definedName name="_Key1" hidden="1">#REF!</definedName>
    <definedName name="_Key2" hidden="1">#REF!</definedName>
    <definedName name="_kg1" hidden="1">{"rev",#N/A,FALSE,"ppepsum";"vcost",#N/A,FALSE,"ppepsum";"ecprof",#N/A,FALSE,"ppepsum"}</definedName>
    <definedName name="_kp1" hidden="1">{"pep204a",#N/A,FALSE,"tpepsum4a";"pep205a",#N/A,FALSE,"tpepsum4a";"wpep204a",#N/A,FALSE,"tpepsum4a";"wpep205a",#N/A,FALSE,"tpepsum4a"}</definedName>
    <definedName name="_kp2" hidden="1">{"pep204a",#N/A,FALSE,"tpepsum4a";"pep205a",#N/A,FALSE,"tpepsum4a";"wpep204a",#N/A,FALSE,"tpepsum4a";"wpep205a",#N/A,FALSE,"tpepsum4a"}</definedName>
    <definedName name="_l9" hidden="1">{"REVISED",#N/A,FALSE,"Sheet1"}</definedName>
    <definedName name="_LD1">#N/A</definedName>
    <definedName name="_LD2">#N/A</definedName>
    <definedName name="_lev4" hidden="1">{#N/A,#N/A,FALSE,"TEST HOURS MONTHLY REPORT"}</definedName>
    <definedName name="_lit1">#REF!</definedName>
    <definedName name="_lit2">#REF!</definedName>
    <definedName name="_lk1" hidden="1">{"Presentation",#N/A,FALSE,"Feb96 - ALL"}</definedName>
    <definedName name="_LL1">#REF!</definedName>
    <definedName name="_M1">#REF!</definedName>
    <definedName name="_Mar04" hidden="1">{#N/A,#N/A,FALSE,"Sheet1";"current deposit",#N/A,FALSE,"Sheet1";"current deposit",#N/A,FALSE,"Sheet1"}</definedName>
    <definedName name="_Mar05" hidden="1">{#N/A,#N/A,FALSE,"Sheet1";"current deposit",#N/A,FALSE,"Sheet1";"current deposit",#N/A,FALSE,"Sheet1"}</definedName>
    <definedName name="_May04" hidden="1">{#N/A,#N/A,FALSE,"Sheet1";"current deposit",#N/A,FALSE,"Sheet1";"current deposit",#N/A,FALSE,"Sheet1"}</definedName>
    <definedName name="_may05" hidden="1">{#N/A,#N/A,FALSE,"Sheet1";"current deposit",#N/A,FALSE,"Sheet1";"current deposit",#N/A,FALSE,"Sheet1"}</definedName>
    <definedName name="_MM1">#REF!</definedName>
    <definedName name="_MMT6" hidden="1">{"REVISED",#N/A,FALSE,"Sheet1"}</definedName>
    <definedName name="_MZ1">#REF!</definedName>
    <definedName name="_N4" hidden="1">{#N/A,#N/A,FALSE,"Sheet1"}</definedName>
    <definedName name="_NEw1" hidden="1">{#N/A,#N/A,FALSE,"Chart";#N/A,#N/A,FALSE,"Chart"}</definedName>
    <definedName name="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ov04" hidden="1">{#N/A,#N/A,FALSE,"Sheet1";"current deposit",#N/A,FALSE,"Sheet1";"current deposit",#N/A,FALSE,"Sheet1"}</definedName>
    <definedName name="_Nov041" hidden="1">{#N/A,#N/A,FALSE,"Sheet1";"current deposit",#N/A,FALSE,"Sheet1";"current deposit",#N/A,FALSE,"Sheet1"}</definedName>
    <definedName name="_nOV05" hidden="1">{"current deposit",#N/A,FALSE,"Sheet1"}</definedName>
    <definedName name="_NOV07" hidden="1">{#N/A,#N/A,FALSE,"Sheet1";"current deposit",#N/A,FALSE,"Sheet1";"current deposit",#N/A,FALSE,"Sheet1"}</definedName>
    <definedName name="_Oct04" hidden="1">{#N/A,#N/A,FALSE,"Sheet1";"current deposit",#N/A,FALSE,"Sheet1";"current deposit",#N/A,FALSE,"Sheet1"}</definedName>
    <definedName name="_Oct05" hidden="1">{"current deposit",#N/A,FALSE,"Sheet1"}</definedName>
    <definedName name="_OCT334">#REF!</definedName>
    <definedName name="_old2">#REF!</definedName>
    <definedName name="_old3">#REF!</definedName>
    <definedName name="_OP1">#REF!</definedName>
    <definedName name="_OP2">#REF!</definedName>
    <definedName name="_OP3">#REF!</definedName>
    <definedName name="_OP4">#REF!</definedName>
    <definedName name="_OP5">#REF!</definedName>
    <definedName name="_OP6">#REF!</definedName>
    <definedName name="_Order020" hidden="1">0</definedName>
    <definedName name="_Order1" hidden="1">255</definedName>
    <definedName name="_Order2" hidden="1">0</definedName>
    <definedName name="_pag1">#REF!</definedName>
    <definedName name="_Parse_In" hidden="1">#REF!</definedName>
    <definedName name="_Parse_Out" hidden="1">#REF!</definedName>
    <definedName name="_Pbs1">#REF!</definedName>
    <definedName name="_Pbs2">#REF!</definedName>
    <definedName name="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F1">#REF!</definedName>
    <definedName name="_PF2">#REF!</definedName>
    <definedName name="_PF3">#REF!</definedName>
    <definedName name="_PG2">#REF!</definedName>
    <definedName name="_PG3">#REF!</definedName>
    <definedName name="_PG4">#REF!</definedName>
    <definedName name="_PM2">#REF!</definedName>
    <definedName name="_pmm1" hidden="1">{#N/A,#N/A,FALSE,"Assumptions";#N/A,#N/A,FALSE,"Volumes";#N/A,#N/A,FALSE,"Pricing";#N/A,#N/A,FALSE,"Variable Cost";#N/A,#N/A,FALSE,"Investment";#N/A,#N/A,FALSE,"Profitability";#N/A,#N/A,FALSE,"Business Comparison"}</definedName>
    <definedName name="_pmm2" hidden="1">{#N/A,#N/A,FALSE,"Assumptions";#N/A,#N/A,FALSE,"Volumes";#N/A,#N/A,FALSE,"Pricing";#N/A,#N/A,FALSE,"Variable Cost";#N/A,#N/A,FALSE,"Investment";#N/A,#N/A,FALSE,"Profitability";#N/A,#N/A,FALSE,"Business Comparison"}</definedName>
    <definedName name="_pmm3" hidden="1">{#N/A,#N/A,FALSE,"Cover";#N/A,#N/A,FALSE,"Profits";#N/A,#N/A,FALSE,"ABS";#N/A,#N/A,FALSE,"TFLE Detail";#N/A,#N/A,FALSE,"TFLE Walk";#N/A,#N/A,FALSE,"Variable Cost";#N/A,#N/A,FALSE,"V.C. Walk"}</definedName>
    <definedName name="_pmm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wc_DevelopmentStartActualDate">#REF!</definedName>
    <definedName name="_pmwc_ProgramStartActualDate">#REF!</definedName>
    <definedName name="_po1" hidden="1">{"Presentation",#N/A,FALSE,"Feb96 - ALL"}</definedName>
    <definedName name="_q1">#REF!</definedName>
    <definedName name="_q2">#REF!</definedName>
    <definedName name="_q3">#REF!</definedName>
    <definedName name="_q4">#REF!</definedName>
    <definedName name="_q5">#REF!</definedName>
    <definedName name="_q6">#REF!</definedName>
    <definedName name="_q7">#REF!</definedName>
    <definedName name="_q8">#REF!</definedName>
    <definedName name="_q9">#REF!</definedName>
    <definedName name="_qq1">#REF!</definedName>
    <definedName name="_qq2">#REF!</definedName>
    <definedName name="_qq3">#REF!</definedName>
    <definedName name="_qq4">#REF!</definedName>
    <definedName name="_qq5">#REF!</definedName>
    <definedName name="_qq6">#REF!</definedName>
    <definedName name="_qq7">#REF!</definedName>
    <definedName name="_qq8">#REF!</definedName>
    <definedName name="_qq9">#REF!</definedName>
    <definedName name="_Qty1">OFFSET(#REF!,#REF!,2,13,1)</definedName>
    <definedName name="_R650000">#REF!</definedName>
    <definedName name="_Ref1">#REF!</definedName>
    <definedName name="_Ref2">#REF!</definedName>
    <definedName name="_Ref3">#REF!</definedName>
    <definedName name="_Regression_Int">1</definedName>
    <definedName name="_Regression_Out" hidden="1">#REF!</definedName>
    <definedName name="_Regression_X" hidden="1">#REF!</definedName>
    <definedName name="_RET002">#REF!</definedName>
    <definedName name="_RET003">#REF!</definedName>
    <definedName name="_RET016">#REF!</definedName>
    <definedName name="_RET017">#REF!</definedName>
    <definedName name="_RET019">#REF!</definedName>
    <definedName name="_RET024">#REF!</definedName>
    <definedName name="_RET026">#REF!</definedName>
    <definedName name="_RET027">#REF!</definedName>
    <definedName name="_RET030">#REF!</definedName>
    <definedName name="_RET031">#REF!</definedName>
    <definedName name="_RET033">#REF!</definedName>
    <definedName name="_RET035">#REF!</definedName>
    <definedName name="_RET036">#REF!</definedName>
    <definedName name="_RET037">#REF!</definedName>
    <definedName name="_RET038">#REF!</definedName>
    <definedName name="_RET039">#REF!</definedName>
    <definedName name="_RET045">#REF!</definedName>
    <definedName name="_RET047">#REF!</definedName>
    <definedName name="_RET048">#REF!</definedName>
    <definedName name="_RET052">#REF!</definedName>
    <definedName name="_RET057">#REF!</definedName>
    <definedName name="_RET071">#REF!</definedName>
    <definedName name="_RET089">#REF!</definedName>
    <definedName name="_RET101">#REF!</definedName>
    <definedName name="_RET102">#REF!</definedName>
    <definedName name="_RET105">#REF!</definedName>
    <definedName name="_RET117">#REF!</definedName>
    <definedName name="_RET122">#REF!</definedName>
    <definedName name="_RET124">#REF!</definedName>
    <definedName name="_RET126">#REF!</definedName>
    <definedName name="_RET128">#REF!</definedName>
    <definedName name="_RET129">#REF!</definedName>
    <definedName name="_RET135">#REF!</definedName>
    <definedName name="_RET139">#REF!</definedName>
    <definedName name="_RET140">#REF!</definedName>
    <definedName name="_RET144">#REF!</definedName>
    <definedName name="_RET145">#REF!</definedName>
    <definedName name="_RET146">#REF!</definedName>
    <definedName name="_RET147">#REF!</definedName>
    <definedName name="_RET148">#REF!</definedName>
    <definedName name="_RET153">#REF!</definedName>
    <definedName name="_RET156">#REF!</definedName>
    <definedName name="_RET157">#REF!</definedName>
    <definedName name="_RET158">#REF!</definedName>
    <definedName name="_RET159">#REF!</definedName>
    <definedName name="_RET160">#REF!</definedName>
    <definedName name="_RET161">#REF!</definedName>
    <definedName name="_rr1">#REF!</definedName>
    <definedName name="_rr2">#REF!</definedName>
    <definedName name="_rr3">#REF!</definedName>
    <definedName name="_rr4">#REF!</definedName>
    <definedName name="_rr5">#REF!</definedName>
    <definedName name="_rr6">#REF!</definedName>
    <definedName name="_rr7">#REF!</definedName>
    <definedName name="_rr8">#REF!</definedName>
    <definedName name="_rr9">#REF!</definedName>
    <definedName name="_RRC57">#REF!</definedName>
    <definedName name="_s" hidden="1">{"pep204a",#N/A,FALSE,"tpepsum4a";"pep205a",#N/A,FALSE,"tpepsum4a";"wpep204a",#N/A,FALSE,"tpepsum4a";"wpep205a",#N/A,FALSE,"tpepsum4a"}</definedName>
    <definedName name="_s2" hidden="1">{#N/A,#N/A,FALSE,"Assumptions";#N/A,#N/A,FALSE,"Volumes";#N/A,#N/A,FALSE,"Pricing";#N/A,#N/A,FALSE,"Variable Cost";#N/A,#N/A,FALSE,"Investment";#N/A,#N/A,FALSE,"Profitability";#N/A,#N/A,FALSE,"Business Comparison"}</definedName>
    <definedName name="_sam10" hidden="1">{#N/A,#N/A,FALSE,"Cover Page";#N/A,#N/A,FALSE,"Facing Page";#N/A,#N/A,FALSE,"Main Page";#N/A,#N/A,FALSE,"Risk-Adjusted";#N/A,#N/A,FALSE,"Profit Improvement"}</definedName>
    <definedName name="_sam11" hidden="1">{#N/A,#N/A,FALSE,"Cover";#N/A,#N/A,FALSE,"Profits";#N/A,#N/A,FALSE,"ABS";#N/A,#N/A,FALSE,"TFLE Detail";#N/A,#N/A,FALSE,"TFLE Walk";#N/A,#N/A,FALSE,"Variable Cost";#N/A,#N/A,FALSE,"V.C. Walk"}</definedName>
    <definedName name="_sam12" hidden="1">{0,#N/A,FALSE,0;0,#N/A,FALSE,0}</definedName>
    <definedName name="_Sam3" hidden="1">{#N/A,#N/A,FALSE,"Profit Status";#N/A,#N/A,FALSE,"Invest";#N/A,#N/A,FALSE,"Revenue";#N/A,#N/A,FALSE,"Variable Cost";#N/A,#N/A,FALSE,"Options &amp; Series"}</definedName>
    <definedName name="_Sam4" hidden="1">{"Revenue",#N/A,FALSE,"Series";"Ecprofit",#N/A,FALSE,"Series"}</definedName>
    <definedName name="_Sam5" hidden="1">{#N/A,#N/A,FALSE,"Assumptions";#N/A,#N/A,FALSE,"Volumes";#N/A,#N/A,FALSE,"Pricing";#N/A,#N/A,FALSE,"Variable Cost";#N/A,#N/A,FALSE,"Investment";#N/A,#N/A,FALSE,"Profitability";#N/A,#N/A,FALSE,"Business Comparison"}</definedName>
    <definedName name="_sam8" hidden="1">{#N/A,#N/A,FALSE,"Cover Page";#N/A,#N/A,FALSE,"Facing Page";#N/A,#N/A,FALSE,"Main Page";#N/A,#N/A,FALSE,"Risk-Adjusted";#N/A,#N/A,FALSE,"Profit Improvement"}</definedName>
    <definedName name="_sam9" hidden="1">{#N/A,#N/A,FALSE,"Cover Page";#N/A,#N/A,FALSE,"Facing Page";#N/A,#N/A,FALSE,"Main Page";#N/A,#N/A,FALSE,"Risk-Adjusted";#N/A,#N/A,FALSE,"Profit Improvement"}</definedName>
    <definedName name="_SB1">#REF!</definedName>
    <definedName name="_SB2">#REF!</definedName>
    <definedName name="_SB3">#REF!</definedName>
    <definedName name="_SB4">#REF!</definedName>
    <definedName name="_SCB1">#REF!</definedName>
    <definedName name="_SCB2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_">#REF!</definedName>
    <definedName name="_SCH_10401_10401">#REF!</definedName>
    <definedName name="_SCH_10401_129">#REF!</definedName>
    <definedName name="_SCH_105_">#REF!</definedName>
    <definedName name="_SCH_10501_10501">#REF!</definedName>
    <definedName name="_SCH_10501_129">#REF!</definedName>
    <definedName name="_SCH_106_">#REF!</definedName>
    <definedName name="_SCH_10601_10601">#REF!</definedName>
    <definedName name="_SCH_10601_129">#REF!</definedName>
    <definedName name="_SCH_10701_10701">#REF!</definedName>
    <definedName name="_SCH_10701_129">#REF!</definedName>
    <definedName name="_SCH_108_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_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_">#REF!</definedName>
    <definedName name="_SCH_11301_11301">#REF!</definedName>
    <definedName name="_SCH_11301_129">#REF!</definedName>
    <definedName name="_SCH_114_">#REF!</definedName>
    <definedName name="_SCH_11401_11401">#REF!</definedName>
    <definedName name="_SCH_11401_129">#REF!</definedName>
    <definedName name="_SCH_115_">#REF!</definedName>
    <definedName name="_SCH_11501_11501">#REF!</definedName>
    <definedName name="_SCH_11501_129">#REF!</definedName>
    <definedName name="_SCH_116_">#REF!</definedName>
    <definedName name="_SCH_11601_11601">#REF!</definedName>
    <definedName name="_SCH_11601_11602">#REF!</definedName>
    <definedName name="_SCH_11601_129">#REF!</definedName>
    <definedName name="_SCH_117_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_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_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_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_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5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3">#REF!</definedName>
    <definedName name="_SCH_1301_1324">#REF!</definedName>
    <definedName name="_SCH_1301_1325">#REF!</definedName>
    <definedName name="_SCH_1301_1326">#REF!</definedName>
    <definedName name="_SCH_13101_129">#REF!</definedName>
    <definedName name="_SCH_13101_13101">#REF!</definedName>
    <definedName name="_SCH_13101_13102">#REF!</definedName>
    <definedName name="_SCH_132_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3_">#REF!</definedName>
    <definedName name="_SCH_15304_">#REF!</definedName>
    <definedName name="_SCH_15401_129">#REF!</definedName>
    <definedName name="_SCH_15401_15401">#REF!</definedName>
    <definedName name="_SCH_15401_15402">#REF!</definedName>
    <definedName name="_SCH_15401_15403">#REF!</definedName>
    <definedName name="_SCH_15401_15404">#REF!</definedName>
    <definedName name="_SCH_15401_15405">#REF!</definedName>
    <definedName name="_SCH_15401_15406">#REF!</definedName>
    <definedName name="_SCH_15401_15409">#REF!</definedName>
    <definedName name="_SCH_15401_15410">#REF!</definedName>
    <definedName name="_SCH_15401_15411">#REF!</definedName>
    <definedName name="_SCH_15401_15414">#REF!</definedName>
    <definedName name="_SCH_15401_15415">#REF!</definedName>
    <definedName name="_SCH_15401_15416">#REF!</definedName>
    <definedName name="_SCH_15401_15417">#REF!</definedName>
    <definedName name="_SCH_15401_15418">#REF!</definedName>
    <definedName name="_SCH_15401_15419">#REF!</definedName>
    <definedName name="_SCH_15401_15420">#REF!</definedName>
    <definedName name="_SCH_15401_15421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_">#REF!</definedName>
    <definedName name="_SCH_17301_129">#REF!</definedName>
    <definedName name="_SCH_17301_17301">#REF!</definedName>
    <definedName name="_SCH_174_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6_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101_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2_">#REF!</definedName>
    <definedName name="_SCH_303_">#REF!</definedName>
    <definedName name="_SCH_30701_129">#REF!</definedName>
    <definedName name="_SCH_30701_30701">#REF!</definedName>
    <definedName name="_SCH_308_">#REF!</definedName>
    <definedName name="_SCH_309_">#REF!</definedName>
    <definedName name="_SCH_310_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1_">#REF!</definedName>
    <definedName name="_SCH_312_">#REF!</definedName>
    <definedName name="_SCH_313_">#REF!</definedName>
    <definedName name="_SCH_31301_129">#REF!</definedName>
    <definedName name="_SCH_31301_31301">#REF!</definedName>
    <definedName name="_SCH_314_">#REF!</definedName>
    <definedName name="_SCH_31401_129">#REF!</definedName>
    <definedName name="_SCH_31401_31401">#REF!</definedName>
    <definedName name="_SCH_315_">#REF!</definedName>
    <definedName name="_SCH_31501_129">#REF!</definedName>
    <definedName name="_SCH_31501_31501">#REF!</definedName>
    <definedName name="_SCH_316_">#REF!</definedName>
    <definedName name="_SCH_31601_129">#REF!</definedName>
    <definedName name="_SCH_31601_31601">#REF!</definedName>
    <definedName name="_SCH_317_">#REF!</definedName>
    <definedName name="_SCH_31701_129">#REF!</definedName>
    <definedName name="_SCH_31701_31701">#REF!</definedName>
    <definedName name="_SCH_318_">#REF!</definedName>
    <definedName name="_SCH_31801_129">#REF!</definedName>
    <definedName name="_SCH_31801_31801">#REF!</definedName>
    <definedName name="_SCH_319_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201_129">#REF!</definedName>
    <definedName name="_SCH_33201_33201">#REF!</definedName>
    <definedName name="_SCH_33201_33202">#REF!</definedName>
    <definedName name="_SCH_33301_129">#REF!</definedName>
    <definedName name="_SCH_33301_33301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02_">#REF!</definedName>
    <definedName name="_SCH_403_">#REF!</definedName>
    <definedName name="_SCH_405_">#REF!</definedName>
    <definedName name="_SCH_4101_129">#REF!</definedName>
    <definedName name="_SCH_4101_4101">#REF!</definedName>
    <definedName name="_SCH_4201_129">#REF!</definedName>
    <definedName name="_SCH_4201_4201">#REF!</definedName>
    <definedName name="_SCH_4201_4202">#REF!</definedName>
    <definedName name="_SCH_4301_129">#REF!</definedName>
    <definedName name="_SCH_4301_4301">#REF!</definedName>
    <definedName name="_SCH_4301_4302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5001_129">#REF!</definedName>
    <definedName name="_SCH_5001_5001">#REF!</definedName>
    <definedName name="_SCH_5001_5003">#REF!</definedName>
    <definedName name="_SCH_502_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2_">#REF!</definedName>
    <definedName name="_SCH_603_">#REF!</definedName>
    <definedName name="_SCH_604_">#REF!</definedName>
    <definedName name="_SCH_607_">#REF!</definedName>
    <definedName name="_SCH_608_">#REF!</definedName>
    <definedName name="_SCH_609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2_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2_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502_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01_129">#REF!</definedName>
    <definedName name="_SCH_801_801">#REF!</definedName>
    <definedName name="_SCH_801_802">#REF!</definedName>
    <definedName name="_SCH_801_803">#REF!</definedName>
    <definedName name="_SCH_801_804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1_">#REF!</definedName>
    <definedName name="_SCH_902_">#REF!</definedName>
    <definedName name="_SCH_903_">#REF!</definedName>
    <definedName name="_SCH_904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dg1" hidden="1">{#N/A,#N/A,FALSE,"Assumptions";#N/A,#N/A,FALSE,"Volumes";#N/A,#N/A,FALSE,"Pricing";#N/A,#N/A,FALSE,"Variable Cost";#N/A,#N/A,FALSE,"Investment";#N/A,#N/A,FALSE,"Profitability";#N/A,#N/A,FALSE,"Business Comparison"}</definedName>
    <definedName name="_Sep04" hidden="1">{#N/A,#N/A,FALSE,"Sheet1";"current deposit",#N/A,FALSE,"Sheet1";"current deposit",#N/A,FALSE,"Sheet1"}</definedName>
    <definedName name="_Sep05" hidden="1">{"current deposit",#N/A,FALSE,"Sheet1"}</definedName>
    <definedName name="_sga" hidden="1">#REF!</definedName>
    <definedName name="_sga2" hidden="1">#REF!</definedName>
    <definedName name="_Sort" hidden="1">#REF!</definedName>
    <definedName name="_spk1" hidden="1">{#N/A,#N/A,FALSE,"Cover";#N/A,#N/A,FALSE,"Profits";#N/A,#N/A,FALSE,"ABS";#N/A,#N/A,FALSE,"TFLE Detail";#N/A,#N/A,FALSE,"TFLE Walk";#N/A,#N/A,FALSE,"Variable Cost";#N/A,#N/A,FALSE,"V.C. Walk"}</definedName>
    <definedName name="_spk2" hidden="1">{#N/A,#N/A,FALSE,"Profit Status";#N/A,#N/A,FALSE,"Invest";#N/A,#N/A,FALSE,"Revenue";#N/A,#N/A,FALSE,"Variable Cost";#N/A,#N/A,FALSE,"Options &amp; Series"}</definedName>
    <definedName name="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s1">#REF!</definedName>
    <definedName name="_ss2">#REF!</definedName>
    <definedName name="_ss3">#REF!</definedName>
    <definedName name="_ss4">#REF!</definedName>
    <definedName name="_ss5">#REF!</definedName>
    <definedName name="_ss6">#REF!</definedName>
    <definedName name="_ss7">#REF!</definedName>
    <definedName name="_ss8">#REF!</definedName>
    <definedName name="_ss9">#REF!</definedName>
    <definedName name="_T1" hidden="1">{#N/A,#N/A,TRUE,"Engine";#N/A,#N/A,TRUE,"Trans 5R55N";#N/A,#N/A,TRUE,"Manual Trans";#N/A,#N/A,TRUE,"DS and Axle";#N/A,#N/A,TRUE,"PTSSE";#N/A,#N/A,TRUE,"Summary"}</definedName>
    <definedName name="_T2" hidden="1">{#N/A,#N/A,TRUE,"Engine";#N/A,#N/A,TRUE,"Trans 5R55N";#N/A,#N/A,TRUE,"Manual Trans";#N/A,#N/A,TRUE,"DS and Axle";#N/A,#N/A,TRUE,"PTSSE";#N/A,#N/A,TRUE,"Summary"}</definedName>
    <definedName name="_Table010_Out" hidden="1">#REF!</definedName>
    <definedName name="_Table1_In1" hidden="1">#REF!</definedName>
    <definedName name="_Table1_ln010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CD1">#REF!</definedName>
    <definedName name="_TCD2">#REF!</definedName>
    <definedName name="_TCD3">#REF!</definedName>
    <definedName name="_TCD4">#REF!</definedName>
    <definedName name="_TCD5">#REF!</definedName>
    <definedName name="_TCD6">#REF!</definedName>
    <definedName name="_TCD7">#REF!</definedName>
    <definedName name="_TCD8">#REF!</definedName>
    <definedName name="_TCD9">#REF!</definedName>
    <definedName name="_ter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op05">#REF!</definedName>
    <definedName name="_TOP1">#REF!</definedName>
    <definedName name="_TOP2">#REF!</definedName>
    <definedName name="_TOP20">#N/A</definedName>
    <definedName name="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um1" hidden="1">{"'Highlights'!$A$1:$M$123"}</definedName>
    <definedName name="_Us1">#REF!</definedName>
    <definedName name="_Us2">#REF!</definedName>
    <definedName name="_ut1" hidden="1">{"rev",#N/A,FALSE,"ppepsum";"vcost",#N/A,FALSE,"ppepsum";"ecprof",#N/A,FALSE,"ppepsum"}</definedName>
    <definedName name="_V5" hidden="1">{"avrev",#N/A,FALSE,"AVREV";"rates",#N/A,FALSE,"AVREV"}</definedName>
    <definedName name="_V5_1" hidden="1">{"avrev",#N/A,FALSE,"AVREV";"rates",#N/A,FALSE,"AVREV"}</definedName>
    <definedName name="_VA1">#REF!</definedName>
    <definedName name="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c1" hidden="1">{#N/A,#N/A,FALSE,"Profit Status";#N/A,#N/A,FALSE,"Invest";#N/A,#N/A,FALSE,"Revenue";#N/A,#N/A,FALSE,"Variable Cost";#N/A,#N/A,FALSE,"Options &amp; Series"}</definedName>
    <definedName name="_veh1">#REF!</definedName>
    <definedName name="_veh2">#REF!</definedName>
    <definedName name="_veh3">#REF!</definedName>
    <definedName name="_veh4">#REF!</definedName>
    <definedName name="_VEP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Ol2" hidden="1">{#N/A,#N/A,FALSE,"Cover";#N/A,#N/A,FALSE,"Profits";#N/A,#N/A,FALSE,"ABS";#N/A,#N/A,FALSE,"TFLE Detail";#N/A,#N/A,FALSE,"TFLE Walk";#N/A,#N/A,FALSE,"Variable Cost";#N/A,#N/A,FALSE,"V.C. Walk"}</definedName>
    <definedName name="_vx1" hidden="1">{#N/A,#N/A,FALSE,"Assumptions";#N/A,#N/A,FALSE,"Volumes";#N/A,#N/A,FALSE,"Pricing";#N/A,#N/A,FALSE,"Variable Cost";#N/A,#N/A,FALSE,"Investment";#N/A,#N/A,FALSE,"Profitability";#N/A,#N/A,FALSE,"Business Comparison"}</definedName>
    <definedName name="_w4">#N/A</definedName>
    <definedName name="_WCHR1.T1">#N/A</definedName>
    <definedName name="_w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n1" hidden="1">{#N/A,#N/A,FALSE,"MBR PCS";#N/A,#N/A,FALSE,"MBR CIG";#N/A,#N/A,FALSE,"MBR iDEN";#N/A,#N/A,FALSE,"MBR_FWT";#N/A,#N/A,FALSE,"MBR TOTAL"}</definedName>
    <definedName name="_wrn2" hidden="1">{"pep204a",#N/A,FALSE,"tpepsum4a";"pep205a",#N/A,FALSE,"tpepsum4a";"wpep204a",#N/A,FALSE,"tpepsum4a";"wpep205a",#N/A,FALSE,"tpepsum4a"}</definedName>
    <definedName name="_WRN4" hidden="1">{"salaried",#N/A,FALSE,"VLD View (2)"}</definedName>
    <definedName name="_wrn98" hidden="1">{0,#N/A,FALSE,0;0,#N/A,FALSE,0}</definedName>
    <definedName name="_WRT1" hidden="1">{#N/A,#N/A,TRUE,"RIDE";#N/A,#N/A,TRUE,"STEERING";#N/A,#N/A,TRUE,"HANDLING";#N/A,#N/A,TRUE,"BRAKING"}</definedName>
    <definedName name="_ww1">#REF!</definedName>
    <definedName name="_ww2">#REF!</definedName>
    <definedName name="_ww3">#REF!</definedName>
    <definedName name="_ww4">#REF!</definedName>
    <definedName name="_ww5">#REF!</definedName>
    <definedName name="_ww6">#REF!</definedName>
    <definedName name="_ww7">#REF!</definedName>
    <definedName name="_ww8">#REF!</definedName>
    <definedName name="_ww9">#REF!</definedName>
    <definedName name="_X3" hidden="1">#REF!</definedName>
    <definedName name="_xlfn_DISPIMG">none</definedName>
    <definedName name="_XS1" hidden="1">{#N/A,#N/A,FALSE,"Title - E";#N/A,#N/A,FALSE,"Insert";#N/A,#N/A,FALSE,"Rpt-98-E PG_1";#N/A,#N/A,FALSE,"Rpt-98-E PG_2f";#N/A,#N/A,FALSE,"Rpt-98-E PG_2";#N/A,#N/A,FALSE,"Insert";#N/A,#N/A,FALSE,"Rpt-98-E PG_3 "}</definedName>
    <definedName name="_xx1" hidden="1">{#N/A,#N/A,FALSE,"Title - E";#N/A,#N/A,FALSE,"Insert";#N/A,#N/A,FALSE,"Rpt-98-E PG_1";#N/A,#N/A,FALSE,"Rpt-98-E PG_2f";#N/A,#N/A,FALSE,"Rpt-98-E PG_2";#N/A,#N/A,FALSE,"Insert";#N/A,#N/A,FALSE,"Rpt-98-E PG_3 "}</definedName>
    <definedName name="_xx3" hidden="1">#REF!</definedName>
    <definedName name="_xx6666">#REF!</definedName>
    <definedName name="_z" hidden="1">{"pep204a",#N/A,FALSE,"tpepsum4a";"pep205a",#N/A,FALSE,"tpepsum4a";"wpep204a",#N/A,FALSE,"tpepsum4a";"wpep205a",#N/A,FALSE,"tpepsum4a"}</definedName>
    <definedName name="_z1">#REF!</definedName>
    <definedName name="_ZA1">#REF!</definedName>
    <definedName name="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zz1">#REF!</definedName>
    <definedName name="_zz2">#REF!</definedName>
    <definedName name="_zz3">#REF!</definedName>
    <definedName name="_zz4">#REF!</definedName>
    <definedName name="_zz5">#REF!</definedName>
    <definedName name="_zz6">#REF!</definedName>
    <definedName name="_zz7">#REF!</definedName>
    <definedName name="_zz8">#REF!</definedName>
    <definedName name="_zz9">#REF!</definedName>
    <definedName name="_zz9999">#REF!</definedName>
    <definedName name="A">#REF!</definedName>
    <definedName name="A_DOE_Crosstab">#REF!</definedName>
    <definedName name="A2A" hidden="1">{#N/A,#N/A,FALSE,"Sheet1"}</definedName>
    <definedName name="a2c">#REF!</definedName>
    <definedName name="aa" hidden="1">#REF!</definedName>
    <definedName name="aa_010" hidden="1">#REF!</definedName>
    <definedName name="aa_1" hidden="1">{"Revenue",#N/A,FALSE,"Series";"Ecprofit",#N/A,FALSE,"Series"}</definedName>
    <definedName name="ＡＡＡ" hidden="1">{#VALUE!,#N/A,FALSE,0;#N/A,#N/A,FALSE,0;#N/A,#N/A,FALSE,0;#N/A,#N/A,FALSE,0}</definedName>
    <definedName name="aaa_010" hidden="1">{"COMPARISON",#N/A,FALSE,"Sheet1"}</definedName>
    <definedName name="AAA_DOCTOPS" hidden="1">"AAA_SET"</definedName>
    <definedName name="AAA_duser" hidden="1">"OFF"</definedName>
    <definedName name="aaa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8" hidden="1">{0,#N/A,FALSE,0;0,#N/A,FALSE,0;0,#N/A,FALSE,0;0,#N/A,FALSE,0}</definedName>
    <definedName name="aaaaa" hidden="1">{#N/A,#N/A,FALSE,"Assumptions";#N/A,#N/A,FALSE,"Volumes";#N/A,#N/A,FALSE,"Pricing";#N/A,#N/A,FALSE,"Variable Cost";#N/A,#N/A,FALSE,"Investment";#N/A,#N/A,FALSE,"Profitability";#N/A,#N/A,FALSE,"Business Comparison"}</definedName>
    <definedName name="aaaaa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aaaaaaa" hidden="1">{"COMPARISON",#N/A,FALSE,"Sheet1"}</definedName>
    <definedName name="aaaaaaaaa" hidden="1">{#N/A,#N/A,FALSE,"Assumptions";#N/A,#N/A,FALSE,"Volumes";#N/A,#N/A,FALSE,"Pricing";#N/A,#N/A,FALSE,"Variable Cost";#N/A,#N/A,FALSE,"Investment";#N/A,#N/A,FALSE,"Profitability";#N/A,#N/A,FALSE,"Business Comparison"}</definedName>
    <definedName name="aaaaaaaaaa" hidden="1">{"Summary",#N/A,FALSE,"Sumary";"Att.1",#N/A,FALSE,"Attach.I";"Att.2",#N/A,FALSE,"Attach.2";"Att.3",#N/A,FALSE,"Attach.3";"Att.4",#N/A,FALSE,"Attach.4";"Walk",#N/A,FALSE,"Walk"}</definedName>
    <definedName name="aaaaaaaaaaa" hidden="1">{"Summary",#N/A,FALSE,"Sumary";"Att.1",#N/A,FALSE,"Attach.I";"Att.2",#N/A,FALSE,"Attach.2";"Att.3",#N/A,FALSE,"Attach.3";"Att.4",#N/A,FALSE,"Attach.4";"Walk",#N/A,FALSE,"Walk"}</definedName>
    <definedName name="aaaaaaaaaaaa" hidden="1">{#N/A,#N/A,FALSE,"Title - E";#N/A,#N/A,FALSE,"Insert";#N/A,#N/A,FALSE,"Rpt-98-E PG_1";#N/A,#N/A,FALSE,"Rpt-98-E PG_2f";#N/A,#N/A,FALSE,"Rpt-98-E PG_2";#N/A,#N/A,FALSE,"Insert";#N/A,#N/A,FALSE,"Rpt-98-E PG_3 "}</definedName>
    <definedName name="AAAAAAAAAAAAA" hidden="1">{#N/A,#N/A,FALSE,"Sheet1"}</definedName>
    <definedName name="aaaaaaaaaaaaaaaaaa" hidden="1">{0,#N/A,FALSE,0;0,#N/A,FALSE,0}</definedName>
    <definedName name="AAAAAAAAAAAAAAAAAAAAAAAAAAAAAAAAAAAA">#REF!</definedName>
    <definedName name="äääääl" hidden="1">{#N/A,#N/A,FALSE,"Cover";#N/A,#N/A,FALSE,"Profits";#N/A,#N/A,FALSE,"ABS";#N/A,#N/A,FALSE,"TFLE Detail";#N/A,#N/A,FALSE,"TFLE Walk";#N/A,#N/A,FALSE,"Variable Cost";#N/A,#N/A,FALSE,"V.C. Walk"}</definedName>
    <definedName name="aab" hidden="1">{#N/A,#N/A,FALSE,"TOP10";#N/A,#N/A,FALSE,"Cover";#N/A,#N/A,FALSE,"MOGRAPH"}</definedName>
    <definedName name="AAB_Addin5" hidden="1">"AAB_Description for addin 5,Description for addin 5,Description for addin 5,Description for addin 5,Description for addin 5,Description for addin 5"</definedName>
    <definedName name="AAClaim">#REF!</definedName>
    <definedName name="aafff" hidden="1">{"Fiesta Facer Page",#N/A,FALSE,"Q_C_S";"Fiesta Main Page",#N/A,FALSE,"V_L";"Fiesta 95BP Struct",#N/A,FALSE,"StructBP";"Fiesta Post 95BP Struct",#N/A,FALSE,"AdjStructBP"}</definedName>
    <definedName name="äaiop" hidden="1">{#N/A,#N/A,FALSE,"Profit Status";#N/A,#N/A,FALSE,"Invest";#N/A,#N/A,FALSE,"Revenue";#N/A,#N/A,FALSE,"Variable Cost";#N/A,#N/A,FALSE,"Options &amp; Series"}</definedName>
    <definedName name="äaipr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jureoi" hidden="1">{#N/A,#N/A,FALSE,"Assumptions";#N/A,#N/A,FALSE,"Volumes";#N/A,#N/A,FALSE,"Pricing";#N/A,#N/A,FALSE,"Variable Cost";#N/A,#N/A,FALSE,"Investment";#N/A,#N/A,FALSE,"Profitability";#N/A,#N/A,FALSE,"Business Comparison"}</definedName>
    <definedName name="äaöoyeu" hidden="1">{#N/A,#N/A,FALSE,"Cover";#N/A,#N/A,FALSE,"Profits";#N/A,#N/A,FALSE,"ABS";#N/A,#N/A,FALSE,"TFLE Detail";#N/A,#N/A,FALSE,"TFLE Walk";#N/A,#N/A,FALSE,"Variable Cost";#N/A,#N/A,FALSE,"V.C. Walk"}</definedName>
    <definedName name="aasssss" hidden="1">{"REVISED",#N/A,FALSE,"Sheet1"}</definedName>
    <definedName name="ab" hidden="1">{#N/A,#N/A,FALSE,"Assumptions";#N/A,#N/A,FALSE,"Volumes";#N/A,#N/A,FALSE,"Pricing";#N/A,#N/A,FALSE,"Variable Cost";#N/A,#N/A,FALSE,"Investment";#N/A,#N/A,FALSE,"Profitability";#N/A,#N/A,FALSE,"Business Comparison"}</definedName>
    <definedName name="abbb" hidden="1">{"Fiesta Facer Page",#N/A,FALSE,"Q_C_S";"Fiesta Main Page",#N/A,FALSE,"V_L";"Fiesta 95BP Struct",#N/A,FALSE,"StructBP";"Fiesta Post 95BP Struct",#N/A,FALSE,"AdjStructBP"}</definedName>
    <definedName name="abc" hidden="1">{#N/A,#N/A,FALSE,"Cover";#N/A,#N/A,FALSE,"Profits";#N/A,#N/A,FALSE,"ABS";#N/A,#N/A,FALSE,"TFLE Detail";#N/A,#N/A,FALSE,"TFLE Walk";#N/A,#N/A,FALSE,"Variable Cost";#N/A,#N/A,FALSE,"V.C. Walk"}</definedName>
    <definedName name="ABC_2" hidden="1">{#N/A,#N/A,FALSE,"Profit Status";#N/A,#N/A,FALSE,"Invest";#N/A,#N/A,FALSE,"Revenue";#N/A,#N/A,FALSE,"Variable Cost";#N/A,#N/A,FALSE,"Options &amp; Series"}</definedName>
    <definedName name="ABC_3" hidden="1">{#N/A,#N/A,FALSE,"Assumptions";#N/A,#N/A,FALSE,"Volumes";#N/A,#N/A,FALSE,"Pricing";#N/A,#N/A,FALSE,"Variable Cost";#N/A,#N/A,FALSE,"Investment";#N/A,#N/A,FALSE,"Profitability";#N/A,#N/A,FALSE,"Business Comparison"}</definedName>
    <definedName name="ABC_4" hidden="1">{#N/A,#N/A,FALSE,"Assumptions";#N/A,#N/A,FALSE,"Volumes";#N/A,#N/A,FALSE,"Pricing";#N/A,#N/A,FALSE,"Variable Cost";#N/A,#N/A,FALSE,"Investment";#N/A,#N/A,FALSE,"Profitability";#N/A,#N/A,FALSE,"Business Comparison"}</definedName>
    <definedName name="abcd" hidden="1">{"Fiesta Facer Page",#N/A,FALSE,"Q_C_S";"Fiesta Main Page",#N/A,FALSE,"V_L";"Fiesta 95BP Struct",#N/A,FALSE,"StructBP";"Fiesta Post 95BP Struct",#N/A,FALSE,"AdjStructBP"}</definedName>
    <definedName name="abcde" hidden="1">{"Revenue",#N/A,FALSE,"Series";"Ecprofit",#N/A,FALSE,"Series"}</definedName>
    <definedName name="abcdef" hidden="1">{#N/A,#N/A,FALSE,"Cover";#N/A,#N/A,FALSE,"Profits";#N/A,#N/A,FALSE,"ABS";#N/A,#N/A,FALSE,"TFLE Detail";#N/A,#N/A,FALSE,"TFLE Walk";#N/A,#N/A,FALSE,"Variable Cost";#N/A,#N/A,FALSE,"V.C. Walk"}</definedName>
    <definedName name="ABN1Y">#REF!</definedName>
    <definedName name="ABN2Y">SUM(#REF!)</definedName>
    <definedName name="ABN6M">#REF!</definedName>
    <definedName name="ABNDCM">#REF!</definedName>
    <definedName name="ABNDCT">#REF!</definedName>
    <definedName name="ABNMT">#REF!</definedName>
    <definedName name="ABNST">SUM(#REF!)</definedName>
    <definedName name="abril" hidden="1">{#N/A,#N/A,FALSE,"Assumptions";#N/A,#N/A,FALSE,"Volumes";#N/A,#N/A,FALSE,"Pricing";#N/A,#N/A,FALSE,"Variable Cost";#N/A,#N/A,FALSE,"Investment";#N/A,#N/A,FALSE,"Profitability";#N/A,#N/A,FALSE,"Business Comparison"}</definedName>
    <definedName name="ABS" hidden="1">{"REVISED",#N/A,FALSE,"Sheet1"}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c_Depreciation">#REF!</definedName>
    <definedName name="Acc_Limit">#REF!</definedName>
    <definedName name="Acc_Names">#REF!</definedName>
    <definedName name="Acc_Numbers">#REF!</definedName>
    <definedName name="AccDB" hidden="1">"C:\My Documents\2000 budget model\reporting\master.mdb"</definedName>
    <definedName name="Access_Button" hidden="1">"master_Sheet1_List"</definedName>
    <definedName name="Access_Button01" hidden="1">"master_Sheet1_List"</definedName>
    <definedName name="Access_Button1">"TARGT_1B_EN114_List1"</definedName>
    <definedName name="AccessDatabase" hidden="1">"C:\My Documents\2000 budget model\reporting\master.mdb"</definedName>
    <definedName name="ACCRUAL_TO_RETURN">#REF!</definedName>
    <definedName name="Acct.code">#REF!</definedName>
    <definedName name="ACTIVE">#REF!</definedName>
    <definedName name="ACwvu.devshifts." hidden="1">#N/A</definedName>
    <definedName name="ACwvu.durashifts." hidden="1">#N/A</definedName>
    <definedName name="ACwvu.expense." hidden="1">#N/A</definedName>
    <definedName name="ACwvu.progexpense." hidden="1">#N/A</definedName>
    <definedName name="ACwvu.prototypes." hidden="1">#N/A</definedName>
    <definedName name="ACwvu.staffing." hidden="1">#N/A</definedName>
    <definedName name="ACwvu.totalshifts." hidden="1">#N/A</definedName>
    <definedName name="AD" hidden="1">{#N/A,#N/A,FALSE,"2001 CBG";#N/A,#N/A,FALSE,"2002 CBG";#N/A,#N/A,FALSE,"2003 CBG";#N/A,#N/A,FALSE,"2004 CBG";#N/A,#N/A,FALSE,"2005 CBG";#N/A,#N/A,FALSE,"2006 CBG ";#N/A,#N/A,FALSE,"2007 CBG";#N/A,#N/A,FALSE,"2008 CBG"}</definedName>
    <definedName name="ada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ao">#N/A</definedName>
    <definedName name="ADD">#REF!</definedName>
    <definedName name="Add_Less">#REF!</definedName>
    <definedName name="added" hidden="1">{#N/A,#N/A,FALSE,"Profit Status";#N/A,#N/A,FALSE,"Invest";#N/A,#N/A,FALSE,"Revenue";#N/A,#N/A,FALSE,"Variable Cost";#N/A,#N/A,FALSE,"Options &amp; Series"}</definedName>
    <definedName name="added3" hidden="1">{#N/A,#N/A,FALSE,"Profit Status";#N/A,#N/A,FALSE,"Invest";#N/A,#N/A,FALSE,"Revenue";#N/A,#N/A,FALSE,"Variable Cost";#N/A,#N/A,FALSE,"Options &amp; Series"}</definedName>
    <definedName name="added3a" hidden="1">{#N/A,#N/A,FALSE,"Profit Status";#N/A,#N/A,FALSE,"Invest";#N/A,#N/A,FALSE,"Revenue";#N/A,#N/A,FALSE,"Variable Cost";#N/A,#N/A,FALSE,"Options &amp; Series"}</definedName>
    <definedName name="added4" hidden="1">{#N/A,#N/A,FALSE,"Profit Status";#N/A,#N/A,FALSE,"Invest";#N/A,#N/A,FALSE,"Revenue";#N/A,#N/A,FALSE,"Variable Cost";#N/A,#N/A,FALSE,"Options &amp; Series"}</definedName>
    <definedName name="addr">#REF!</definedName>
    <definedName name="Address">#REF!</definedName>
    <definedName name="a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asdf" hidden="1">{#N/A,#N/A,FALSE,"Assumptions";#N/A,#N/A,FALSE,"Volumes";#N/A,#N/A,FALSE,"Pricing";#N/A,#N/A,FALSE,"Variable Cost";#N/A,#N/A,FALSE,"Investment";#N/A,#N/A,FALSE,"Profitability";#N/A,#N/A,FALSE,"Business Comparison"}</definedName>
    <definedName name="adfda" hidden="1">{"Revenue",#N/A,FALSE,"Series";"Ecprofit",#N/A,FALSE,"Series"}</definedName>
    <definedName name="adfsfa" hidden="1">{#N/A,#N/A,TRUE,"dew_x200";#N/A,#N/A,TRUE,"cvgm_twncr_must";#N/A,#N/A,TRUE,"x100_x300_falcn";#N/A,#N/A,TRUE,"t_mark_scorp";#N/A,#N/A,TRUE,"VC3GRAF"}</definedName>
    <definedName name="adios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djnes">#REF!</definedName>
    <definedName name="adkhdslkj" hidden="1">{"Revenue",#N/A,FALSE,"Series";"Ecprofit",#N/A,FALSE,"Series"}</definedName>
    <definedName name="adkhdslkj_1" hidden="1">{"Revenue",#N/A,FALSE,"Series";"Ecprofit",#N/A,FALSE,"Series"}</definedName>
    <definedName name="admin">OFFSET(_Ref1,0,Wk,29,1)</definedName>
    <definedName name="adrf" hidden="1">{"Fiesta Facer Page",#N/A,FALSE,"Q_C_S";"Fiesta Main Page",#N/A,FALSE,"V_L";"Fiesta 95BP Struct",#N/A,FALSE,"StructBP";"Fiesta Post 95BP Struct",#N/A,FALSE,"AdjStructBP"}</definedName>
    <definedName name="a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ds" hidden="1">{"Revenue",#N/A,FALSE,"Series";"Ecprofit",#N/A,FALSE,"Series"}</definedName>
    <definedName name="ADSFDFA">IF(Loan_Amount*Interest_Rate*Loan_Years*Loan_Start&gt;0,1,0)</definedName>
    <definedName name="adxsac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f" hidden="1">#REF!</definedName>
    <definedName name="afd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f_propdiv">#REF!</definedName>
    <definedName name="afg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lökj" hidden="1">{"pep204a",#N/A,FALSE,"tpepsum4a";"pep205a",#N/A,FALSE,"tpepsum4a";"wpep204a",#N/A,FALSE,"tpepsum4a";"wpep205a",#N/A,FALSE,"tpepsum4a"}</definedName>
    <definedName name="AFVD" hidden="1">{#N/A,#N/A,FALSE,"TOP10";#N/A,#N/A,FALSE,"Cover";#N/A,#N/A,FALSE,"MOGRAPH"}</definedName>
    <definedName name="ag" hidden="1">#REF!</definedName>
    <definedName name="agdhj" hidden="1">{"A_Summary",#N/A,FALSE,"Arg_Summ";"B_Summary",#N/A,FALSE,"Brz_Summ"}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f" hidden="1">{#N/A,#N/A,FALSE,"Assumptions";#N/A,#N/A,FALSE,"Volumes";#N/A,#N/A,FALSE,"Pricing";#N/A,#N/A,FALSE,"Variable Cost";#N/A,#N/A,FALSE,"Investment";#N/A,#N/A,FALSE,"Profitability";#N/A,#N/A,FALSE,"Business Comparison"}</definedName>
    <definedName name="agfdgads" hidden="1">{"Fcst II",#N/A,FALSE,"(1)-PROFIT SUM.";"Risk_Adj._Fcst.",#N/A,FALSE,"(2)-Risk Adj. Fcst.";"Fcst._to_Budget",#N/A,FALSE,"(3)-Fcst. to Bdgt.";"Yr._O_Yr",#N/A,FALSE,"(4)-Yr.-O-Yr."}</definedName>
    <definedName name="AGING">#REF!</definedName>
    <definedName name="ah" hidden="1">#REF!</definedName>
    <definedName name="AI">#REF!</definedName>
    <definedName name="aj" hidden="1">#REF!</definedName>
    <definedName name="aje2to5">#REF!</definedName>
    <definedName name="AJHAR" hidden="1">{0,0,0,0;0,0,0,0;0,0,0,0;0,0,0,0}</definedName>
    <definedName name="ak" hidden="1">#REF!</definedName>
    <definedName name="al" hidden="1">#REF!</definedName>
    <definedName name="alam">#REF!</definedName>
    <definedName name="albcurq3">#N/A</definedName>
    <definedName name="Alice" hidden="1">{#N/A,#N/A,FALSE,"expense";#N/A,#N/A,FALSE,"heads"}</definedName>
    <definedName name="All_Commodities">#REF!</definedName>
    <definedName name="all_years" hidden="1">{#N/A,#N/A,FALSE,"Profit Status";#N/A,#N/A,FALSE,"Invest";#N/A,#N/A,FALSE,"Revenue";#N/A,#N/A,FALSE,"Variable Cost";#N/A,#N/A,FALSE,"Options &amp; Series"}</definedName>
    <definedName name="AllData">#REF!</definedName>
    <definedName name="allo" hidden="1">{#N/A,#N/A,FALSE,"UW152PPL"}</definedName>
    <definedName name="ALLOT1">#REF!</definedName>
    <definedName name="ALLOT2">#REF!</definedName>
    <definedName name="Alter" hidden="1">{#N/A,#N/A,FALSE,"TRANSNEW"}</definedName>
    <definedName name="amaral" hidden="1">#REF!</definedName>
    <definedName name="amigo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MT">#REF!</definedName>
    <definedName name="Amt_Thai">#REF!</definedName>
    <definedName name="Amt_USD">#REF!</definedName>
    <definedName name="an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a">#REF!</definedName>
    <definedName name="Ana_U_5">#REF!</definedName>
    <definedName name="Analysis">#REF!</definedName>
    <definedName name="ANALYSIS_OF_EXP_BY_DEPT">#REF!</definedName>
    <definedName name="ANCHOR_Asia_Oceania_LMR">#REF!</definedName>
    <definedName name="ANCHOR_PSLM_Headers">#REF!</definedName>
    <definedName name="andits" hidden="1">{"salaried",#N/A,FALSE,"VLD View (2)"}</definedName>
    <definedName name="andre" hidden="1">{#N/A,#N/A,FALSE,"Assumptions";#N/A,#N/A,FALSE,"Volumes";#N/A,#N/A,FALSE,"Pricing";#N/A,#N/A,FALSE,"Variable Cost";#N/A,#N/A,FALSE,"Investment";#N/A,#N/A,FALSE,"Profitability";#N/A,#N/A,FALSE,"Business Comparison"}</definedName>
    <definedName name="andy">#N/A</definedName>
    <definedName name="ann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noying" hidden="1">{#N/A,#N/A,FALSE,"BackUp";#N/A,#N/A,FALSE,"FOps-Cal";#N/A,#N/A,FALSE,"COps-Cal";#N/A,#N/A,FALSE,"GPM-Cal";#N/A,#N/A,FALSE,"ITO-Cal";#N/A,#N/A,FALSE,"ITO (2)"}</definedName>
    <definedName name="annuite">#REF!</definedName>
    <definedName name="ANSA">#REF!</definedName>
    <definedName name="anscount" hidden="1">1</definedName>
    <definedName name="anything" hidden="1">{"'和文'!$Q$45:$AP$71"}</definedName>
    <definedName name="anything_SharedTech" hidden="1">{"'??'!$Q$45:$AP$71"}</definedName>
    <definedName name="anything_ST" hidden="1">{"'??'!$Q$45:$AP$71"}</definedName>
    <definedName name="AOP">#REF!</definedName>
    <definedName name="apoaapoapbt">#REF!</definedName>
    <definedName name="apoaapoastat">#REF!</definedName>
    <definedName name="apoanapbt">#REF!</definedName>
    <definedName name="apoanastat">#REF!</definedName>
    <definedName name="Appendix" hidden="1">{#N/A,#N/A,FALSE,"Cover Page";#N/A,#N/A,FALSE,"Facing Page";#N/A,#N/A,FALSE,"Main Page";#N/A,#N/A,FALSE,"Risk-Adjusted";#N/A,#N/A,FALSE,"Profit Improvement"}</definedName>
    <definedName name="Appendix_1" hidden="1">{#N/A,#N/A,FALSE,"Cover Page";#N/A,#N/A,FALSE,"Facing Page";#N/A,#N/A,FALSE,"Main Page";#N/A,#N/A,FALSE,"Risk-Adjusted";#N/A,#N/A,FALSE,"Profit Improvement"}</definedName>
    <definedName name="Appendix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ppendix2" hidden="1">{#N/A,#N/A,FALSE,"Cover Page";#N/A,#N/A,FALSE,"Facing Page";#N/A,#N/A,FALSE,"Main Page";#N/A,#N/A,FALSE,"Risk-Adjusted";#N/A,#N/A,FALSE,"Profit Improvement"}</definedName>
    <definedName name="Aq">#REF!</definedName>
    <definedName name="A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_Ageing">#REF!</definedName>
    <definedName name="ar_discexp">#REF!</definedName>
    <definedName name="ar_fxrates">#REF!</definedName>
    <definedName name="AR_import">#REF!</definedName>
    <definedName name="ar_timeline">#REF!</definedName>
    <definedName name="ara" hidden="1">{#N/A,#N/A,FALSE,"Assumptions";#N/A,#N/A,FALSE,"Volumes";#N/A,#N/A,FALSE,"Pricing";#N/A,#N/A,FALSE,"Variable Cost";#N/A,#N/A,FALSE,"Investment";#N/A,#N/A,FALSE,"Profitability";#N/A,#N/A,FALSE,"Business Comparison"}</definedName>
    <definedName name="ARA_Threshold">#REF!</definedName>
    <definedName name="ARC">#REF!</definedName>
    <definedName name="AREA">#REF!</definedName>
    <definedName name="äriuag" hidden="1">{"avrev",#N/A,FALSE,"AVREV";"rates",#N/A,FALSE,"AVREV"}</definedName>
    <definedName name="ArL_MonthEndReport_">#REF!</definedName>
    <definedName name="arm" hidden="1">{"Fiesta Facer Page",#N/A,FALSE,"Q_C_S";"Fiesta Main Page",#N/A,FALSE,"V_L";"Fiesta 95BP Struct",#N/A,FALSE,"StructBP";"Fiesta Post 95BP Struct",#N/A,FALSE,"AdjStructBP"}</definedName>
    <definedName name="ARP_Threshold">#REF!</definedName>
    <definedName name="ARRK">#N/A</definedName>
    <definedName name="ars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tg" hidden="1">{"avrev",#N/A,FALSE,"AVREV";"rates",#N/A,FALSE,"AVREV"}</definedName>
    <definedName name="as" hidden="1">{#N/A,#N/A,FALSE,"Cover";#N/A,#N/A,FALSE,"Profits";#N/A,#N/A,FALSE,"ABS";#N/A,#N/A,FALSE,"TFLE Detail";#N/A,#N/A,FALSE,"TFLE Walk";#N/A,#N/A,FALSE,"Variable Cost";#N/A,#N/A,FALSE,"V.C. Walk"}</definedName>
    <definedName name="AS_010" hidden="1">{#N/A,#N/A,FALSE,"Cover";#N/A,#N/A,FALSE,"Profits";#N/A,#N/A,FALSE,"ABS";#N/A,#N/A,FALSE,"TFLE Detail";#N/A,#N/A,FALSE,"TFLE Walk";#N/A,#N/A,FALSE,"Variable Cost";#N/A,#N/A,FALSE,"V.C. Walk"}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{"pep204a",#N/A,FALSE,"tpepsum4a";"pep205a",#N/A,FALSE,"tpepsum4a";"wpep204a",#N/A,FALSE,"tpepsum4a";"wpep205a",#N/A,FALSE,"tpepsum4a"}</definedName>
    <definedName name="äsaiop" hidden="1">{"Revenue",#N/A,FALSE,"Series";"Ecprofit",#N/A,FALSE,"Series"}</definedName>
    <definedName name="asasa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da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ascQEF" hidden="1">{#N/A,#N/A,FALSE,"GRAFIK";#N/A,#N/A,FALSE,"TOP30MEM"}</definedName>
    <definedName name="ascvav" hidden="1">{"Revenue",#N/A,FALSE,"Series";"Ecprofit",#N/A,FALSE,"Series"}</definedName>
    <definedName name="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a" hidden="1">{#N/A,#N/A,FALSE,"Profit Status";#N/A,#N/A,FALSE,"Invest";#N/A,#N/A,FALSE,"Revenue";#N/A,#N/A,FALSE,"Variable Cost";#N/A,#N/A,FALSE,"Options &amp; Series"}</definedName>
    <definedName name="asdada" hidden="1">{#N/A,#N/A,FALSE,"Cover";#N/A,#N/A,FALSE,"Profits";#N/A,#N/A,FALSE,"ABS";#N/A,#N/A,FALSE,"TFLE Detail";#N/A,#N/A,FALSE,"TFLE Walk";#N/A,#N/A,FALSE,"Variable Cost";#N/A,#N/A,FALSE,"V.C. Walk"}</definedName>
    <definedName name="asdada1" hidden="1">{#N/A,#N/A,FALSE,"Cover";#N/A,#N/A,FALSE,"Profits";#N/A,#N/A,FALSE,"ABS";#N/A,#N/A,FALSE,"TFLE Detail";#N/A,#N/A,FALSE,"TFLE Walk";#N/A,#N/A,FALSE,"Variable Cost";#N/A,#N/A,FALSE,"V.C. Walk"}</definedName>
    <definedName name="asdadb" hidden="1">{#N/A,#N/A,FALSE,"Cover";#N/A,#N/A,FALSE,"Profits";#N/A,#N/A,FALSE,"ABS";#N/A,#N/A,FALSE,"TFLE Detail";#N/A,#N/A,FALSE,"TFLE Walk";#N/A,#N/A,FALSE,"Variable Cost";#N/A,#N/A,FALSE,"V.C. Walk"}</definedName>
    <definedName name="asdasdf" hidden="1">{"Fcst II",#N/A,FALSE,"(1)-PROFIT SUM.";"Risk_Adj._Fcst.",#N/A,FALSE,"(2)-Risk Adj. Fcst.";"Fcst._to_Budget",#N/A,FALSE,"(3)-Fcst. to Bdgt.";"Yr._O_Yr",#N/A,FALSE,"(4)-Yr.-O-Yr."}</definedName>
    <definedName name="asdasfdasfd" hidden="1">{#N/A,#N/A,FALSE,"Title - E";#N/A,#N/A,FALSE,"Insert";#N/A,#N/A,FALSE,"Rpt-98-E PG_1";#N/A,#N/A,FALSE,"Rpt-98-E PG_2f";#N/A,#N/A,FALSE,"Rpt-98-E PG_2";#N/A,#N/A,FALSE,"Insert";#N/A,#N/A,FALSE,"Rpt-98-E PG_3 "}</definedName>
    <definedName name="asdb" hidden="1">{#N/A,#N/A,FALSE,"Profit Status";#N/A,#N/A,FALSE,"Invest";#N/A,#N/A,FALSE,"Revenue";#N/A,#N/A,FALSE,"Variable Cost";#N/A,#N/A,FALSE,"Options &amp; Series"}</definedName>
    <definedName name="asdd" hidden="1">{0,#N/A,FALSE,0;0,#N/A,FALSE,0}</definedName>
    <definedName name="asdf" hidden="1">{#N/A,#N/A,FALSE,"Assumptions";#N/A,#N/A,FALSE,"Volumes";#N/A,#N/A,FALSE,"Pricing";#N/A,#N/A,FALSE,"Variable Cost";#N/A,#N/A,FALSE,"Investment";#N/A,#N/A,FALSE,"Profitability";#N/A,#N/A,FALSE,"Business Comparison"}</definedName>
    <definedName name="asdfa" hidden="1">{#N/A,#N/A,FALSE,"Profit Status";#N/A,#N/A,FALSE,"Invest";#N/A,#N/A,FALSE,"Revenue";#N/A,#N/A,FALSE,"Variable Cost";#N/A,#N/A,FALSE,"Options &amp; Series"}</definedName>
    <definedName name="asdfa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adffs" hidden="1">{#N/A,#N/A,FALSE,"Title - E";#N/A,#N/A,FALSE,"Insert";#N/A,#N/A,FALSE,"Rpt-98-E PG_1";#N/A,#N/A,FALSE,"Rpt-98-E PG_2f";#N/A,#N/A,FALSE,"Rpt-98-E PG_2";#N/A,#N/A,FALSE,"Insert";#N/A,#N/A,FALSE,"Rpt-98-E PG_3 "}</definedName>
    <definedName name="asdfasd" hidden="1">{#N/A,#N/A,FALSE,"Profit Status";#N/A,#N/A,FALSE,"Invest";#N/A,#N/A,FALSE,"Revenue";#N/A,#N/A,FALSE,"Variable Cost";#N/A,#N/A,FALSE,"Options &amp; Series"}</definedName>
    <definedName name="asdfasdf" hidden="1">{#N/A,#N/A,FALSE,"Cover";#N/A,#N/A,FALSE,"Profits";#N/A,#N/A,FALSE,"ABS";#N/A,#N/A,FALSE,"TFLE Detail";#N/A,#N/A,FALSE,"TFLE Walk";#N/A,#N/A,FALSE,"Variable Cost";#N/A,#N/A,FALSE,"V.C. Walk"}</definedName>
    <definedName name="asdfasdf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fsdfd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asdffssdf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asdfgh" hidden="1">{#N/A,"VA",FALSE,"output";#N/A,"VB",FALSE,"output";#N/A,"VS",FALSE,"output";#N/A,"VC",FALSE,"output";#N/A,"VG",FALSE,"output";#N/A,"J1",FALSE,"output";#N/A,"J2",FALSE,"output";#N/A,"PT",FALSE,"output"}</definedName>
    <definedName name="asdfsafd" hidden="1">{"2001-02 Summary",#N/A,TRUE,"Summary";"2001-06 Summary",#N/A,TRUE,"Summary"}</definedName>
    <definedName name="asdfsss" hidden="1">{#N/A,#N/A,FALSE,"Graphs_Retail_Historical_US";#N/A,#N/A,FALSE,"Graphs_RCL_Historical_US";#N/A,#N/A,FALSE,"Graphs_WHSL_Historical_US";#N/A,#N/A,FALSE,"Graphs_ComLend_Historical_US";#N/A,#N/A,FALSE,"Graphs_Intra_Historical_US"}</definedName>
    <definedName name="asdfv" hidden="1">{"Revenue",#N/A,FALSE,"Series";"Ecprofit",#N/A,FALSE,"Series"}</definedName>
    <definedName name="asdsafd" hidden="1">{#N/A,#N/A,FALSE,"Profit Status";#N/A,#N/A,FALSE,"Invest";#N/A,#N/A,FALSE,"Revenue";#N/A,#N/A,FALSE,"Variable Cost";#N/A,#N/A,FALSE,"Options &amp; Series"}</definedName>
    <definedName name="asf" hidden="1">#REF!</definedName>
    <definedName name="asf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s" hidden="1">{#N/A,#N/A,FALSE,"TOP10";#N/A,#N/A,FALSE,"Cover";#N/A,#N/A,FALSE,"MOGRAPH"}</definedName>
    <definedName name="ASGHRH" hidden="1">{#N/A,#N/A,FALSE,"Cover";#N/A,#N/A,FALSE,"Profits";#N/A,#N/A,FALSE,"ABS";#N/A,#N/A,FALSE,"TFLE Detail";#N/A,#N/A,FALSE,"TFLE Walk";#N/A,#N/A,FALSE,"Variable Cost";#N/A,#N/A,FALSE,"V.C. Walk"}</definedName>
    <definedName name="asghrh1" hidden="1">{#N/A,#N/A,FALSE,"Cover";#N/A,#N/A,FALSE,"Profits";#N/A,#N/A,FALSE,"ABS";#N/A,#N/A,FALSE,"TFLE Detail";#N/A,#N/A,FALSE,"TFLE Walk";#N/A,#N/A,FALSE,"Variable Cost";#N/A,#N/A,FALSE,"V.C. Walk"}</definedName>
    <definedName name="ass" hidden="1">{"REVISED",#N/A,FALSE,"Sheet1"}</definedName>
    <definedName name="assemblycontrolindicator">OFFSET(#REF!,0,0,COUNTA(#REF!),1)</definedName>
    <definedName name="Assets">#REF!</definedName>
    <definedName name="Assignment_Table">#REF!</definedName>
    <definedName name="asss" hidden="1">{"Fiesta Facer Page",#N/A,FALSE,"Q_C_S";"Fiesta Main Page",#N/A,FALSE,"V_L";"Fiesta 95BP Struct",#N/A,FALSE,"StructBP";"Fiesta Post 95BP Struct",#N/A,FALSE,"AdjStructBP"}</definedName>
    <definedName name="assyprt">"a1:ak58"</definedName>
    <definedName name="att" hidden="1">{"bpPage2",#N/A,FALSE,"BP DIV MARKETING EQUATION"}</definedName>
    <definedName name="att_1" hidden="1">{"bpPage2",#N/A,FALSE,"BP DIV MARKETING EQUATION"}</definedName>
    <definedName name="att4a">#REF!</definedName>
    <definedName name="Attac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ttendees" hidden="1">{#N/A,#N/A,FALSE,"Assumptions";#N/A,#N/A,FALSE,"Volumes";#N/A,#N/A,FALSE,"Pricing";#N/A,#N/A,FALSE,"Variable Cost";#N/A,#N/A,FALSE,"Investment";#N/A,#N/A,FALSE,"Profitability";#N/A,#N/A,FALSE,"Business Comparison"}</definedName>
    <definedName name="attm_abc" hidden="1">{"Presentation",#N/A,FALSE,"Feb96 - ALL"}</definedName>
    <definedName name="Audio" hidden="1">{#N/A,#N/A,FALSE,"Profit Status";#N/A,#N/A,FALSE,"Invest";#N/A,#N/A,FALSE,"Revenue";#N/A,#N/A,FALSE,"Variable Cost";#N/A,#N/A,FALSE,"Options &amp; Series"}</definedName>
    <definedName name="audit">#REF!</definedName>
    <definedName name="Auditor">#REF!</definedName>
    <definedName name="Austria">#REF!</definedName>
    <definedName name="AUXILIAR" hidden="1">{"A_Summary",#N/A,FALSE,"Arg_Summ";"B_Summary",#N/A,FALSE,"Brz_Summ"}</definedName>
    <definedName name="AV">#REF!</definedName>
    <definedName name="avanc">#N/A</definedName>
    <definedName name="avance">#N/A</definedName>
    <definedName name="AVANTI">#REF!</definedName>
    <definedName name="average">#REF!</definedName>
    <definedName name="avg" hidden="1">{"Avg_Arg_NoAc",#N/A,FALSE,"Wk_Arg_NoAc";"Avg_Arg_Act",#N/A,FALSE,"Wk_Arg_Act";"Avg_Brz_NoAct",#N/A,FALSE,"Wk_Brz_NoAc";"Avg_Brz_Act",#N/A,FALSE,"Wk_Brz_Act"}</definedName>
    <definedName name="awvrevrf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WW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ax" hidden="1">{#N/A,#N/A,FALSE,"Title - E";#N/A,#N/A,FALSE,"Insert";#N/A,#N/A,FALSE,"Rpt-98-E PG_1";#N/A,#N/A,FALSE,"Rpt-98-E PG_2f";#N/A,#N/A,FALSE,"Rpt-98-E PG_2";#N/A,#N/A,FALSE,"Insert";#N/A,#N/A,FALSE,"Rpt-98-E PG_3 "}</definedName>
    <definedName name="Axles">OFFSET(#REF!,0,0,COUNTA(#REF!),1)</definedName>
    <definedName name="az" hidden="1">{#N/A,#N/A,FALSE,"GRAFIK";#N/A,#N/A,FALSE,"TOP30MEM"}</definedName>
    <definedName name="AZ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zeza" hidden="1">{#N/A,#N/A,FALSE,"Assumptions";#N/A,#N/A,FALSE,"Volumes";#N/A,#N/A,FALSE,"Pricing";#N/A,#N/A,FALSE,"Variable Cost";#N/A,#N/A,FALSE,"Investment";#N/A,#N/A,FALSE,"Profitability";#N/A,#N/A,FALSE,"Business Comparison"}</definedName>
    <definedName name="B" hidden="1">#REF!</definedName>
    <definedName name="B\">#REF!</definedName>
    <definedName name="B_1" hidden="1">{"Revenue",#N/A,FALSE,"Series";"Ecprofit",#N/A,FALSE,"Series"}</definedName>
    <definedName name="B_S">#REF!</definedName>
    <definedName name="b2x" hidden="1">{"Presentation",#N/A,FALSE,"Feb96 - ALL"}</definedName>
    <definedName name="b2xx" hidden="1">{"Presentation",#N/A,FALSE,"Feb96 - ALL"}</definedName>
    <definedName name="b3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4x" hidden="1">{"Fiesta Facer Page",#N/A,FALSE,"Q_C_S";"Fiesta Main Page",#N/A,FALSE,"V_L";"Fiesta 95BP Struct",#N/A,FALSE,"StructBP";"Fiesta Post 95BP Struct",#N/A,FALSE,"AdjStructBP"}</definedName>
    <definedName name="b5x" hidden="1">{"Presentation",#N/A,FALSE,"Feb96 - ALL"}</definedName>
    <definedName name="b5xx" hidden="1">{"Presentation",#N/A,FALSE,"Feb96 - ALL"}</definedName>
    <definedName name="b5y" hidden="1">{"Presentation",#N/A,FALSE,"Feb96 - ALL"}</definedName>
    <definedName name="b6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7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a" hidden="1">{#N/A,#N/A,FALSE,"Assumptions";#N/A,#N/A,FALSE,"Volumes";#N/A,#N/A,FALSE,"Pricing";#N/A,#N/A,FALSE,"Variable Cost";#N/A,#N/A,FALSE,"Investment";#N/A,#N/A,FALSE,"Profitability";#N/A,#N/A,FALSE,"Business Comparison"}</definedName>
    <definedName name="back6">#REF!</definedName>
    <definedName name="back7">#REF!</definedName>
    <definedName name="backup" hidden="1">{"Presentation",#N/A,FALSE,"Feb96 - ALL"}</definedName>
    <definedName name="BAClaim">#REF!</definedName>
    <definedName name="bad" hidden="1">{0,#N/A,FALSE,0;0,#N/A,FALSE,0;0,#N/A,FALSE,0;0,#N/A,FALSE,0}</definedName>
    <definedName name="BAL_SHEET">#REF!</definedName>
    <definedName name="BALLRM">#REF!</definedName>
    <definedName name="Bank">#REF!</definedName>
    <definedName name="BANK2">#REF!</definedName>
    <definedName name="barry" hidden="1">{#N/A,#N/A,FALSE,"Back-Up Cover";#N/A,#N/A,FALSE,"CM1";#N/A,#N/A,FALSE,"CM3";#N/A,#N/A,FALSE,"CM4"}</definedName>
    <definedName name="barry_1" hidden="1">{#N/A,#N/A,FALSE,"Back-Up Cover";#N/A,#N/A,FALSE,"CM1";#N/A,#N/A,FALSE,"CM3";#N/A,#N/A,FALSE,"CM4"}</definedName>
    <definedName name="barry2" hidden="1">{#N/A,#N/A,FALSE,"Back-Up Cover";#N/A,#N/A,FALSE,"CM1";#N/A,#N/A,FALSE,"CM3";#N/A,#N/A,FALSE,"CM4"}</definedName>
    <definedName name="barry2_1" hidden="1">{#N/A,#N/A,FALSE,"Back-Up Cover";#N/A,#N/A,FALSE,"CM1";#N/A,#N/A,FALSE,"CM3";#N/A,#N/A,FALSE,"CM4"}</definedName>
    <definedName name="bas">#REF!</definedName>
    <definedName name="BASE">#REF!</definedName>
    <definedName name="BaseYear">#REF!</definedName>
    <definedName name="Basis_end">#REF!</definedName>
    <definedName name="Basis_start">#REF!</definedName>
    <definedName name="bb" hidden="1">{#N/A,#N/A,FALSE,"Assumptions";#N/A,#N/A,FALSE,"Volumes";#N/A,#N/A,FALSE,"Pricing";#N/A,#N/A,FALSE,"Variable Cost";#N/A,#N/A,FALSE,"Investment";#N/A,#N/A,FALSE,"Profitability";#N/A,#N/A,FALSE,"Business Comparison"}</definedName>
    <definedName name="bbb" hidden="1">{"Revenue",#N/A,FALSE,"Series";"Ecprofit",#N/A,FALSE,"Series"}</definedName>
    <definedName name="bbbbb" hidden="1">{"Presentation",#N/A,FALSE,"Feb96 - ALL"}</definedName>
    <definedName name="bbbbbb" hidden="1">{"avrev",#N/A,FALSE,"AVREV";"rates",#N/A,FALSE,"AVREV"}</definedName>
    <definedName name="bbbbbbbbbbb" hidden="1">{#N/A,#N/A,FALSE,"2001 CBG";#N/A,#N/A,FALSE,"2002 CBG";#N/A,#N/A,FALSE,"2003 CBG";#N/A,#N/A,FALSE,"2004 CBG";#N/A,#N/A,FALSE,"2005 CBG";#N/A,#N/A,FALSE,"2006 CBG ";#N/A,#N/A,FALSE,"2007 CBG";#N/A,#N/A,FALSE,"2008 CBG"}</definedName>
    <definedName name="bbbbbbbbbbbbbbb" hidden="1">{#N/A,#N/A,FALSE,"Title - E";#N/A,#N/A,FALSE,"Insert";#N/A,#N/A,FALSE,"Rpt-98-E PG_1";#N/A,#N/A,FALSE,"Rpt-98-E PG_2f";#N/A,#N/A,FALSE,"Rpt-98-E PG_2";#N/A,#N/A,FALSE,"Insert";#N/A,#N/A,FALSE,"Rpt-98-E PG_3 "}</definedName>
    <definedName name="bbI" hidden="1">{"Fiesta Facer Page",#N/A,FALSE,"Q_C_S";"Fiesta Main Page",#N/A,FALSE,"V_L";"Fiesta 95BP Struct",#N/A,FALSE,"StructBP";"Fiesta Post 95BP Struct",#N/A,FALSE,"AdjStructBP"}</definedName>
    <definedName name="BBL">#REF!</definedName>
    <definedName name="BBL1_3M">#REF!</definedName>
    <definedName name="BBL1M">SUM(#REF!)</definedName>
    <definedName name="BBL1Y">SUM(#REF!)</definedName>
    <definedName name="BBL2M">SUM(#REF!)</definedName>
    <definedName name="BBL3M">SUM(#REF!)</definedName>
    <definedName name="BBL3Y">#REF!</definedName>
    <definedName name="BBL6M">SUM(#REF!)</definedName>
    <definedName name="BBLST">SUM(#REF!)</definedName>
    <definedName name="BC">#REF!</definedName>
    <definedName name="BCClaim">#REF!</definedName>
    <definedName name="BCExport">#REF!</definedName>
    <definedName name="BCPI_">#REF!</definedName>
    <definedName name="bd" hidden="1">#REF!</definedName>
    <definedName name="Beg_Bal">#REF!</definedName>
    <definedName name="BEGIN_ADD">#REF!</definedName>
    <definedName name="Belgium">#REF!</definedName>
    <definedName name="Benchmark" hidden="1">{#N/A,#N/A,FALSE,"Assumptions";#N/A,#N/A,FALSE,"Volumes";#N/A,#N/A,FALSE,"Pricing";#N/A,#N/A,FALSE,"Variable Cost";#N/A,#N/A,FALSE,"Investment";#N/A,#N/A,FALSE,"Profitability";#N/A,#N/A,FALSE,"Business Comparison"}</definedName>
    <definedName name="bfd">#REF!</definedName>
    <definedName name="BFVVG" hidden="1">{#N/A,#N/A,FALSE,"TOP10";#N/A,#N/A,FALSE,"Cover";#N/A,#N/A,FALSE,"MOGRAPH"}</definedName>
    <definedName name="BG_Del" hidden="1">15</definedName>
    <definedName name="BG_Ins" hidden="1">4</definedName>
    <definedName name="BG_Mod" hidden="1">6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teme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_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JW" hidden="1">{#N/A,#N/A,FALSE,"Cover";#N/A,#N/A,FALSE,"Profits";#N/A,#N/A,FALSE,"ABS";#N/A,#N/A,FALSE,"TFLE Detail";#N/A,#N/A,FALSE,"TFLE Walk";#N/A,#N/A,FALSE,"Variable Cost";#N/A,#N/A,FALSE,"V.C. Walk"}</definedName>
    <definedName name="bkon">#REF!</definedName>
    <definedName name="bla" hidden="1">{"'Verr-enseig-ex'!$M$22:$M$23"}</definedName>
    <definedName name="BlackBelts">#REF!</definedName>
    <definedName name="BLAH" hidden="1">{#N/A,#N/A,FALSE,"Cover Page";#N/A,#N/A,FALSE,"Facing Page";#N/A,#N/A,FALSE,"Main Page";#N/A,#N/A,FALSE,"Risk-Adjusted";#N/A,#N/A,FALSE,"Profit Improvement"}</definedName>
    <definedName name="BLAH_1" hidden="1">{#N/A,#N/A,FALSE,"Cover Page";#N/A,#N/A,FALSE,"Facing Page";#N/A,#N/A,FALSE,"Main Page";#N/A,#N/A,FALSE,"Risk-Adjusted";#N/A,#N/A,FALSE,"Profit Improvement"}</definedName>
    <definedName name="blame" hidden="1">{#N/A,#N/A,FALSE,"expense";#N/A,#N/A,FALSE,"heads"}</definedName>
    <definedName name="blame_1" hidden="1">{#N/A,#N/A,FALSE,"expense";#N/A,#N/A,FALSE,"heads"}</definedName>
    <definedName name="blank" hidden="1">{"salaried",#N/A,FALSE,"VLD View (2)"}</definedName>
    <definedName name="blank2" hidden="1">{#N/A,#N/A,FALSE,"Title - E";#N/A,#N/A,FALSE,"Insert";#N/A,#N/A,FALSE,"Rpt-98-E PG_1";#N/A,#N/A,FALSE,"Rpt-98-E PG_2f";#N/A,#N/A,FALSE,"Rpt-98-E PG_2";#N/A,#N/A,FALSE,"Insert";#N/A,#N/A,FALSE,"Rpt-98-E PG_3 "}</definedName>
    <definedName name="blanko" hidden="1">{#N/A,#N/A,FALSE,"Back-Up Cover";#N/A,#N/A,FALSE,"CM1";#N/A,#N/A,FALSE,"CM3";#N/A,#N/A,FALSE,"CM4"}</definedName>
    <definedName name="blanko_1" hidden="1">{#N/A,#N/A,FALSE,"Back-Up Cover";#N/A,#N/A,FALSE,"CM1";#N/A,#N/A,FALSE,"CM3";#N/A,#N/A,FALSE,"CM4"}</definedName>
    <definedName name="blatt" hidden="1">{"Presentation",#N/A,FALSE,"Feb96 - ALL"}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ld_Date">41332.8058796296</definedName>
    <definedName name="bld_Number">55</definedName>
    <definedName name="BLDG">#REF!</definedName>
    <definedName name="BLDGIMP">#REF!</definedName>
    <definedName name="BLDGREV">#REF!</definedName>
    <definedName name="bn" hidden="1">{"avrev",#N/A,FALSE,"AVREV";"rates",#N/A,FALSE,"AVREV"}</definedName>
    <definedName name="bnbn" hidden="1">{#N/A,#N/A,FALSE,"Chart";#N/A,#N/A,FALSE,"Chart"}</definedName>
    <definedName name="bncnb" hidden="1">{"avrev",#N/A,FALSE,"AVREV";"rates",#N/A,FALSE,"AVREV"}</definedName>
    <definedName name="BNE_MESSAGES_HIDDEN" hidden="1">#REF!</definedName>
    <definedName name="bnm">#N/A</definedName>
    <definedName name="BOA2Y">SUM(#REF!)</definedName>
    <definedName name="BOA3Y">SUM(#REF!)</definedName>
    <definedName name="BOAMT">#REF!</definedName>
    <definedName name="BOAST">#REF!</definedName>
    <definedName name="bob" hidden="1">{#N/A,#N/A,FALSE,"expense";#N/A,#N/A,FALSE,"heads"}</definedName>
    <definedName name="BOH">#REF!</definedName>
    <definedName name="BOM">#REF!</definedName>
    <definedName name="BOTM1_3M">#REF!</definedName>
    <definedName name="BOTM1M">SUM(#REF!)</definedName>
    <definedName name="BOTM1Y">SUM(#REF!)</definedName>
    <definedName name="BOTM2Y">SUM(#REF!)</definedName>
    <definedName name="BOTMMT">#REF!</definedName>
    <definedName name="BOTMST">SUM(#REF!)</definedName>
    <definedName name="BPlanRev" hidden="1">{"MaskProfCalc",#N/A,FALSE,"Mask";"MaskTrade",#N/A,FALSE,"Mask"}</definedName>
    <definedName name="BPR" hidden="1">{"Fiesta Facer Page",#N/A,FALSE,"Q_C_S";"Fiesta Main Page",#N/A,FALSE,"V_L";"Fiesta 95BP Struct",#N/A,FALSE,"StructBP";"Fiesta Post 95BP Struct",#N/A,FALSE,"AdjStructBP"}</definedName>
    <definedName name="BQT">#REF!</definedName>
    <definedName name="BR">#REF!</definedName>
    <definedName name="BREAK">#REF!</definedName>
    <definedName name="britain" hidden="1">{"REVISED",#N/A,FALSE,"Sheet1"}</definedName>
    <definedName name="britain_">#REF!</definedName>
    <definedName name="Britain__ECU">#REF!</definedName>
    <definedName name="BritainY" hidden="1">{"REVISED",#N/A,FALSE,"Sheet1"}</definedName>
    <definedName name="BS">#REF!</definedName>
    <definedName name="BS_CDMA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CASH">#N/A</definedName>
    <definedName name="BSCASH_Q1">#N/A</definedName>
    <definedName name="BSCASH_Q2">#N/A</definedName>
    <definedName name="BSCASH_Q3">#N/A</definedName>
    <definedName name="BSCASH_Q4">#N/A</definedName>
    <definedName name="BSD">#REF!</definedName>
    <definedName name="BS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U">#REF!</definedName>
    <definedName name="budcurrent">#REF!</definedName>
    <definedName name="budcurrentbu">#REF!</definedName>
    <definedName name="budgetdescription">#REF!</definedName>
    <definedName name="budytd">#REF!</definedName>
    <definedName name="budytdbud">#REF!</definedName>
    <definedName name="BuiltIn_AutoFilter___1">#REF!</definedName>
    <definedName name="BuiltIn_Print_Area___0">#REF!</definedName>
    <definedName name="BuiltIn_Print_Titles___0">#N/A</definedName>
    <definedName name="bum" hidden="1">{"Fiesta Facer Page",#N/A,FALSE,"Q_C_S";"Fiesta Main Page",#N/A,FALSE,"V_L";"Fiesta 95BP Struct",#N/A,FALSE,"StructBP";"Fiesta Post 95BP Struct",#N/A,FALSE,"AdjStructBP"}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nrui1">#REF!</definedName>
    <definedName name="Bunrui2">#REF!</definedName>
    <definedName name="Bunrui3">#REF!</definedName>
    <definedName name="BUS">#REF!</definedName>
    <definedName name="BuyingIncoterm">#REF!</definedName>
    <definedName name="BuySell">#REF!</definedName>
    <definedName name="BV226_1" hidden="1">{#N/A,#N/A,FALSE,"Assumptions";#N/A,#N/A,FALSE,"Volumes";#N/A,#N/A,FALSE,"Pricing";#N/A,#N/A,FALSE,"Variable Cost";#N/A,#N/A,FALSE,"Investment";#N/A,#N/A,FALSE,"Profitability";#N/A,#N/A,FALSE,"Business Comparison"}</definedName>
    <definedName name="BV226_11" hidden="1">{"salaried",#N/A,FALSE,"VLD View (2)"}</definedName>
    <definedName name="BV226_12" hidden="1">{#N/A,#N/A,FALSE,"Cover";#N/A,#N/A,FALSE,"Profits";#N/A,#N/A,FALSE,"ABS";#N/A,#N/A,FALSE,"TFLE Detail";#N/A,#N/A,FALSE,"TFLE Walk";#N/A,#N/A,FALSE,"Variable Cost";#N/A,#N/A,FALSE,"V.C. Walk"}</definedName>
    <definedName name="BV226_13" hidden="1">{#N/A,#N/A,FALSE,"SumMonth"}</definedName>
    <definedName name="BV226_14" hidden="1">{#N/A,#N/A,FALSE,"Profit Status";#N/A,#N/A,FALSE,"Invest";#N/A,#N/A,FALSE,"Revenue";#N/A,#N/A,FALSE,"Variable Cost";#N/A,#N/A,FALSE,"Options &amp; Series"}</definedName>
    <definedName name="BV226_15" hidden="1">{#N/A,#N/A,FALSE,"Cover Page";#N/A,#N/A,FALSE,"Facing Page";#N/A,#N/A,FALSE,"Main Page";#N/A,#N/A,FALSE,"Risk-Adjusted";#N/A,#N/A,FALSE,"Profit Improvement"}</definedName>
    <definedName name="BV226_17" hidden="1">{#N/A,#N/A,FALSE,"SumMonth";#N/A,#N/A,FALSE,"SumMonth"}</definedName>
    <definedName name="BV226_18" hidden="1">{#N/A,#N/A,FALSE,"2001 CBG";#N/A,#N/A,FALSE,"2002 CBG";#N/A,#N/A,FALSE,"2003 CBG";#N/A,#N/A,FALSE,"2004 CBG";#N/A,#N/A,FALSE,"2005 CBG";#N/A,#N/A,FALSE,"2006 CBG ";#N/A,#N/A,FALSE,"2007 CBG";#N/A,#N/A,FALSE,"2008 CBG"}</definedName>
    <definedName name="BV226_19" hidden="1">{#N/A,#N/A,FALSE,"2001 CBG";#N/A,#N/A,FALSE,"2002 CBG";#N/A,#N/A,FALSE,"2003 CBG";#N/A,#N/A,FALSE,"2004 CBG";#N/A,#N/A,FALSE,"2005 CBG";#N/A,#N/A,FALSE,"2006 CBG ";#N/A,#N/A,FALSE,"2007 CBG";#N/A,#N/A,FALSE,"2008 CBG"}</definedName>
    <definedName name="BV226_2" hidden="1">{#N/A,#N/A,FALSE,"Cover Page";#N/A,#N/A,FALSE,"Facing Page";#N/A,#N/A,FALSE,"Main Page";#N/A,#N/A,FALSE,"Risk-Adjusted";#N/A,#N/A,FALSE,"Profit Improvement"}</definedName>
    <definedName name="BV226_21" hidden="1">{#N/A,#N/A,FALSE,"LVC Final";#N/A,#N/A,FALSE,"TVC Final";#N/A,#N/A,FALSE,"PTO Final";#N/A,#N/A,FALSE,"RVT Final";#N/A,#N/A,FALSE,"CD Final"}</definedName>
    <definedName name="BV226_24" hidden="1">{#N/A,#N/A,FALSE,"Profit Status";#N/A,#N/A,FALSE,"Invest";#N/A,#N/A,FALSE,"Revenue";#N/A,#N/A,FALSE,"Variable Cost";#N/A,#N/A,FALSE,"Options &amp; Series"}</definedName>
    <definedName name="BV226_25" hidden="1">{#N/A,#N/A,FALSE,"Assumptions";#N/A,#N/A,FALSE,"Volumes";#N/A,#N/A,FALSE,"Pricing";#N/A,#N/A,FALSE,"Variable Cost";#N/A,#N/A,FALSE,"Investment";#N/A,#N/A,FALSE,"Profitability";#N/A,#N/A,FALSE,"Business Comparison"}</definedName>
    <definedName name="BV226_26" hidden="1">{#N/A,#N/A,FALSE,"Assumptions";#N/A,#N/A,FALSE,"Volumes";#N/A,#N/A,FALSE,"Pricing";#N/A,#N/A,FALSE,"Variable Cost";#N/A,#N/A,FALSE,"Investment";#N/A,#N/A,FALSE,"Profitability";#N/A,#N/A,FALSE,"Business Comparison"}</definedName>
    <definedName name="BV226_27" hidden="1">{#N/A,#N/A,FALSE,"Assumptions";#N/A,#N/A,FALSE,"Volumes";#N/A,#N/A,FALSE,"Pricing";#N/A,#N/A,FALSE,"Variable Cost";#N/A,#N/A,FALSE,"Investment";#N/A,#N/A,FALSE,"Profitability";#N/A,#N/A,FALSE,"Business Comparison"}</definedName>
    <definedName name="BV226_28" hidden="1">{#N/A,#N/A,FALSE,"Profit Status";#N/A,#N/A,FALSE,"Invest";#N/A,#N/A,FALSE,"Revenue";#N/A,#N/A,FALSE,"Variable Cost";#N/A,#N/A,FALSE,"Options &amp; Series"}</definedName>
    <definedName name="BV226_29" hidden="1">{#N/A,#N/A,FALSE,"Assumptions";#N/A,#N/A,FALSE,"Volumes";#N/A,#N/A,FALSE,"Pricing";#N/A,#N/A,FALSE,"Variable Cost";#N/A,#N/A,FALSE,"Investment";#N/A,#N/A,FALSE,"Profitability";#N/A,#N/A,FALSE,"Business Comparison"}</definedName>
    <definedName name="BV226_30" hidden="1">{#N/A,#N/A,FALSE,"Assumptions";#N/A,#N/A,FALSE,"Volumes";#N/A,#N/A,FALSE,"Pricing";#N/A,#N/A,FALSE,"Variable Cost";#N/A,#N/A,FALSE,"Investment";#N/A,#N/A,FALSE,"Profitability";#N/A,#N/A,FALSE,"Business Comparison"}</definedName>
    <definedName name="BV226_31" hidden="1">{#N/A,#N/A,FALSE,"Assumptions";#N/A,#N/A,FALSE,"Volumes";#N/A,#N/A,FALSE,"Pricing";#N/A,#N/A,FALSE,"Variable Cost";#N/A,#N/A,FALSE,"Investment";#N/A,#N/A,FALSE,"Profitability";#N/A,#N/A,FALSE,"Business Comparison"}</definedName>
    <definedName name="BV226_32" hidden="1">{#N/A,#N/A,FALSE,"Profit Status";#N/A,#N/A,FALSE,"Invest";#N/A,#N/A,FALSE,"Revenue";#N/A,#N/A,FALSE,"Variable Cost";#N/A,#N/A,FALSE,"Options &amp; Series"}</definedName>
    <definedName name="BV226_33" hidden="1">{"Fiesta Facer Page",#N/A,FALSE,"Q_C_S";"Fiesta Main Page",#N/A,FALSE,"V_L";"Fiesta 95BP Struct",#N/A,FALSE,"StructBP";"Fiesta Post 95BP Struct",#N/A,FALSE,"AdjStructBP"}</definedName>
    <definedName name="BV226_34" hidden="1">{#N/A,#N/A,FALSE,"expense";#N/A,#N/A,FALSE,"heads"}</definedName>
    <definedName name="BV226_37" hidden="1">{"salaried",#N/A,FALSE,"VLD View (2)"}</definedName>
    <definedName name="BV226_38" hidden="1">{#N/A,#N/A,FALSE,"Cover";#N/A,#N/A,FALSE,"Profits";#N/A,#N/A,FALSE,"ABS";#N/A,#N/A,FALSE,"TFLE Detail";#N/A,#N/A,FALSE,"TFLE Walk";#N/A,#N/A,FALSE,"Variable Cost";#N/A,#N/A,FALSE,"V.C. Walk"}</definedName>
    <definedName name="BV226_39" hidden="1">{#N/A,#N/A,FALSE,"SumMonth"}</definedName>
    <definedName name="BV226_40" hidden="1">{#N/A,#N/A,FALSE,"Profit Status";#N/A,#N/A,FALSE,"Invest";#N/A,#N/A,FALSE,"Revenue";#N/A,#N/A,FALSE,"Variable Cost";#N/A,#N/A,FALSE,"Options &amp; Series"}</definedName>
    <definedName name="BV226_41" hidden="1">{#N/A,#N/A,FALSE,"Cover Page";#N/A,#N/A,FALSE,"Facing Page";#N/A,#N/A,FALSE,"Main Page";#N/A,#N/A,FALSE,"Risk-Adjusted";#N/A,#N/A,FALSE,"Profit Improvement"}</definedName>
    <definedName name="BV226_42" hidden="1">{#N/A,#N/A,FALSE,"SumMonth";#N/A,#N/A,FALSE,"SumMonth"}</definedName>
    <definedName name="BV226_43" hidden="1">{#N/A,#N/A,FALSE,"2001 CBG";#N/A,#N/A,FALSE,"2002 CBG";#N/A,#N/A,FALSE,"2003 CBG";#N/A,#N/A,FALSE,"2004 CBG";#N/A,#N/A,FALSE,"2005 CBG";#N/A,#N/A,FALSE,"2006 CBG ";#N/A,#N/A,FALSE,"2007 CBG";#N/A,#N/A,FALSE,"2008 CBG"}</definedName>
    <definedName name="BV226_44" hidden="1">{#N/A,#N/A,FALSE,"2001 CBG";#N/A,#N/A,FALSE,"2002 CBG";#N/A,#N/A,FALSE,"2003 CBG";#N/A,#N/A,FALSE,"2004 CBG";#N/A,#N/A,FALSE,"2005 CBG";#N/A,#N/A,FALSE,"2006 CBG ";#N/A,#N/A,FALSE,"2007 CBG";#N/A,#N/A,FALSE,"2008 CBG"}</definedName>
    <definedName name="BV226_45" hidden="1">{#N/A,#N/A,FALSE,"LVC Final";#N/A,#N/A,FALSE,"TVC Final";#N/A,#N/A,FALSE,"PTO Final";#N/A,#N/A,FALSE,"RVT Final";#N/A,#N/A,FALSE,"CD Final"}</definedName>
    <definedName name="BV226_4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7" hidden="1">{#N/A,#N/A,FALSE,"Cover Page";#N/A,#N/A,FALSE,"Facing Page";#N/A,#N/A,FALSE,"Main Page";#N/A,#N/A,FALSE,"Risk-Adjusted";#N/A,#N/A,FALSE,"Profit Improvement"}</definedName>
    <definedName name="BV226_6" hidden="1">{#N/A,#N/A,FALSE,"Profit Status";#N/A,#N/A,FALSE,"Invest";#N/A,#N/A,FALSE,"Revenue";#N/A,#N/A,FALSE,"Variable Cost";#N/A,#N/A,FALSE,"Options &amp; Series"}</definedName>
    <definedName name="BV226_7" hidden="1">{#N/A,#N/A,FALSE,"Cover Page";#N/A,#N/A,FALSE,"Facing Page";#N/A,#N/A,FALSE,"Main Page";#N/A,#N/A,FALSE,"Risk-Adjusted";#N/A,#N/A,FALSE,"Profit Improvement"}</definedName>
    <definedName name="BV226_8" hidden="1">{"Fiesta Facer Page",#N/A,FALSE,"Q_C_S";"Fiesta Main Page",#N/A,FALSE,"V_L";"Fiesta 95BP Struct",#N/A,FALSE,"StructBP";"Fiesta Post 95BP Struct",#N/A,FALSE,"AdjStructBP"}</definedName>
    <definedName name="BV226_9" hidden="1">{#N/A,#N/A,FALSE,"expense";#N/A,#N/A,FALSE,"heads"}</definedName>
    <definedName name="bvb" hidden="1">{"Presentation",#N/A,FALSE,"Feb96 - ALL"}</definedName>
    <definedName name="bvjnjg" hidden="1">{"Revenue",#N/A,FALSE,"Series";"Ecprofit",#N/A,FALSE,"Series"}</definedName>
    <definedName name="By_Adjustment_Query">#REF!</definedName>
    <definedName name="C_red_2" hidden="1">{#N/A,#N/A,FALSE,"Profit Status";#N/A,#N/A,FALSE,"Invest";#N/A,#N/A,FALSE,"Revenue";#N/A,#N/A,FALSE,"Variable Cost";#N/A,#N/A,FALSE,"Options &amp; Series"}</definedName>
    <definedName name="ca" hidden="1">{"Presentation",#N/A,FALSE,"Feb96 - ALL"}</definedName>
    <definedName name="caa" hidden="1">{"Presentation",#N/A,FALSE,"Feb96 - ALL"}</definedName>
    <definedName name="cacho" hidden="1">{"Summary",#N/A,FALSE,"Sumary";"Att.1",#N/A,FALSE,"Attach.I";"Att.2",#N/A,FALSE,"Attach.2";"Att.3",#N/A,FALSE,"Attach.3";"Att.4",#N/A,FALSE,"Attach.4";"Walk",#N/A,FALSE,"Walk"}</definedName>
    <definedName name="cadrequired">OFFSET(#REF!,0,0,COUNTA(#REF!),1)</definedName>
    <definedName name="cal">#REF!</definedName>
    <definedName name="CalcAgencyPrice">#REF!</definedName>
    <definedName name="Calend_Budget_2002" hidden="1">{#N/A,#N/A,FALSE,"Assumptions";#N/A,#N/A,FALSE,"Volumes";#N/A,#N/A,FALSE,"Pricing";#N/A,#N/A,FALSE,"Variable Cost";#N/A,#N/A,FALSE,"Investment";#N/A,#N/A,FALSE,"Profitability";#N/A,#N/A,FALSE,"Business Comparison"}</definedName>
    <definedName name="CALENDARIZATIONS">#REF!</definedName>
    <definedName name="cant" hidden="1">{"Fiesta Facer Page",#N/A,FALSE,"Q_C_S";"Fiesta Main Page",#N/A,FALSE,"V_L";"Fiesta 95BP Struct",#N/A,FALSE,"StructBP";"Fiesta Post 95BP Struct",#N/A,FALSE,"AdjStructBP"}</definedName>
    <definedName name="capsum">#REF!</definedName>
    <definedName name="car">0.323</definedName>
    <definedName name="CargoType">#REF!</definedName>
    <definedName name="cas" hidden="1">{"Presentation",#N/A,FALSE,"Feb96 - ALL"}</definedName>
    <definedName name="Cash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t" hidden="1">{"Revenue",#N/A,FALSE,"Series";"Ecprofit",#N/A,FALSE,"Series"}</definedName>
    <definedName name="cat_1" hidden="1">{"Revenue",#N/A,FALSE,"Series";"Ecprofit",#N/A,FALSE,"Series"}</definedName>
    <definedName name="CATotals">#REF!</definedName>
    <definedName name="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WorkbookPriority" hidden="1">-1935235038</definedName>
    <definedName name="cc" hidden="1">{#N/A,#N/A,FALSE,"Cover";#N/A,#N/A,FALSE,"Profits";#N/A,#N/A,FALSE,"ABS";#N/A,#N/A,FALSE,"TFLE Detail";#N/A,#N/A,FALSE,"TFLE Walk";#N/A,#N/A,FALSE,"Variable Cost";#N/A,#N/A,FALSE,"V.C. Walk"}</definedName>
    <definedName name="ccc" hidden="1">#REF!</definedName>
    <definedName name="cccc">#REF!</definedName>
    <definedName name="ccccc" hidden="1">{#N/A,#N/A,FALSE,"Profit Status";#N/A,#N/A,FALSE,"Invest";#N/A,#N/A,FALSE,"Revenue";#N/A,#N/A,FALSE,"Variable Cost";#N/A,#N/A,FALSE,"Options &amp; Series"}</definedName>
    <definedName name="cccccc" hidden="1">{#N/A,#N/A,FALSE,"Assumptions";#N/A,#N/A,FALSE,"Volumes";#N/A,#N/A,FALSE,"Pricing";#N/A,#N/A,FALSE,"Variable Cost";#N/A,#N/A,FALSE,"Investment";#N/A,#N/A,FALSE,"Profitability";#N/A,#N/A,FALSE,"Business Comparison"}</definedName>
    <definedName name="cccccccc">#REF!</definedName>
    <definedName name="cccccccccc">#REF!</definedName>
    <definedName name="ccccccccccccccccc">#REF!</definedName>
    <definedName name="cccccccccccccccccc">#REF!</definedName>
    <definedName name="ccccccccccccccccccc" hidden="1">{#N/A,#N/A,FALSE,"Title-W";#N/A,#N/A,FALSE,"Insert";#N/A,#N/A,FALSE,"Rpt-98-W PG_1";#N/A,#N/A,FALSE,"Rpt-98-W PG_2f";#N/A,#N/A,FALSE,"Rpt-98-W  PG_2";#N/A,#N/A,FALSE,"Insert";#N/A,#N/A,FALSE,"Rpt-98-W PG_3"}</definedName>
    <definedName name="cccccccccccccccccccccc">#REF!</definedName>
    <definedName name="cccccusuuus">#REF!</definedName>
    <definedName name="cccccuuuu">#REF!</definedName>
    <definedName name="ccddd" hidden="1">{0,#N/A,FALSE,0;0,#N/A,FALSE,0;0,#N/A,FALSE,0;0,#N/A,FALSE,0}</definedName>
    <definedName name="ccnaapoapbt">#REF!</definedName>
    <definedName name="ccnaapoastat">#REF!</definedName>
    <definedName name="ccnaeurpbt">#REF!</definedName>
    <definedName name="ccnaeurstat">#REF!</definedName>
    <definedName name="ccnanapbt">#REF!</definedName>
    <definedName name="ccnanastat">#REF!</definedName>
    <definedName name="ccnasapbt">#REF!</definedName>
    <definedName name="ccnasastat">#REF!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d" hidden="1">{#N/A,#N/A,FALSE,"UW152PPL"}</definedName>
    <definedName name="cd132costre" hidden="1">{"Presentation",#N/A,FALSE,"Feb96 - ALL"}</definedName>
    <definedName name="cd132costre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x" hidden="1">{"Presentation",#N/A,FALSE,"Feb96 - ALL"}</definedName>
    <definedName name="CD391_Market">#REF!</definedName>
    <definedName name="CDascW" hidden="1">#REF!</definedName>
    <definedName name="CDB">#REF!</definedName>
    <definedName name="cdd" hidden="1">{"Presentation",#N/A,FALSE,"Feb96 - ALL"}</definedName>
    <definedName name="cddddddddddd">#REF!</definedName>
    <definedName name="cdf" hidden="1">{"Presentation",#N/A,FALSE,"Feb96 - ALL"}</definedName>
    <definedName name="cdsioa">#REF!</definedName>
    <definedName name="CDW" hidden="1">{"avrev",#N/A,FALSE,"AVREV";"rates",#N/A,FALSE,"AVREV"}</definedName>
    <definedName name="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F">#REF!</definedName>
    <definedName name="cfy" hidden="1">{"MaskProfCalc",#N/A,FALSE,"Mask";"MaskTrade",#N/A,FALSE,"Mask"}</definedName>
    <definedName name="cg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H">#REF!</definedName>
    <definedName name="chain4" hidden="1">{"Fiesta Facer Page",#N/A,FALSE,"Q_C_S";"Fiesta Main Page",#N/A,FALSE,"V_L";"Fiesta 95BP Struct",#N/A,FALSE,"StructBP";"Fiesta Post 95BP Struct",#N/A,FALSE,"AdjStructBP"}</definedName>
    <definedName name="chain5" hidden="1">{"Presentation",#N/A,FALSE,"Feb96 - ALL"}</definedName>
    <definedName name="chain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mpions">#REF!</definedName>
    <definedName name="Chandler" hidden="1">{"forecast",#N/A,FALSE,"PL";"FCST YTD",#N/A,FALSE,"PL";"new bud adj",#N/A,FALSE,"PL";"new budget",#N/A,FALSE,"PL";"qtr",#N/A,FALSE,"PL";"bal sheet",#N/A,FALSE,"MONTHLY BALANCE SHEET";"fcst w head depre cap",#N/A,FALSE,"PL"}</definedName>
    <definedName name="change">#REF!</definedName>
    <definedName name="CHANGE_NOTES">#REF!</definedName>
    <definedName name="ChangeLo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argeabl">#REF!</definedName>
    <definedName name="Chargeable">#REF!</definedName>
    <definedName name="Chargeable2">#REF!</definedName>
    <definedName name="CHARGEBACK" hidden="1">{#N/A,#N/A,FALSE,"TEST HOURS MONTHLY REPORT"}</definedName>
    <definedName name="Chart">"Chart"</definedName>
    <definedName name="CHASE1Y">#REF!</definedName>
    <definedName name="CHECK">#REF!</definedName>
    <definedName name="CHECKLISTE">#REF!</definedName>
    <definedName name="chiefpage">#REF!</definedName>
    <definedName name="Choice">#REF!</definedName>
    <definedName name="CI">#REF!</definedName>
    <definedName name="ci_ce_gowi_ma">#REF!</definedName>
    <definedName name="ci_cf_delta_fin">#REF!</definedName>
    <definedName name="ci_cf_divp">#REF!</definedName>
    <definedName name="ci_cf_oeqt">#REF!</definedName>
    <definedName name="ci_cf_oeqt_na">#REF!</definedName>
    <definedName name="ci_de_eqin_dai_na">#REF!</definedName>
    <definedName name="ci_de_eqin_dai_nna">#REF!</definedName>
    <definedName name="ci_kfe_cfbit">#REF!</definedName>
    <definedName name="ci_kfe_ebit">#REF!</definedName>
    <definedName name="ci_kfe_fcf">#REF!</definedName>
    <definedName name="ci_kfe_gcf">#REF!</definedName>
    <definedName name="ci_kfe_nepr">#REF!</definedName>
    <definedName name="ci_kfe_ninv">#REF!</definedName>
    <definedName name="ci_kfe_nopr">#REF!</definedName>
    <definedName name="ci_kfe_ntad">#REF!</definedName>
    <definedName name="ci_kfe_rev">#REF!</definedName>
    <definedName name="ci_kfe_snag">#REF!</definedName>
    <definedName name="ci_kfl_ship">#REF!</definedName>
    <definedName name="ci_oi_cfbiat">#REF!</definedName>
    <definedName name="ci_oi_cfbit">#REF!</definedName>
    <definedName name="ci_oi_ebit">#REF!</definedName>
    <definedName name="ci_oi_ninv_ma">#REF!</definedName>
    <definedName name="ci_oi_nopr">#REF!</definedName>
    <definedName name="ci_oi_ntas">#REF!</definedName>
    <definedName name="ci_oi_rev">#REF!</definedName>
    <definedName name="ci_oi_vadj">#REF!</definedName>
    <definedName name="ci_pke_oi_capex">#REF!</definedName>
    <definedName name="ci_pke_oi_fr">#REF!</definedName>
    <definedName name="ci_pke_oi_rd">#REF!</definedName>
    <definedName name="ci_pke_pba_capex">#REF!</definedName>
    <definedName name="ci_pke_pba_fr">#REF!</definedName>
    <definedName name="ci_pke_pba_rd">#REF!</definedName>
    <definedName name="ci_pke_shipments">#REF!</definedName>
    <definedName name="ci_pke_stal_anad">#REF!</definedName>
    <definedName name="ci_pke_stal_ebit">#REF!</definedName>
    <definedName name="ci_pke_stal_nap">#REF!</definedName>
    <definedName name="ci_pke_stal_nop">#REF!</definedName>
    <definedName name="ci_pke_stal_nrev">#REF!</definedName>
    <definedName name="ci_pke_stal_ros">#REF!</definedName>
    <definedName name="ci_prs_vag_pp">#REF!</definedName>
    <definedName name="ci_pva_stal_cfbiat">#REF!</definedName>
    <definedName name="ci_shipmentunit">#REF!</definedName>
    <definedName name="ci_val_purch_price">#REF!</definedName>
    <definedName name="CIAO" hidden="1">{"'OBT_6M_30_6'!$S$1:$AE$53"}</definedName>
    <definedName name="CIQWBGuid" hidden="1">"3 Derivative Book March 2012_Beverage.xlsx"</definedName>
    <definedName name="CITI1Y">SUM(#REF!)</definedName>
    <definedName name="CITI2Y">SUM(#REF!)</definedName>
    <definedName name="CITI3Y">SUM(#REF!)</definedName>
    <definedName name="CITI6M">SUM(#REF!)</definedName>
    <definedName name="citibankDCT">#REF!</definedName>
    <definedName name="CITIMT">#REF!</definedName>
    <definedName name="CITIST">SUM(#REF!)</definedName>
    <definedName name="City">#REF!</definedName>
    <definedName name="ck">#REF!</definedName>
    <definedName name="class">#REF!</definedName>
    <definedName name="Claudio" hidden="1">{"Fiesta Facer Page",#N/A,FALSE,"Q_C_S";"Fiesta Main Page",#N/A,FALSE,"V_L";"Fiesta 95BP Struct",#N/A,FALSE,"StructBP";"Fiesta Post 95BP Struct",#N/A,FALSE,"AdjStructBP"}</definedName>
    <definedName name="clean_2001">#REF!</definedName>
    <definedName name="Cleiton" hidden="1">{#N/A,#N/A,FALSE,"Profit Status";#N/A,#N/A,FALSE,"Invest";#N/A,#N/A,FALSE,"Revenue";#N/A,#N/A,FALSE,"Variable Cost";#N/A,#N/A,FALSE,"Options &amp; Series"}</definedName>
    <definedName name="CloseMonth">#REF!</definedName>
    <definedName name="CMAX_Market">#REF!</definedName>
    <definedName name="cmdCancel">"Button 3"</definedName>
    <definedName name="CmdCancel_Click">#N/A</definedName>
    <definedName name="cmdOK">"Button 2"</definedName>
    <definedName name="cmdOK_Click">#N/A</definedName>
    <definedName name="çmö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CO">#REF!</definedName>
    <definedName name="Co_name">#REF!</definedName>
    <definedName name="Code" hidden="1">#REF!</definedName>
    <definedName name="Code2" hidden="1">#REF!</definedName>
    <definedName name="codeSheet.Server_Select_Change">#N/A</definedName>
    <definedName name="COGR">#REF!</definedName>
    <definedName name="Col_Numbers">#REF!</definedName>
    <definedName name="Col_Type">#REF!</definedName>
    <definedName name="coll" hidden="1">{"rates",#N/A,FALSE,"tavgcs#2";"rev",#N/A,FALSE,"tavgcs#2"}</definedName>
    <definedName name="Color">#REF!</definedName>
    <definedName name="colour">#REF!</definedName>
    <definedName name="Column">#REF!</definedName>
    <definedName name="ColumnTitle1">" "</definedName>
    <definedName name="combine" hidden="1">{"Revenue",#N/A,FALSE,"Series";"Ecprofit",#N/A,FALSE,"Series"}</definedName>
    <definedName name="combine1" hidden="1">{"Revenue",#N/A,FALSE,"Series";"Ecprofit",#N/A,FALSE,"Series"}</definedName>
    <definedName name="COMMENTS">#REF!</definedName>
    <definedName name="Comments_CIG_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ission">#REF!</definedName>
    <definedName name="COMMITMENTS">#N/A</definedName>
    <definedName name="common" hidden="1">{#N/A,#N/A,FALSE,"Assumptions";#N/A,#N/A,FALSE,"Volumes";#N/A,#N/A,FALSE,"Pricing";#N/A,#N/A,FALSE,"Variable Cost";#N/A,#N/A,FALSE,"Investment";#N/A,#N/A,FALSE,"Profitability";#N/A,#N/A,FALSE,"Business Comparison"}</definedName>
    <definedName name="common_1" hidden="1">{#N/A,#N/A,FALSE,"Assumptions";#N/A,#N/A,FALSE,"Volumes";#N/A,#N/A,FALSE,"Pricing";#N/A,#N/A,FALSE,"Variable Cost";#N/A,#N/A,FALSE,"Investment";#N/A,#N/A,FALSE,"Profitability";#N/A,#N/A,FALSE,"Business Comparison"}</definedName>
    <definedName name="common_2" hidden="1">{#N/A,#N/A,FALSE,"Assumptions";#N/A,#N/A,FALSE,"Volumes";#N/A,#N/A,FALSE,"Pricing";#N/A,#N/A,FALSE,"Variable Cost";#N/A,#N/A,FALSE,"Investment";#N/A,#N/A,FALSE,"Profitability";#N/A,#N/A,FALSE,"Business Comparison"}</definedName>
    <definedName name="common1" hidden="1">{#N/A,#N/A,FALSE,"Assumptions";#N/A,#N/A,FALSE,"Volumes";#N/A,#N/A,FALSE,"Pricing";#N/A,#N/A,FALSE,"Variable Cost";#N/A,#N/A,FALSE,"Investment";#N/A,#N/A,FALSE,"Profitability";#N/A,#N/A,FALSE,"Business Comparison"}</definedName>
    <definedName name="commona" hidden="1">{#N/A,#N/A,FALSE,"Assumptions";#N/A,#N/A,FALSE,"Volumes";#N/A,#N/A,FALSE,"Pricing";#N/A,#N/A,FALSE,"Variable Cost";#N/A,#N/A,FALSE,"Investment";#N/A,#N/A,FALSE,"Profitability";#N/A,#N/A,FALSE,"Business Comparison"}</definedName>
    <definedName name="commonalityindicator">OFFSET(#REF!,0,0,COUNTA(#REF!),1)</definedName>
    <definedName name="COMP">#REF!</definedName>
    <definedName name="comp2">#REF!</definedName>
    <definedName name="Company">#REF!</definedName>
    <definedName name="CompareRatio">IF(#REF!&gt;=0.8,"X",IF(#REF!&gt;0,"O","X"))</definedName>
    <definedName name="CONCAT">#NAME?</definedName>
    <definedName name="CONCIERGE">#REF!</definedName>
    <definedName name="Conciliaciones" hidden="1">{#N/A,#N/A,FALSE,"2001 CBG";#N/A,#N/A,FALSE,"2002 CBG";#N/A,#N/A,FALSE,"2003 CBG";#N/A,#N/A,FALSE,"2004 CBG";#N/A,#N/A,FALSE,"2005 CBG";#N/A,#N/A,FALSE,"2006 CBG ";#N/A,#N/A,FALSE,"2007 CBG";#N/A,#N/A,FALSE,"2008 CBG"}</definedName>
    <definedName name="CONSOL_JNL">#N/A</definedName>
    <definedName name="Consolidado" hidden="1">{"Fiesta Facer Page",#N/A,FALSE,"Q_C_S";"Fiesta Main Page",#N/A,FALSE,"V_L";"Fiesta 95BP Struct",#N/A,FALSE,"StructBP";"Fiesta Post 95BP Struct",#N/A,FALSE,"AdjStructBP"}</definedName>
    <definedName name="consuming" hidden="1">{#N/A,#N/A,FALSE,"Cover Page";#N/A,#N/A,FALSE,"Facing Page";#N/A,#N/A,FALSE,"Main Page";#N/A,#N/A,FALSE,"Risk-Adjusted";#N/A,#N/A,FALSE,"Profit Improvement"}</definedName>
    <definedName name="CONTINGENCY">#N/A</definedName>
    <definedName name="continuedforserviceindicator">OFFSET(#REF!,0,0,COUNTA(#REF!),1)</definedName>
    <definedName name="CONTROL">#N/A</definedName>
    <definedName name="controllers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CONV">#REF!</definedName>
    <definedName name="CONVENTN">#REF!</definedName>
    <definedName name="conversion" hidden="1">{"'Highlights'!$A$1:$M$123"}</definedName>
    <definedName name="Conversion_Codes">#REF!</definedName>
    <definedName name="copie" hidden="1">{#N/A,#N/A,FALSE,"Assumptions";#N/A,#N/A,FALSE,"Volumes";#N/A,#N/A,FALSE,"Pricing";#N/A,#N/A,FALSE,"Variable Cost";#N/A,#N/A,FALSE,"Investment";#N/A,#N/A,FALSE,"Profitability";#N/A,#N/A,FALSE,"Business Comparison"}</definedName>
    <definedName name="Copuy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rner">#REF!</definedName>
    <definedName name="CORP001">#REF!</definedName>
    <definedName name="CORP019">#REF!</definedName>
    <definedName name="CORP027">#REF!</definedName>
    <definedName name="CORP030">#REF!</definedName>
    <definedName name="CORP033">#REF!</definedName>
    <definedName name="CORP036">#REF!</definedName>
    <definedName name="CORP052">#REF!</definedName>
    <definedName name="CORP1">#REF!</definedName>
    <definedName name="CORP18">#REF!</definedName>
    <definedName name="CORP181">#REF!</definedName>
    <definedName name="CORP26">#REF!</definedName>
    <definedName name="CORP27">#REF!</definedName>
    <definedName name="CORP32">#REF!</definedName>
    <definedName name="CORP35">#REF!</definedName>
    <definedName name="CORP49">#REF!</definedName>
    <definedName name="CORRIDOR">#REF!</definedName>
    <definedName name="COST">#REF!</definedName>
    <definedName name="cost_per_unit">#REF!</definedName>
    <definedName name="Cost1">OFFSET(#REF!,#REF!,5,13,1)</definedName>
    <definedName name="costat665" hidden="1">{#N/A,#N/A,FALSE,"Assumptions";#N/A,#N/A,FALSE,"Volumes";#N/A,#N/A,FALSE,"Pricing";#N/A,#N/A,FALSE,"Variable Cost";#N/A,#N/A,FALSE,"Investment";#N/A,#N/A,FALSE,"Profitability";#N/A,#N/A,FALSE,"Business Comparison"}</definedName>
    <definedName name="Costwalk" hidden="1">{"REVISED",#N/A,FALSE,"Sheet1"}</definedName>
    <definedName name="Countermeasures" hidden="1">#REF!</definedName>
    <definedName name="COUNTIFS">#NAME?</definedName>
    <definedName name="Country">#REF!</definedName>
    <definedName name="Country_Entity">#REF!</definedName>
    <definedName name="cov">#REF!</definedName>
    <definedName name="cover" hidden="1">{"Detail",#N/A,TRUE,"Personnel";"Detail",#N/A,TRUE,"Non-Personnel";"Detail",#N/A,TRUE,"Total"}</definedName>
    <definedName name="Coy_cel">#REF!</definedName>
    <definedName name="Coy_cell">#REF!</definedName>
    <definedName name="Coy_cell2">#REF!</definedName>
    <definedName name="Coy_name">#REF!</definedName>
    <definedName name="Cp">#REF!</definedName>
    <definedName name="CP_0">#REF!</definedName>
    <definedName name="CP_1">#REF!</definedName>
    <definedName name="CP_100">#REF!</definedName>
    <definedName name="CP_101">#REF!</definedName>
    <definedName name="CP_102">#REF!</definedName>
    <definedName name="CP_2">#REF!</definedName>
    <definedName name="CP_200">#REF!</definedName>
    <definedName name="CP_201">#REF!</definedName>
    <definedName name="CP_3">#REF!</definedName>
    <definedName name="CP_300">#REF!</definedName>
    <definedName name="CP_301">#REF!</definedName>
    <definedName name="CP_4">#REF!</definedName>
    <definedName name="CP_5">#REF!</definedName>
    <definedName name="CP_6">#REF!</definedName>
    <definedName name="CP_I10">#REF!</definedName>
    <definedName name="CP_I103">#REF!</definedName>
    <definedName name="CP_I104">#REF!</definedName>
    <definedName name="CP_I105">#REF!</definedName>
    <definedName name="CP_I11">#REF!</definedName>
    <definedName name="CP_I12">#REF!</definedName>
    <definedName name="CP_I13">#REF!</definedName>
    <definedName name="CP_I202">#REF!</definedName>
    <definedName name="CP_I203">#REF!</definedName>
    <definedName name="CP_I302">#REF!</definedName>
    <definedName name="CP_I303">#REF!</definedName>
    <definedName name="CP_I7">#REF!</definedName>
    <definedName name="CP_I8">#REF!</definedName>
    <definedName name="CP_I9">#REF!</definedName>
    <definedName name="CP_R10">#REF!</definedName>
    <definedName name="CP_R103">#REF!</definedName>
    <definedName name="CP_R104">#REF!</definedName>
    <definedName name="CP_R105">#REF!</definedName>
    <definedName name="CP_R11">#REF!</definedName>
    <definedName name="CP_R12">#REF!</definedName>
    <definedName name="CP_R13">#REF!</definedName>
    <definedName name="CP_R202">#REF!</definedName>
    <definedName name="CP_R203">#REF!</definedName>
    <definedName name="CP_R302">#REF!</definedName>
    <definedName name="CP_R303">#REF!</definedName>
    <definedName name="CP_R7">#REF!</definedName>
    <definedName name="CP_R8">#REF!</definedName>
    <definedName name="CP_R9">#REF!</definedName>
    <definedName name="CPI">#REF!</definedName>
    <definedName name="Cpk">#REF!</definedName>
    <definedName name="CpL">#REF!</definedName>
    <definedName name="cplow">#REF!</definedName>
    <definedName name="CpU">#REF!</definedName>
    <definedName name="CR1_3M">SUM(#REF!)</definedName>
    <definedName name="CR1M">SUM(#REF!)</definedName>
    <definedName name="CR1Y">SUM(#REF!)</definedName>
    <definedName name="CR2Y">SUM(#REF!)</definedName>
    <definedName name="CR6M">SUM(#REF!)</definedName>
    <definedName name="crate">#REF!</definedName>
    <definedName name="crazy" hidden="1">{#N/A,#N/A,FALSE,"Title - E";#N/A,#N/A,FALSE,"Insert";#N/A,#N/A,FALSE,"Rpt-98-E PG_1";#N/A,#N/A,FALSE,"Rpt-98-E PG_2f";#N/A,#N/A,FALSE,"Rpt-98-E PG_2";#N/A,#N/A,FALSE,"Insert";#N/A,#N/A,FALSE,"Rpt-98-E PG_3 "}</definedName>
    <definedName name="CreationDate">#REF!</definedName>
    <definedName name="CREDITOR">#REF!</definedName>
    <definedName name="CreditTerm">#REF!</definedName>
    <definedName name="_xlnm.Criteria">#REF!</definedName>
    <definedName name="criticaltorqueindicator">OFFSET(#REF!,0,0,COUNTA(#REF!),1)</definedName>
    <definedName name="CRMT">SUM(#REF!)</definedName>
    <definedName name="CRST">SUM(#REF!)</definedName>
    <definedName name="CS">#REF!</definedName>
    <definedName name="CS760006_DAT">#REF!</definedName>
    <definedName name="csalles" hidden="1">{"A_Summary",#N/A,FALSE,"Arg_Summ";"B_Summary",#N/A,FALSE,"Brz_Summ"}</definedName>
    <definedName name="csC">#REF!</definedName>
    <definedName name="csDesignMode">1</definedName>
    <definedName name="csscc">#REF!</definedName>
    <definedName name="csWCD" hidden="1">#REF!</definedName>
    <definedName name="CT">#REF!</definedName>
    <definedName name="CTT" hidden="1">{"salaried",#N/A,FALSE,"VLD View (2)"}</definedName>
    <definedName name="CTTotals">#REF!</definedName>
    <definedName name="CTTT" hidden="1">{"salaried",#N/A,FALSE,"VLD View (2)"}</definedName>
    <definedName name="cty_code">#REF!</definedName>
    <definedName name="cu">#REF!</definedName>
    <definedName name="cumulativ">#N/A</definedName>
    <definedName name="CURCOST1">#REF!</definedName>
    <definedName name="CURCOST2">#REF!</definedName>
    <definedName name="CURCOST23">#REF!</definedName>
    <definedName name="CURCOST3">#REF!</definedName>
    <definedName name="CURCOST4">#REF!</definedName>
    <definedName name="CURR">#REF!</definedName>
    <definedName name="Currency">#REF!</definedName>
    <definedName name="current">#REF!</definedName>
    <definedName name="CurrentIssue">#REF!</definedName>
    <definedName name="CurrentYA">#REF!</definedName>
    <definedName name="CURRY01">#REF!</definedName>
    <definedName name="CURRY02">#REF!</definedName>
    <definedName name="CURRY03">#REF!</definedName>
    <definedName name="CURRY04">#REF!</definedName>
    <definedName name="CurrYA">#REF!</definedName>
    <definedName name="custnew">#REF!</definedName>
    <definedName name="Customer">#REF!</definedName>
    <definedName name="Customize">#REF!</definedName>
    <definedName name="cvb" hidden="1">{"MaskProfCalc",#N/A,FALSE,"Mask";"MaskTrade",#N/A,FALSE,"Mask"}</definedName>
    <definedName name="CVBCCV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cvbncn" hidden="1">{#N/A,#N/A,FALSE,"Title - E";#N/A,#N/A,FALSE,"Insert";#N/A,#N/A,FALSE,"Rpt-98-E PG_1";#N/A,#N/A,FALSE,"Rpt-98-E PG_2f";#N/A,#N/A,FALSE,"Rpt-98-E PG_2";#N/A,#N/A,FALSE,"Insert";#N/A,#N/A,FALSE,"Rpt-98-E PG_3 "}</definedName>
    <definedName name="CVCV" hidden="1">{#N/A,#N/A,FALSE,"Sheet1"}</definedName>
    <definedName name="cvn" hidden="1">{"Wk_A_NoAc",#N/A,FALSE,"Wk_Arg_NoAc";"WK_Arg_Act",#N/A,FALSE,"Wk_Arg_Act";"WK_Brz_NoAc",#N/A,FALSE,"Wk_Brz_NoAc";"Wk_Brz_Act",#N/A,FALSE,"Wk_Brz_Act";"Wk_Avg",#N/A,FALSE,"Wk_Arg_Act"}</definedName>
    <definedName name="CvrSmAdmnInCyclFdBck">#REF!</definedName>
    <definedName name="CvrSmAdmnPltFFdbck">#REF!</definedName>
    <definedName name="CvrSmAdmnTpHtFdBck">#REF!</definedName>
    <definedName name="CvrSmGnrlChngRqst">#REF!</definedName>
    <definedName name="CvrSmGnrlCRFNumber">#REF!</definedName>
    <definedName name="CvrSmGnrlCrfSubmsnDt">#REF!</definedName>
    <definedName name="CvrSmGnrlImpctPmt2">#REF!</definedName>
    <definedName name="CvrSmGnrlImpctPmt6">#REF!</definedName>
    <definedName name="CvrSmPtlvTEC">#REF!</definedName>
    <definedName name="CvrSmPtlvTED">#REF!</definedName>
    <definedName name="CvrSmPtlvTEK">#REF!</definedName>
    <definedName name="CvrSmPtlvTGFour">#REF!</definedName>
    <definedName name="CvrSmPtlvTGThree">#REF!</definedName>
    <definedName name="CvrSmPtlvTKF">#REF!</definedName>
    <definedName name="CvrSmPtlvTKG">#REF!</definedName>
    <definedName name="CvrSmPtlvTRC">#REF!</definedName>
    <definedName name="CvrSmPtlvTRD">#REF!</definedName>
    <definedName name="CvrSmPtvlTEB">#REF!</definedName>
    <definedName name="CvrSmPtvlTEC">#REF!</definedName>
    <definedName name="CvrSmPtvlTED">#REF!</definedName>
    <definedName name="CvrSmPtvlTEK">#REF!</definedName>
    <definedName name="CvrSmPtvlTGFour">#REF!</definedName>
    <definedName name="CvrSmPtvlTGThree">#REF!</definedName>
    <definedName name="CvrSmPtvlTKF">#REF!</definedName>
    <definedName name="CvrSmPtvlTKG">#REF!</definedName>
    <definedName name="CvrSmPtvlTRC">#REF!</definedName>
    <definedName name="CvrSmPtvlTRD">#REF!</definedName>
    <definedName name="CvrSmPvltTEB">#REF!</definedName>
    <definedName name="CVT">#REF!</definedName>
    <definedName name="cvzxcv" hidden="1">{#N/A,#N/A,FALSE,"Assumptions";#N/A,#N/A,FALSE,"Volumes";#N/A,#N/A,FALSE,"Pricing";#N/A,#N/A,FALSE,"Variable Cost";#N/A,#N/A,FALSE,"Investment";#N/A,#N/A,FALSE,"Profitability";#N/A,#N/A,FALSE,"Business Comparison"}</definedName>
    <definedName name="cxc" hidden="1">{"Fiesta Facer Page",#N/A,FALSE,"Q_C_S";"Fiesta Main Page",#N/A,FALSE,"V_L";"Fiesta 95BP Struct",#N/A,FALSE,"StructBP";"Fiesta Post 95BP Struct",#N/A,FALSE,"AdjStructBP"}</definedName>
    <definedName name="CY.93">#REF!</definedName>
    <definedName name="CY.94">#REF!</definedName>
    <definedName name="cy_assoc_def">#REF!</definedName>
    <definedName name="cy_assoc_gain">#REF!</definedName>
    <definedName name="cy_ferco_upi">#REF!</definedName>
    <definedName name="cy_fmcc_def">#REF!</definedName>
    <definedName name="cy_fmcc_gain">#REF!</definedName>
    <definedName name="cy_ford_inv">#REF!</definedName>
    <definedName name="cy_hertz_def">#REF!</definedName>
    <definedName name="cy_rcl_def">#REF!</definedName>
    <definedName name="cy_rcl_gain">#REF!</definedName>
    <definedName name="Cycle">#REF!</definedName>
    <definedName name="cz" hidden="1">{"Fiesta Facer Page",#N/A,FALSE,"Q_C_S";"Fiesta Main Page",#N/A,FALSE,"V_L";"Fiesta 95BP Struct",#N/A,FALSE,"StructBP";"Fiesta Post 95BP Struct",#N/A,FALSE,"AdjStructBP"}</definedName>
    <definedName name="czu">#REF!</definedName>
    <definedName name="czx" hidden="1">{"Fiesta Facer Page",#N/A,FALSE,"Q_C_S";"Fiesta Main Page",#N/A,FALSE,"V_L";"Fiesta 95BP Struct",#N/A,FALSE,"StructBP";"Fiesta Post 95BP Struct",#N/A,FALSE,"AdjStructBP"}</definedName>
    <definedName name="ｄ">#N/A</definedName>
    <definedName name="D186W_Crosstab">#REF!</definedName>
    <definedName name="d2c">#REF!</definedName>
    <definedName name="d3c">#REF!</definedName>
    <definedName name="d4c">#REF!</definedName>
    <definedName name="da">#REF!</definedName>
    <definedName name="Daimei">#REF!</definedName>
    <definedName name="ＤＡＩＳＵＵ" hidden="1">{#VALUE!,#N/A,FALSE,0;#N/A,#N/A,FALSE,0;#N/A,#N/A,FALSE,0;#N/A,#N/A,FALSE,0}</definedName>
    <definedName name="dan" hidden="1">{"Presentation",#N/A,FALSE,"Feb96 - ALL"}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 hidden="1">#N/A</definedName>
    <definedName name="data1" hidden="1">#REF!</definedName>
    <definedName name="data10">#REF!</definedName>
    <definedName name="data2" hidden="1">#REF!</definedName>
    <definedName name="data3" hidden="1">#REF!</definedName>
    <definedName name="data4">#REF!</definedName>
    <definedName name="data5">#REF!</definedName>
    <definedName name="data6">#REF!</definedName>
    <definedName name="data7">#REF!</definedName>
    <definedName name="data84">#REF!</definedName>
    <definedName name="DataAsOfDate">#REF!</definedName>
    <definedName name="_xlnm.Database">#REF!</definedName>
    <definedName name="Database_MI">#REF!</definedName>
    <definedName name="DataReqDraft" hidden="1">{#N/A,#N/A,FALSE,"Profit Status";#N/A,#N/A,FALSE,"Invest";#N/A,#N/A,FALSE,"Revenue";#N/A,#N/A,FALSE,"Variable Cost";#N/A,#N/A,FALSE,"Options &amp; Series"}</definedName>
    <definedName name="DATE">OFFSET(#REF!,#REF!,1,13,1)</definedName>
    <definedName name="DATENBANK_DB">#REF!</definedName>
    <definedName name="DATENBANK_DF">#REF!</definedName>
    <definedName name="DATENBANK_EM">#REF!</definedName>
    <definedName name="DATENBANK_HP">#REF!</definedName>
    <definedName name="DATENBANK_KR">#REF!</definedName>
    <definedName name="DATENBANK_OB">#REF!</definedName>
    <definedName name="davd" hidden="1">{"Revenue",#N/A,FALSE,"Series";"Ecprofit",#N/A,FALSE,"Series"}</definedName>
    <definedName name="dave" hidden="1">{"",0,0,0;0,0,0,0;0,0,0,0;0,0,0,0}</definedName>
    <definedName name="davi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Wk7">#REF!</definedName>
    <definedName name="DAYS">#NAME?</definedName>
    <definedName name="db_select_Change">#N/A</definedName>
    <definedName name="DB1_3M">#REF!</definedName>
    <definedName name="DB1M">SUM(#REF!)</definedName>
    <definedName name="DB1Y">SUM(#REF!)</definedName>
    <definedName name="DB2Y">SUM(#REF!)</definedName>
    <definedName name="DB3M">SUM(#REF!)</definedName>
    <definedName name="DB6M">SUM(#REF!)</definedName>
    <definedName name="DBASE">#REF!</definedName>
    <definedName name="DBDCM">#REF!</definedName>
    <definedName name="DBDCT">#REF!</definedName>
    <definedName name="DBMT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T">SUM(#REF!)</definedName>
    <definedName name="DCMABNST">SUM(#REF!)</definedName>
    <definedName name="DCMBBL1_3M">SUM(#REF!)</definedName>
    <definedName name="DCMBBLST">#REF!</definedName>
    <definedName name="DCMBOAST">#REF!</definedName>
    <definedName name="DCMBOTMST">SUM(#REF!)</definedName>
    <definedName name="DCMCALYONST">SUM(#REF!)</definedName>
    <definedName name="DCMCITI1Y">SUM(#REF!)</definedName>
    <definedName name="DCMCITIST">#REF!</definedName>
    <definedName name="DCMDBST">SUM(#REF!)</definedName>
    <definedName name="DCMHSBCST">#REF!</definedName>
    <definedName name="DCMSCB1Y">SUM(#REF!)</definedName>
    <definedName name="DCMSTDST">SUM(#REF!)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TABNST">SUM(#REF!)</definedName>
    <definedName name="DCTBBL1_3M">#REF!</definedName>
    <definedName name="DCTBBLST">SUM(#REF!)</definedName>
    <definedName name="DCTBOAST">SUM(#REF!)</definedName>
    <definedName name="DCTCITIST">SUM(#REF!)</definedName>
    <definedName name="DCTDBST">SUM(#REF!)</definedName>
    <definedName name="DCTHSBCST">#REF!</definedName>
    <definedName name="DCTSTDST">SUM(#REF!)</definedName>
    <definedName name="DCTTFB1_3M">SUM(#REF!)</definedName>
    <definedName name="d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c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ddd" hidden="1">{#VALUE!,#N/A,FALSE,0;#N/A,#N/A,FALSE,0;#N/A,#N/A,FALSE,0;#N/A,#N/A,FALSE,0}</definedName>
    <definedName name="ddd_1" hidden="1">{#N/A,#N/A,FALSE,"COVER SHEET";#N/A,#N/A,FALSE,"iisumary"}</definedName>
    <definedName name="dddd" hidden="1">{"REVISED",#N/A,FALSE,"Sheet1"}</definedName>
    <definedName name="ddddd" hidden="1">{#N/A,#N/A,FALSE,"Sheet1"}</definedName>
    <definedName name="ddddddd" hidden="1">{#N/A,#N/A,FALSE,"Cover";#N/A,#N/A,FALSE,"Profits";#N/A,#N/A,FALSE,"ABS";#N/A,#N/A,FALSE,"TFLE Detail";#N/A,#N/A,FALSE,"TFLE Walk";#N/A,#N/A,FALSE,"Variable Cost";#N/A,#N/A,FALSE,"V.C. Walk"}</definedName>
    <definedName name="ddddddddddddddddddd" hidden="1">{#N/A,#N/A,FALSE,"Title-W";#N/A,#N/A,FALSE,"Insert";#N/A,#N/A,FALSE,"Rpt-98-W PG_1";#N/A,#N/A,FALSE,"Rpt-98-W PG_2f";#N/A,#N/A,FALSE,"Rpt-98-W  PG_2";#N/A,#N/A,FALSE,"Insert";#N/A,#N/A,FALSE,"Rpt-98-W PG_3"}</definedName>
    <definedName name="dddjfjfjdjladfl" hidden="1">{#N/A,#N/A,FALSE,"Chart";#N/A,#N/A,FALSE,"Chart"}</definedName>
    <definedName name="dddjfjfjdjladfl_1" hidden="1">{#N/A,#N/A,FALSE,"Chart";#N/A,#N/A,FALSE,"Chart"}</definedName>
    <definedName name="ddf" hidden="1">{#N/A,#N/A,FALSE,"Assumptions";#N/A,#N/A,FALSE,"Volumes";#N/A,#N/A,FALSE,"Pricing";#N/A,#N/A,FALSE,"Variable Cost";#N/A,#N/A,FALSE,"Investment";#N/A,#N/A,FALSE,"Profitability";#N/A,#N/A,FALSE,"Business Comparison"}</definedName>
    <definedName name="ddog">IF(Loan_Amount*Interest_Rate*Loan_Years*Loan_Start&gt;0,1,0)</definedName>
    <definedName name="de" hidden="1">{#N/A,#N/A,FALSE,"GRAFIK";#N/A,#N/A,FALSE,"TOP30MEM"}</definedName>
    <definedName name="DEALER.INC">#REF!</definedName>
    <definedName name="dealer_inc">#REF!</definedName>
    <definedName name="DEBTOR">#REF!</definedName>
    <definedName name="Dec_PDLG">#REF!</definedName>
    <definedName name="de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f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erreds">#REF!</definedName>
    <definedName name="DelDC">#REF!</definedName>
    <definedName name="DelDm">#REF!</definedName>
    <definedName name="delete">#REF!</definedName>
    <definedName name="delete2">#REF!</definedName>
    <definedName name="deletenam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letename2" hidden="1">{#N/A,#N/A,FALSE,"Assumptions";#N/A,#N/A,FALSE,"Volumes";#N/A,#N/A,FALSE,"Pricing";#N/A,#N/A,FALSE,"Variable Cost";#N/A,#N/A,FALSE,"Investment";#N/A,#N/A,FALSE,"Profitability";#N/A,#N/A,FALSE,"Business Comparison"}</definedName>
    <definedName name="deletename3" hidden="1">{#N/A,#N/A,FALSE,"Profit Status";#N/A,#N/A,FALSE,"Invest";#N/A,#N/A,FALSE,"Revenue";#N/A,#N/A,FALSE,"Variable Cost";#N/A,#N/A,FALSE,"Options &amp; Series"}</definedName>
    <definedName name="deletme1" hidden="1">{"Fiesta Facer Page",#N/A,FALSE,"Q_C_S";"Fiesta Main Page",#N/A,FALSE,"V_L";"Fiesta 95BP Struct",#N/A,FALSE,"StructBP";"Fiesta Post 95BP Struct",#N/A,FALSE,"AdjStructBP"}</definedName>
    <definedName name="deletme2" hidden="1">{"avrev",#N/A,FALSE,"AVREV";"rates",#N/A,FALSE,"AVREV"}</definedName>
    <definedName name="deletme3" hidden="1">{"Revenue",#N/A,FALSE,"Series";"Ecprofit",#N/A,FALSE,"Series"}</definedName>
    <definedName name="Delivery">#REF!</definedName>
    <definedName name="DelType">#REF!</definedName>
    <definedName name="Denmark">#REF!</definedName>
    <definedName name="dennis" hidden="1">{#N/A,#N/A,FALSE,"TEST HOURS MONTHLY REPORT"}</definedName>
    <definedName name="Department">#REF!</definedName>
    <definedName name="Depre">#REF!</definedName>
    <definedName name="deptLookup">#REF!</definedName>
    <definedName name="DESC">#REF!</definedName>
    <definedName name="description">#REF!</definedName>
    <definedName name="dest" hidden="1">{#N/A,#N/A,FALSE,"GRAFIK";#N/A,#N/A,FALSE,"TOP30MEM"}</definedName>
    <definedName name="desti" hidden="1">{#N/A,#N/A,FALSE,"GRAFIK";#N/A,#N/A,FALSE,"TOP30MEM"}</definedName>
    <definedName name="detailed" hidden="1">{#N/A,#N/A,FALSE,"Cover Page";#N/A,#N/A,FALSE,"Facing Page";#N/A,#N/A,FALSE,"Main Page";#N/A,#N/A,FALSE,"Risk-Adjusted";#N/A,#N/A,FALSE,"Profit Improvement"}</definedName>
    <definedName name="Detail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utsche_Bank">#REF!</definedName>
    <definedName name="df" hidden="1">{#N/A,#N/A,FALSE,"TR_OUT1"}</definedName>
    <definedName name="dfa" hidden="1">{"Avg_Arg_NoAc",#N/A,FALSE,"Wk_Arg_NoAc";"Avg_Arg_Act",#N/A,FALSE,"Wk_Arg_Act";"Avg_Brz_NoAct",#N/A,FALSE,"Wk_Brz_NoAc";"Avg_Brz_Act",#N/A,FALSE,"Wk_Brz_Act"}</definedName>
    <definedName name="dfadfadf" hidden="1">{"Presentation",#N/A,FALSE,"Feb96 - ALL"}</definedName>
    <definedName name="dfadfadsfa" hidden="1">{#VALUE!,#N/A,FALSE,0;#N/A,#N/A,FALSE,0;#N/A,#N/A,FALSE,0;#N/A,#N/A,FALSE,0}</definedName>
    <definedName name="dfawsdf">[0]!kkk</definedName>
    <definedName name="DFDASR" localSheetId="5">[0]!go_START</definedName>
    <definedName name="DFDASR" localSheetId="8">[0]!go_START</definedName>
    <definedName name="DFDASR" localSheetId="6">[0]!go_START</definedName>
    <definedName name="DFDASR" localSheetId="13">[0]!go_START</definedName>
    <definedName name="DFDASR" localSheetId="14">[0]!go_START</definedName>
    <definedName name="DFDASR" localSheetId="12">[0]!go_START</definedName>
    <definedName name="DFDASR" localSheetId="4">[0]!go_START</definedName>
    <definedName name="DFDASR" localSheetId="10">[0]!go_START</definedName>
    <definedName name="DFDASR" localSheetId="9">[0]!go_START</definedName>
    <definedName name="DFDASR">[0]!go_START</definedName>
    <definedName name="dfdf" hidden="1">{#N/A,#N/A,FALSE,"Assumptions";#N/A,#N/A,FALSE,"Volumes";#N/A,#N/A,FALSE,"Pricing";#N/A,#N/A,FALSE,"Variable Cost";#N/A,#N/A,FALSE,"Investment";#N/A,#N/A,FALSE,"Profitability";#N/A,#N/A,FALSE,"Business Comparison"}</definedName>
    <definedName name="dfdfdfdf" hidden="1">{0,0,0,0;0,0,0,0;0,0,0,0;0,0,0,0}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sfsdaf" hidden="1">{"avrev",#N/A,FALSE,"AVREV";"rates",#N/A,FALSE,"AVREV"}</definedName>
    <definedName name="dfdsfsdaf_1" hidden="1">{"avrev",#N/A,FALSE,"AVREV";"rates",#N/A,FALSE,"AVREV"}</definedName>
    <definedName name="dfff" hidden="1">{#N/A,#N/A,FALSE,"Profit Status";#N/A,#N/A,FALSE,"Invest";#N/A,#N/A,FALSE,"Revenue";#N/A,#N/A,FALSE,"Variable Cost";#N/A,#N/A,FALSE,"Options &amp; Series"}</definedName>
    <definedName name="DFG" hidden="1">{"avrev",#N/A,FALSE,"AVREV";"rates",#N/A,FALSE,"AVREV"}</definedName>
    <definedName name="dfgfdg" hidden="1">{"COMPARISON",#N/A,FALSE,"Sheet1"}</definedName>
    <definedName name="dfgfdgfd" hidden="1">{"avrev",#N/A,FALSE,"AVREV";"rates",#N/A,FALSE,"AVREV"}</definedName>
    <definedName name="dfgsf" hidden="1">{"rev",#N/A,FALSE,"ppepsum";"vcost",#N/A,FALSE,"ppepsum";"ecprof",#N/A,FALSE,"ppepsum"}</definedName>
    <definedName name="dfhg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dfhh" hidden="1">{#N/A,#N/A,FALSE,"Title-W";#N/A,#N/A,FALSE,"Insert";#N/A,#N/A,FALSE,"Rpt-98-W PG_1";#N/A,#N/A,FALSE,"Rpt-98-W PG_2f";#N/A,#N/A,FALSE,"Rpt-98-W  PG_2";#N/A,#N/A,FALSE,"Insert";#N/A,#N/A,FALSE,"Rpt-98-W PG_3"}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r" hidden="1">{"Presentation",#N/A,FALSE,"Feb96 - ALL"}</definedName>
    <definedName name="dfsa" hidden="1">{#N/A,#N/A,FALSE,"Assumptions";#N/A,#N/A,FALSE,"Volumes";#N/A,#N/A,FALSE,"Pricing";#N/A,#N/A,FALSE,"Variable Cost";#N/A,#N/A,FALSE,"Investment";#N/A,#N/A,FALSE,"Profitability";#N/A,#N/A,FALSE,"Business Comparison"}</definedName>
    <definedName name="dfsdf" hidden="1">#REF!</definedName>
    <definedName name="dfsdfsaf" hidden="1">{"Presentation",#N/A,FALSE,"Feb96 - ALL"}</definedName>
    <definedName name="dftyh" hidden="1">{#N/A,#N/A,FALSE,"Cover";#N/A,#N/A,FALSE,"Profits";#N/A,#N/A,FALSE,"ABS";#N/A,#N/A,FALSE,"TFLE Detail";#N/A,#N/A,FALSE,"TFLE Walk";#N/A,#N/A,FALSE,"Variable Cost";#N/A,#N/A,FALSE,"V.C. Walk"}</definedName>
    <definedName name="dfvd" hidden="1">{"Fiesta Facer Page",#N/A,FALSE,"Q_C_S";"Fiesta Main Page",#N/A,FALSE,"V_L";"Fiesta 95BP Struct",#N/A,FALSE,"StructBP";"Fiesta Post 95BP Struct",#N/A,FALSE,"AdjStructBP"}</definedName>
    <definedName name="dg">#N/A</definedName>
    <definedName name="ｄｇｄｄｄｈｆ">#N/A</definedName>
    <definedName name="ｄｇｄｇｄｄ">#N/A</definedName>
    <definedName name="dgh" hidden="1">{#N/A,#N/A,FALSE,"Cover";#N/A,#N/A,FALSE,"Profits";#N/A,#N/A,FALSE,"ABS";#N/A,#N/A,FALSE,"TFLE Detail";#N/A,#N/A,FALSE,"TFLE Walk";#N/A,#N/A,FALSE,"Variable Cost";#N/A,#N/A,FALSE,"V.C. Walk"}</definedName>
    <definedName name="dghdgh" hidden="1">{#N/A,#N/A,FALSE,"Chart";#N/A,#N/A,FALSE,"Chart"}</definedName>
    <definedName name="DHADH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n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i" hidden="1">{#N/A,#N/A,FALSE,"TOP10";#N/A,#N/A,FALSE,"Cover";#N/A,#N/A,FALSE,"MOGRAPH"}</definedName>
    <definedName name="Diagram">#REF!,#REF!</definedName>
    <definedName name="DiaUseridPassword_Show">#N/A</definedName>
    <definedName name="diff">#REF!</definedName>
    <definedName name="ding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sc">#REF!</definedName>
    <definedName name="Discount" hidden="1">#REF!</definedName>
    <definedName name="discount4" hidden="1">#REF!</definedName>
    <definedName name="DiscountRate">#REF!</definedName>
    <definedName name="display_area_2" hidden="1">#REF!</definedName>
    <definedName name="Display_Week">#REF!</definedName>
    <definedName name="DisposalTotals">#REF!</definedName>
    <definedName name="div_code">#REF!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dk" hidden="1">{#N/A,#N/A,TRUE,"dew_x200";#N/A,#N/A,TRUE,"cvgm_twncr_must";#N/A,#N/A,TRUE,"x100_x300_falcn";#N/A,#N/A,TRUE,"t_mark_scorp";#N/A,#N/A,TRUE,"VC3GRAF"}</definedName>
    <definedName name="dkdkdk">#REF!</definedName>
    <definedName name="DKK">#REF!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M_KhachHang">#REF!</definedName>
    <definedName name="dna" hidden="1">{#N/A,#N/A,TRUE,"Engine";#N/A,#N/A,TRUE,"Trans 5R55N";#N/A,#N/A,TRUE,"Manual Trans";#N/A,#N/A,TRUE,"DS and Axle";#N/A,#N/A,TRUE,"PTSSE";#N/A,#N/A,TRUE,"Summary"}</definedName>
    <definedName name="dois" hidden="1">{#N/A,#N/A,FALSE,"Assumptions";#N/A,#N/A,FALSE,"Volumes";#N/A,#N/A,FALSE,"Pricing";#N/A,#N/A,FALSE,"Variable Cost";#N/A,#N/A,FALSE,"Investment";#N/A,#N/A,FALSE,"Profitability";#N/A,#N/A,FALSE,"Business Comparison"}</definedName>
    <definedName name="DOP">#REF!</definedName>
    <definedName name="DR">#REF!</definedName>
    <definedName name="DriveCycle" hidden="1">{#N/A,#N/A,FALSE,"prerolls";#N/A,#N/A,FALSE,"prepats";#N/A,#N/A,FALSE,"rolls";#N/A,#N/A,FALSE,"postrolls";#N/A,#N/A,FALSE,"prebce";#N/A,#N/A,FALSE,"postbce"}</definedName>
    <definedName name="DRIVER">#REF!</definedName>
    <definedName name="DRLDETERM">#REF!</definedName>
    <definedName name="DropDown1">"DropDown1"</definedName>
    <definedName name="DROPSHIP">#REF!</definedName>
    <definedName name="DRS2Y">SUM(#REF!)</definedName>
    <definedName name="DRSMT">#REF!</definedName>
    <definedName name="DRSST">#REF!</definedName>
    <definedName name="drtjhydtyjdtyj" hidden="1">{0,0,0,0}</definedName>
    <definedName name="Druck">#N/A</definedName>
    <definedName name="DRUCK_VS">#REF!</definedName>
    <definedName name="ds" hidden="1">{"REVISED",#N/A,FALSE,"Sheet1"}</definedName>
    <definedName name="dsad" hidden="1">{#N/A,#N/A,FALSE,"Cover";#N/A,#N/A,FALSE,"Profits";#N/A,#N/A,FALSE,"ABS";#N/A,#N/A,FALSE,"TFLE Detail";#N/A,#N/A,FALSE,"TFLE Walk";#N/A,#N/A,FALSE,"Variable Cost";#N/A,#N/A,FALSE,"V.C. Walk"}</definedName>
    <definedName name="dsaf" hidden="1">{#N/A,#N/A,FALSE,"TOP10";#N/A,#N/A,FALSE,"Cover";#N/A,#N/A,FALSE,"MOGRAPH"}</definedName>
    <definedName name="dsafadsf" hidden="1">{#N/A,#N/A,FALSE,"SumMonth";#N/A,#N/A,FALSE,"SumMonth"}</definedName>
    <definedName name="dsd" hidden="1">{"Presentation",#N/A,FALSE,"Feb96 - ALL"}</definedName>
    <definedName name="dsdsd" hidden="1">{#N/A,#N/A,FALSE,"Title - E";#N/A,#N/A,FALSE,"Insert";#N/A,#N/A,FALSE,"Rpt-98-E PG_1";#N/A,#N/A,FALSE,"Rpt-98-E PG_2f";#N/A,#N/A,FALSE,"Rpt-98-E PG_2";#N/A,#N/A,FALSE,"Insert";#N/A,#N/A,FALSE,"Rpt-98-E PG_3 "}</definedName>
    <definedName name="dsdsdsd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dsf">#REF!</definedName>
    <definedName name="dsfafas" hidden="1">{#N/A,#N/A,FALSE,"Profit Status";#N/A,#N/A,FALSE,"Invest";#N/A,#N/A,FALSE,"Revenue";#N/A,#N/A,FALSE,"Variable Cost";#N/A,#N/A,FALSE,"Options &amp; Series"}</definedName>
    <definedName name="dsfas" hidden="1">{#N/A,#N/A,FALSE,"Cover Page";#N/A,#N/A,FALSE,"Facing Page";#N/A,#N/A,FALSE,"Main Page";#N/A,#N/A,FALSE,"Risk-Adjusted";#N/A,#N/A,FALSE,"Profit Improvement"}</definedName>
    <definedName name="dsfasdsa" hidden="1">{#N/A,#N/A,FALSE,"Cover";#N/A,#N/A,FALSE,"Profits";#N/A,#N/A,FALSE,"ABS";#N/A,#N/A,FALSE,"TFLE Detail";#N/A,#N/A,FALSE,"TFLE Walk";#N/A,#N/A,FALSE,"Variable Cost";#N/A,#N/A,FALSE,"V.C. Walk"}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sfasf_1" hidden="1">{#N/A,#N/A,FALSE,"Cover";#N/A,#N/A,FALSE,"Profits";#N/A,#N/A,FALSE,"ABS";#N/A,#N/A,FALSE,"TFLE Detail";#N/A,#N/A,FALSE,"TFLE Walk";#N/A,#N/A,FALSE,"Variable Cost";#N/A,#N/A,FALSE,"V.C. Walk"}</definedName>
    <definedName name="dsfasf1" hidden="1">{#N/A,#N/A,FALSE,"Cover";#N/A,#N/A,FALSE,"Profits";#N/A,#N/A,FALSE,"ABS";#N/A,#N/A,FALSE,"TFLE Detail";#N/A,#N/A,FALSE,"TFLE Walk";#N/A,#N/A,FALSE,"Variable Cost";#N/A,#N/A,FALSE,"V.C. Walk"}</definedName>
    <definedName name="dsfasf2" hidden="1">{#N/A,#N/A,FALSE,"Cover";#N/A,#N/A,FALSE,"Profits";#N/A,#N/A,FALSE,"ABS";#N/A,#N/A,FALSE,"TFLE Detail";#N/A,#N/A,FALSE,"TFLE Walk";#N/A,#N/A,FALSE,"Variable Cost";#N/A,#N/A,FALSE,"V.C. Walk"}</definedName>
    <definedName name="dsfg" hidden="1">{"2001-02 Summary",#N/A,TRUE,"Summary";"2001-06 Summary",#N/A,TRUE,"Summary"}</definedName>
    <definedName name="dsfrsg" hidden="1">{#VALUE!,#N/A,FALSE,0;#N/A,#N/A,FALSE,0;#N/A,#N/A,FALSE,0;#N/A,#N/A,FALSE,0;#N/A,#N/A,FALSE,0;#N/A,#N/A,FALSE,0;#N/A,#N/A,FALSE,0}</definedName>
    <definedName name="dsfsdafas" hidden="1">{"salaried",#N/A,FALSE,"VLD View (2)"}</definedName>
    <definedName name="dsfsdfds" hidden="1">{#N/A,#N/A,FALSE,"TEST HOURS MONTHLY REPORT"}</definedName>
    <definedName name="dsl" hidden="1">{#N/A,#N/A,FALSE,"expense";#N/A,#N/A,FALSE,"heads"}</definedName>
    <definedName name="DSP">#REF!</definedName>
    <definedName name="DSPIMO">#REF!</definedName>
    <definedName name="DSPMO">#REF!</definedName>
    <definedName name="DSPTLMO">#REF!</definedName>
    <definedName name="DSUSTR" hidden="1">{#N/A,#N/A,FALSE,"Profit Status";#N/A,#N/A,FALSE,"Invest";#N/A,#N/A,FALSE,"Revenue";#N/A,#N/A,FALSE,"Variable Cost";#N/A,#N/A,FALSE,"Options &amp; Series"}</definedName>
    <definedName name="dtyrt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UA">#REF!</definedName>
    <definedName name="DUEDATE">#REF!</definedName>
    <definedName name="duh" hidden="1">{"'Highlights'!$A$1:$M$123"}</definedName>
    <definedName name="dummy" hidden="1">{#N/A,#N/A,FALSE,"Cover";#N/A,#N/A,FALSE,"Profits";#N/A,#N/A,FALSE,"ABS";#N/A,#N/A,FALSE,"TFLE Detail";#N/A,#N/A,FALSE,"TFLE Walk";#N/A,#N/A,FALSE,"Variable Cost";#N/A,#N/A,FALSE,"V.C. Walk"}</definedName>
    <definedName name="dummy2" hidden="1">{"REVISED",#N/A,FALSE,"Sheet1"}</definedName>
    <definedName name="dummy21" hidden="1">{"REVISED",#N/A,FALSE,"Sheet1"}</definedName>
    <definedName name="dummy3" hidden="1">{"REVISED",#N/A,FALSE,"Sheet1"}</definedName>
    <definedName name="dummy31" hidden="1">{"REVISED",#N/A,FALSE,"Sheet1"}</definedName>
    <definedName name="dummy4" hidden="1">{"REVISED",#N/A,FALSE,"Sheet1"}</definedName>
    <definedName name="dumppr">#REF!</definedName>
    <definedName name="DUYDTY" hidden="1">{#N/A,#N/A,FALSE,"Profit Status";#N/A,#N/A,FALSE,"Invest";#N/A,#N/A,FALSE,"Revenue";#N/A,#N/A,FALSE,"Variable Cost";#N/A,#N/A,FALSE,"Options &amp; Series"}</definedName>
    <definedName name="dv" hidden="1">{#N/A,#N/A,FALSE,"TOP10";#N/A,#N/A,FALSE,"Cover";#N/A,#N/A,FALSE,"MOGRAPH"}</definedName>
    <definedName name="dwcxs" hidden="1">#REF!</definedName>
    <definedName name="dws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dx" hidden="1">{"'Highlights'!$A$1:$M$123"}</definedName>
    <definedName name="dz" hidden="1">{#N/A,#N/A,FALSE,"TR_OUT1"}</definedName>
    <definedName name="e" hidden="1">{#N/A,#N/A,FALSE,"Profit Status";#N/A,#N/A,FALSE,"Invest";#N/A,#N/A,FALSE,"Revenue";#N/A,#N/A,FALSE,"Variable Cost";#N/A,#N/A,FALSE,"Options &amp; Series"}</definedName>
    <definedName name="E_NO.">#REF!</definedName>
    <definedName name="E4S1200長安" hidden="1">#REF!</definedName>
    <definedName name="earfe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BITMO">#REF!</definedName>
    <definedName name="EBITYR">#REF!</definedName>
    <definedName name="Ec.Profit">#REF!</definedName>
    <definedName name="ED">#REF!</definedName>
    <definedName name="e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dit_Area">#REF!</definedName>
    <definedName name="Edit_Comp_1">#REF!</definedName>
    <definedName name="Edit_Comp_2">#REF!</definedName>
    <definedName name="Edit_Title_C1">#REF!</definedName>
    <definedName name="Edit_Title_C2">#REF!</definedName>
    <definedName name="Edit_Title_EA">#REF!</definedName>
    <definedName name="edu" hidden="1">{"salaried",#N/A,FALSE,"VLD View (2)"}</definedName>
    <definedName name="EE">#REF!</definedName>
    <definedName name="EEE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a1" hidden="1">{#N/A,#N/A,FALSE,"Profit Status";#N/A,#N/A,FALSE,"Invest";#N/A,#N/A,FALSE,"Revenue";#N/A,#N/A,FALSE,"Variable Cost";#N/A,#N/A,FALSE,"Options &amp; Series"}</definedName>
    <definedName name="eeee" hidden="1">{"EXPORT",#N/A,FALSE,"A8CONTENT"}</definedName>
    <definedName name="eeeee" hidden="1">{#N/A,#N/A,FALSE,"Assumptions";#N/A,#N/A,FALSE,"Volumes";#N/A,#N/A,FALSE,"Pricing";#N/A,#N/A,FALSE,"Variable Cost";#N/A,#N/A,FALSE,"Investment";#N/A,#N/A,FALSE,"Profitability";#N/A,#N/A,FALSE,"Business Comparison"}</definedName>
    <definedName name="eeeeeee" hidden="1">{0,#N/A,FALSE,0;0,#N/A,FALSE,0}</definedName>
    <definedName name="eeeeeeee">#REF!</definedName>
    <definedName name="eeeeeeeeeeee" hidden="1">{"rev",#N/A,FALSE,"ppepsum";"vcost",#N/A,FALSE,"ppepsum";"ecprof",#N/A,FALSE,"ppepsum"}</definedName>
    <definedName name="ef" hidden="1">{"'Highlights'!$A$1:$M$123"}</definedName>
    <definedName name="efedf" hidden="1">{"Fiesta Facer Page",#N/A,FALSE,"Q_C_S";"Fiesta Main Page",#N/A,FALSE,"V_L";"Fiesta 95BP Struct",#N/A,FALSE,"StructBP";"Fiesta Post 95BP Struct",#N/A,FALSE,"AdjStructBP"}</definedName>
    <definedName name="efg" hidden="1">{"rates",#N/A,FALSE,"saltavg";"rev",#N/A,FALSE,"saltavg"}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hg" hidden="1">{"Fiesta Facer Page",#N/A,FALSE,"Q_C_S";"Fiesta Main Page",#N/A,FALSE,"V_L";"Fiesta 95BP Struct",#N/A,FALSE,"StructBP";"Fiesta Post 95BP Struct",#N/A,FALSE,"AdjStructBP"}</definedName>
    <definedName name="EI">#REF!</definedName>
    <definedName name="ein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EL">#REF!</definedName>
    <definedName name="Email">#REF!</definedName>
    <definedName name="emissionindicator">OFFSET(#REF!,0,0,COUNTA(#REF!),1)</definedName>
    <definedName name="emp">#REF!</definedName>
    <definedName name="EMPRUNT">#REF!</definedName>
    <definedName name="End_Bal">#REF!</definedName>
    <definedName name="Engine" hidden="1">#REF!</definedName>
    <definedName name="engineerin" hidden="1">{"REVISED",#N/A,FALSE,"Sheet1"}</definedName>
    <definedName name="Engines">OFFSET(#REF!,0,0,COUNTA(#REF!),1)</definedName>
    <definedName name="enough" hidden="1">{#N/A,#N/A,FALSE,"Title-W";#N/A,#N/A,FALSE,"Insert";#N/A,#N/A,FALSE,"Rpt-98-W PG_1";#N/A,#N/A,FALSE,"Rpt-98-W PG_2f";#N/A,#N/A,FALSE,"Rpt-98-W  PG_2";#N/A,#N/A,FALSE,"Insert";#N/A,#N/A,FALSE,"Rpt-98-W PG_3"}</definedName>
    <definedName name="Entered_Pmt">#REF!</definedName>
    <definedName name="Entity">#REF!</definedName>
    <definedName name="EntityCell">#REF!</definedName>
    <definedName name="EO">#REF!</definedName>
    <definedName name="eq" hidden="1">{#N/A,#N/A,FALSE,"GRAFIK";#N/A,#N/A,FALSE,"TOP30MEM"}</definedName>
    <definedName name="eqos" hidden="1">{#N/A,#N/A,FALSE,"Assumptions";#N/A,#N/A,FALSE,"Volumes";#N/A,#N/A,FALSE,"Pricing";#N/A,#N/A,FALSE,"Variable Cost";#N/A,#N/A,FALSE,"Investment";#N/A,#N/A,FALSE,"Profitability";#N/A,#N/A,FALSE,"Business Comparison"}</definedName>
    <definedName name="eqtz" hidden="1">{0,0,FALSE,0}</definedName>
    <definedName name="er" hidden="1">{#N/A,#N/A,FALSE,"Cover Page";#N/A,#N/A,FALSE,"Facing Page";#N/A,#N/A,FALSE,"Main Page";#N/A,#N/A,FALSE,"Risk-Adjusted";#N/A,#N/A,FALSE,"Profit Improvement"}</definedName>
    <definedName name="ere" hidden="1">{#N/A,#N/A,FALSE,"Title - E";#N/A,#N/A,FALSE,"Insert";#N/A,#N/A,FALSE,"Rpt-98-E PG_1";#N/A,#N/A,FALSE,"Rpt-98-E PG_2f";#N/A,#N/A,FALSE,"Rpt-98-E PG_2";#N/A,#N/A,FALSE,"Insert";#N/A,#N/A,FALSE,"Rpt-98-E PG_3 "}</definedName>
    <definedName name="erer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fd" hidden="1">{#N/A,#N/A,FALSE,"Chart";#N/A,#N/A,FALSE,"Overview";#N/A,#N/A,FALSE,"Overview_Acty";#N/A,#N/A,FALSE,"Inc97D";#N/A,#N/A,FALSE,"Rel_Inc97TD";#N/A,#N/A,FALSE,"Rel_Inc_97_NTD";#N/A,#N/A,FALSE,"Marketing";#N/A,#N/A,FALSE,"Pot_97"}</definedName>
    <definedName name="ergegdb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gqaerrereq" hidden="1">{"REVISED",#N/A,FALSE,"Sheet1"}</definedName>
    <definedName name="ERGT" hidden="1">{#N/A,#N/A,FALSE,"Chart";#N/A,#N/A,FALSE,"Chart"}</definedName>
    <definedName name="eric" hidden="1">{#N/A,#N/A,FALSE,"Profit Status";#N/A,#N/A,FALSE,"Invest";#N/A,#N/A,FALSE,"Revenue";#N/A,#N/A,FALSE,"Variable Cost";#N/A,#N/A,FALSE,"Options &amp; Series"}</definedName>
    <definedName name="Ermua" hidden="1">{#N/A,#N/A,TRUE,"MetFinStat";#N/A,#N/A,TRUE,"BalSht";#N/A,#N/A,TRUE,"ConSchedBal";#N/A,#N/A,TRUE,"IncStat";#N/A,#N/A,TRUE,"ConSchedInc"}</definedName>
    <definedName name="eror">#REF!</definedName>
    <definedName name="error12" hidden="1">{#N/A,#N/A,FALSE,"Chart";#N/A,#N/A,FALSE,"Chart"}</definedName>
    <definedName name="error12_1" hidden="1">{#N/A,#N/A,FALSE,"Chart";#N/A,#N/A,FALSE,"Chart"}</definedName>
    <definedName name="error13" hidden="1">{#N/A,#N/A,FALSE,"Chart";#N/A,#N/A,FALSE,"Chart"}</definedName>
    <definedName name="error13_1" hidden="1">{#N/A,#N/A,FALSE,"Chart";#N/A,#N/A,FALSE,"Chart"}</definedName>
    <definedName name="ert" hidden="1">{#N/A,#N/A,FALSE,"Chart";#N/A,#N/A,FALSE,"Overview";#N/A,#N/A,FALSE,"Overview_Acty";#N/A,#N/A,FALSE,"Inc97D";#N/A,#N/A,FALSE,"Rel_Inc97TD";#N/A,#N/A,FALSE,"Rel_Inc_97_NTD";#N/A,#N/A,FALSE,"Marketing";#N/A,#N/A,FALSE,"Pot_97"}</definedName>
    <definedName name="erte" hidden="1">{0,0,0,0;0,0,0,0;0,0,0,0;0,0,FALSE,0}</definedName>
    <definedName name="ertye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ertyertye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rtyertyety" hidden="1">{#N/A,#N/A,FALSE,"Assumptions";#N/A,#N/A,FALSE,"Volumes";#N/A,#N/A,FALSE,"Pricing";#N/A,#N/A,FALSE,"Variable Cost";#N/A,#N/A,FALSE,"Investment";#N/A,#N/A,FALSE,"Profitability";#N/A,#N/A,FALSE,"Business Comparison"}</definedName>
    <definedName name="ertyertyetyetyey" hidden="1">{#N/A,#N/A,FALSE,"Assumptions";#N/A,#N/A,FALSE,"Volumes";#N/A,#N/A,FALSE,"Pricing";#N/A,#N/A,FALSE,"Variable Cost";#N/A,#N/A,FALSE,"Investment";#N/A,#N/A,FALSE,"Profitability";#N/A,#N/A,FALSE,"Business Comparison"}</definedName>
    <definedName name="ertyertyyy" hidden="1">{#N/A,#N/A,FALSE,"Assumptions";#N/A,#N/A,FALSE,"Volumes";#N/A,#N/A,FALSE,"Pricing";#N/A,#N/A,FALSE,"Variable Cost";#N/A,#N/A,FALSE,"Investment";#N/A,#N/A,FALSE,"Profitability";#N/A,#N/A,FALSE,"Business Comparison"}</definedName>
    <definedName name="ertyetryetye" hidden="1">{#N/A,#N/A,FALSE,"Assumptions";#N/A,#N/A,FALSE,"Volumes";#N/A,#N/A,FALSE,"Pricing";#N/A,#N/A,FALSE,"Variable Cost";#N/A,#N/A,FALSE,"Investment";#N/A,#N/A,FALSE,"Profitability";#N/A,#N/A,FALSE,"Business Comparison"}</definedName>
    <definedName name="erw" hidden="1">{0,0,0,TRUE}</definedName>
    <definedName name="ES">#REF!</definedName>
    <definedName name="Ess_Car_Sh">#REF!</definedName>
    <definedName name="Ess_Car_Share">#REF!</definedName>
    <definedName name="Ess_Comm_Share">#REF!</definedName>
    <definedName name="Ess_SAAR_Cars">#REF!</definedName>
    <definedName name="Ess_SAAR_Cars_Budget">#REF!</definedName>
    <definedName name="Ess_SAAR_Cars_Current">#REF!</definedName>
    <definedName name="Ess_SAAR_Cars_Prior">#REF!</definedName>
    <definedName name="Ess_SAAR_Comm">#REF!</definedName>
    <definedName name="Ess_SAAR_Comms_Budget">#REF!</definedName>
    <definedName name="Ess_SAAR_Comms_Current">#REF!</definedName>
    <definedName name="Ess_SAAR_Comms_Prior">#REF!</definedName>
    <definedName name="Ess_SAAR_Summ">#REF!</definedName>
    <definedName name="Ess_Stocks">#REF!</definedName>
    <definedName name="EssAliasTable">"Default"</definedName>
    <definedName name="EssfHasNonUnique">FALSE</definedName>
    <definedName name="EssLatest">"Jan"</definedName>
    <definedName name="EssOptions">"3000000000011000_01000"</definedName>
    <definedName name="et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e" hidden="1">{#N/A,#N/A,FALSE,"TOP10";#N/A,#N/A,FALSE,"Cover";#N/A,#N/A,FALSE,"MOGRAPH"}</definedName>
    <definedName name="etyu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tyueytueu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yyete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U">#REF!</definedName>
    <definedName name="eurapoapbt">#REF!</definedName>
    <definedName name="eurapoastat">#REF!</definedName>
    <definedName name="eureurpbt">#REF!</definedName>
    <definedName name="eureurstat">#REF!</definedName>
    <definedName name="EV__LASTREFTIME__" hidden="1">40122.4474768518</definedName>
    <definedName name="EVOL">#REF!</definedName>
    <definedName name="ewd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we" hidden="1">{#N/A,#N/A,FALSE,"Graphs_Retail_Historical_US";#N/A,#N/A,FALSE,"Graphs_RCL_Historical_US";#N/A,#N/A,FALSE,"Graphs_WHSL_Historical_US";#N/A,#N/A,FALSE,"Graphs_ComLend_Historical_US";#N/A,#N/A,FALSE,"Graphs_Intra_Historical_US"}</definedName>
    <definedName name="ewew" hidden="1">{#N/A,#N/A,FALSE,"Assumptions";#N/A,#N/A,FALSE,"Volumes";#N/A,#N/A,FALSE,"Pricing";#N/A,#N/A,FALSE,"Variable Cost";#N/A,#N/A,FALSE,"Investment";#N/A,#N/A,FALSE,"Profitability";#N/A,#N/A,FALSE,"Business Comparison"}</definedName>
    <definedName name="ewf" hidden="1">{0,0,0,0;#VALUE!,#N/A,0,0;#N/A,#N/A,FALSE,0;0,#N/A,FALSE,0;#N/A,0,TRUE,0;#N/A,#N/A,0,0;0,0,0,0}</definedName>
    <definedName name="ewfewr" hidden="1">{"Fiesta Facer Page",#N/A,FALSE,"Q_C_S";"Fiesta Main Page",#N/A,FALSE,"V_L";"Fiesta 95BP Struct",#N/A,FALSE,"StructBP";"Fiesta Post 95BP Struct",#N/A,FALSE,"AdjStructBP"}</definedName>
    <definedName name="ewr" hidden="1">{#N/A,#N/A,FALSE,"Title - E";#N/A,#N/A,FALSE,"Insert";#N/A,#N/A,FALSE,"Rpt-98-E PG_1";#N/A,#N/A,FALSE,"Rpt-98-E PG_2f";#N/A,#N/A,FALSE,"Rpt-98-E PG_2";#N/A,#N/A,FALSE,"Insert";#N/A,#N/A,FALSE,"Rpt-98-E PG_3 "}</definedName>
    <definedName name="EX">#REF!</definedName>
    <definedName name="Excel_BuiltIn__FilterDatabase_1">#REF!</definedName>
    <definedName name="Excel_BuiltIn_Print_Titles_1">#REF!</definedName>
    <definedName name="Exch">#REF!</definedName>
    <definedName name="Exchange">#REF!</definedName>
    <definedName name="ExchSA">#REF!</definedName>
    <definedName name="ExchTH">#REF!</definedName>
    <definedName name="Exclusions">#REF!</definedName>
    <definedName name="EXcom">OFFSET(#REF!,0,0,COUNTA(#REF!),COUNTA(#REF!))</definedName>
    <definedName name="Exec4">#REF!</definedName>
    <definedName name="exit" hidden="1">{"Presentation",#N/A,FALSE,"Feb96 - ALL"}</definedName>
    <definedName name="exp5.1">#REF!</definedName>
    <definedName name="expense">#REF!</definedName>
    <definedName name="explanation" hidden="1">{#N/A,#N/A,FALSE,"Assumptions";#N/A,#N/A,FALSE,"Volumes";#N/A,#N/A,FALSE,"Pricing";#N/A,#N/A,FALSE,"Variable Cost";#N/A,#N/A,FALSE,"Investment";#N/A,#N/A,FALSE,"Profitability";#N/A,#N/A,FALSE,"Business Comparison"}</definedName>
    <definedName name="extra" hidden="1">{"salaried",#N/A,FALSE,"VLD View (2)"}</definedName>
    <definedName name="Extra_Pay">#REF!</definedName>
    <definedName name="_xlnm.Extract">#REF!</definedName>
    <definedName name="eyt" hidden="1">{#N/A,#N/A,FALSE,"Assumptions";#N/A,#N/A,FALSE,"Volumes";#N/A,#N/A,FALSE,"Pricing";#N/A,#N/A,FALSE,"Variable Cost";#N/A,#N/A,FALSE,"Investment";#N/A,#N/A,FALSE,"Profitability";#N/A,#N/A,FALSE,"Business Comparison"}</definedName>
    <definedName name="eytueu" hidden="1">{#N/A,#N/A,FALSE,"Assumptions";#N/A,#N/A,FALSE,"Volumes";#N/A,#N/A,FALSE,"Pricing";#N/A,#N/A,FALSE,"Variable Cost";#N/A,#N/A,FALSE,"Investment";#N/A,#N/A,FALSE,"Profitability";#N/A,#N/A,FALSE,"Business Comparison"}</definedName>
    <definedName name="eytueyu" hidden="1">{"Fiesta Facer Page",#N/A,FALSE,"Q_C_S";"Fiesta Main Page",#N/A,FALSE,"V_L";"Fiesta 95BP Struct",#N/A,FALSE,"StructBP";"Fiesta Post 95BP Struct",#N/A,FALSE,"AdjStructBP"}</definedName>
    <definedName name="eyuerre" hidden="1">{#N/A,#N/A,FALSE,"Assumptions";#N/A,#N/A,FALSE,"Volumes";#N/A,#N/A,FALSE,"Pricing";#N/A,#N/A,FALSE,"Variable Cost";#N/A,#N/A,FALSE,"Investment";#N/A,#N/A,FALSE,"Profitability";#N/A,#N/A,FALSE,"Business Comparison"}</definedName>
    <definedName name="eyuuyeuyeyr" hidden="1">{"Presentation",#N/A,FALSE,"Feb96 - ALL"}</definedName>
    <definedName name="EZE" hidden="1">{#N/A,#N/A,FALSE,"Profit Status";#N/A,#N/A,FALSE,"Invest";#N/A,#N/A,FALSE,"Revenue";#N/A,#N/A,FALSE,"Variable Cost";#N/A,#N/A,FALSE,"Options &amp; Series"}</definedName>
    <definedName name="f" hidden="1">{#N/A,#N/A,FALSE,"UW152PPL"}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_1" hidden="1">{"avrev",#N/A,FALSE,"AVREV";"rates",#N/A,FALSE,"AVREV"}</definedName>
    <definedName name="FA">#REF!</definedName>
    <definedName name="faa">#REF!</definedName>
    <definedName name="facer" hidden="1">{#N/A,#N/A,FALSE,"Assumptions";#N/A,#N/A,FALSE,"Volumes";#N/A,#N/A,FALSE,"Pricing";#N/A,#N/A,FALSE,"Variable Cost";#N/A,#N/A,FALSE,"Investment";#N/A,#N/A,FALSE,"Profitability";#N/A,#N/A,FALSE,"Business Comparison"}</definedName>
    <definedName name="Factor">#REF!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f" hidden="1">{#N/A,#N/A,FALSE,"Assumptions";#N/A,#N/A,FALSE,"Volumes";#N/A,#N/A,FALSE,"Pricing";#N/A,#N/A,FALSE,"Variable Cost";#N/A,#N/A,FALSE,"Investment";#N/A,#N/A,FALSE,"Profitability";#N/A,#N/A,FALSE,"Business Comparison"}</definedName>
    <definedName name="Fairlane" hidden="1">{"2001-02 Summary",#N/A,TRUE,"Summary";"2001-06 Summary",#N/A,TRUE,"Summary"}</definedName>
    <definedName name="FAMILY_MODEL_list">#REF!</definedName>
    <definedName name="farago" hidden="1">{#N/A,#N/A,FALSE,"Profit Status";#N/A,#N/A,FALSE,"Invest";#N/A,#N/A,FALSE,"Revenue";#N/A,#N/A,FALSE,"Variable Cost";#N/A,#N/A,FALSE,"Options &amp; Series"}</definedName>
    <definedName name="fas" hidden="1">#REF!</definedName>
    <definedName name="fasdf" hidden="1">{#N/A,#N/A,FALSE,"Graphs_Retail (2)";#N/A,#N/A,FALSE,"Graphs_RCL (2)";#N/A,#N/A,FALSE,"Graphs_WHSL (2)"}</definedName>
    <definedName name="fasdfas" hidden="1">{#N/A,#N/A,FALSE,"Assumptions";#N/A,#N/A,FALSE,"Volumes";#N/A,#N/A,FALSE,"Pricing";#N/A,#N/A,FALSE,"Variable Cost";#N/A,#N/A,FALSE,"Investment";#N/A,#N/A,FALSE,"Profitability";#N/A,#N/A,FALSE,"Business Comparison"}</definedName>
    <definedName name="fasfdasfas" hidden="1">{"Summary View",#N/A,TRUE,"Summary";"Exception Analysis",#N/A,TRUE,"Summary"}</definedName>
    <definedName name="Fax">#REF!</definedName>
    <definedName name="FB">#REF!</definedName>
    <definedName name="fc" hidden="1">{#N/A,#N/A,FALSE,"TOP10";#N/A,#N/A,FALSE,"Cover";#N/A,#N/A,FALSE,"MOGRAPH"}</definedName>
    <definedName name="FCode" hidden="1">#REF!</definedName>
    <definedName name="fd" hidden="1">{#VALUE!,#N/A,FALSE,0;#N/A,#N/A,FALSE,0;#N/A,#N/A,FALSE,0;#N/A,#N/A,FALSE,0}</definedName>
    <definedName name="fda" hidden="1">{#N/A,#N/A,TRUE,"dew_x200";#N/A,#N/A,TRUE,"cvgm_twncr_must";#N/A,#N/A,TRUE,"x100_x300_falcn";#N/A,#N/A,TRUE,"t_mark_scorp";#N/A,#N/A,TRUE,"VC3GRAF"}</definedName>
    <definedName name="fdd" hidden="1">{#N/A,#N/A,FALSE,"626 DX";#N/A,#N/A,FALSE,"626 LX";#N/A,#N/A,FALSE,"626 LX-V6";#N/A,#N/A,FALSE,"626 ES-V6"}</definedName>
    <definedName name="fddf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efdf" hidden="1">{#N/A,#N/A,FALSE,"Cover";#N/A,#N/A,FALSE,"Profits";#N/A,#N/A,FALSE,"ABS";#N/A,#N/A,FALSE,"TFLE Detail";#N/A,#N/A,FALSE,"TFLE Walk";#N/A,#N/A,FALSE,"Variable Cost";#N/A,#N/A,FALSE,"V.C. Walk"}</definedName>
    <definedName name="fdf" hidden="1">{"Fiesta Facer Page",#N/A,FALSE,"Q_C_S";"Fiesta Main Page",#N/A,FALSE,"V_L";"Fiesta 95BP Struct",#N/A,FALSE,"StructBP";"Fiesta Post 95BP Struct",#N/A,FALSE,"AdjStructBP"}</definedName>
    <definedName name="fdfd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g" hidden="1">{"2001-02 Summary",#N/A,TRUE,"Summary";"2001-06 Summary",#N/A,TRUE,"Summary"}</definedName>
    <definedName name="fdgf" hidden="1">{"REVISED",#N/A,FALSE,"Sheet1"}</definedName>
    <definedName name="fdgfdg" hidden="1">{"avrev",#N/A,FALSE,"AVREV";"rates",#N/A,FALSE,"AVREV"}</definedName>
    <definedName name="fdgju" hidden="1">{#VALUE!,#N/A,FALSE,0;#N/A,#N/A,FALSE,0;#N/A,#N/A,FALSE,0;#N/A,#N/A,FALSE,0;#N/A,#N/A,FALSE,0;#N/A,#N/A,FALSE,0;#N/A,#N/A,FALSE,0;#N/A,#N/A,FALSE,0}</definedName>
    <definedName name="fd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a" hidden="1">{"rates",#N/A,FALSE,"tavg4a";"rev",#N/A,FALSE,"tavg4a"}</definedName>
    <definedName name="fdsfa">#REF!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w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e" hidden="1">{#N/A,#N/A,FALSE,"Profit Status";#N/A,#N/A,FALSE,"Invest";#N/A,#N/A,FALSE,"Revenue";#N/A,#N/A,FALSE,"Variable Cost";#N/A,#N/A,FALSE,"Options &amp; Series"}</definedName>
    <definedName name="FEB" hidden="1">{"2001 actual",#N/A,FALSE,"Raw Data month";"2002actual",#N/A,FALSE,"Raw Data month";"2002 plan",#N/A,FALSE,"Raw Data month"}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gh" hidden="1">{#N/A,#N/A,FALSE,"TOP10";#N/A,#N/A,FALSE,"Cover";#N/A,#N/A,FALSE,"MOGRAPH"}</definedName>
    <definedName name="feliz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fer" hidden="1">{"REVISED",#N/A,FALSE,"Sheet1"}</definedName>
    <definedName name="ferco_fracs">#REF!</definedName>
    <definedName name="ferco_whsl">#REF!</definedName>
    <definedName name="ferf" hidden="1">{"REVISED",#N/A,FALSE,"Sheet1"}</definedName>
    <definedName name="ferfe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ewewg" hidden="1">{0,0,0,0}</definedName>
    <definedName name="ff" hidden="1">{#N/A,#N/A,FALSE,"TEST HOURS MONTHLY REPORT"}</definedName>
    <definedName name="ffbvb" hidden="1">{0,#N/A,FALSE,0}</definedName>
    <definedName name="ff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ffdww" hidden="1">{#N/A,#N/A,FALSE,"Profit Status";#N/A,#N/A,FALSE,"Invest";#N/A,#N/A,FALSE,"Revenue";#N/A,#N/A,FALSE,"Variable Cost";#N/A,#N/A,FALSE,"Options &amp; Series"}</definedName>
    <definedName name="fff" hidden="1">{#N/A,#N/A,FALSE,"UW152PPL"}</definedName>
    <definedName name="fff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ff" hidden="1">{#VALUE!,#N/A,FALSE,0;#N/A,#N/A,FALSE,0;#N/A,#N/A,FALSE,0;#N/A,#N/A,FALSE,0}</definedName>
    <definedName name="FFFFF" hidden="1">{#VALUE!,#N/A,FALSE,0;#N/A,#N/A,FALSE,0;#N/A,#N/A,FALSE,0;#N/A,#N/A,FALSE,0}</definedName>
    <definedName name="ffffff" hidden="1">{"Revenue",#N/A,FALSE,"Series";"Ecprofit",#N/A,FALSE,"Series"}</definedName>
    <definedName name="fffffff" hidden="1">{"Fiesta Facer Page",#N/A,FALSE,"Q_C_S";"Fiesta Main Page",#N/A,FALSE,"V_L";"Fiesta 95BP Struct",#N/A,FALSE,"StructBP";"Fiesta Post 95BP Struct",#N/A,FALSE,"AdjStructBP"}</definedName>
    <definedName name="ffgnc" hidden="1">{"T_NA_Dom",#N/A,FALSE,"TB_NoAc";"TB_Summ",#N/A,FALSE,"TB_Action";"T_NA_Exp",#N/A,FALSE,"TB_NoAc";"T_Ac_Dom",#N/A,FALSE,"TB_Action";"TB_Ac_Exp",#N/A,FALSE,"TB_Action"}</definedName>
    <definedName name="ffsas">#REF!</definedName>
    <definedName name="ffx" hidden="1">{#N/A,#N/A,FALSE,"TOP10";#N/A,#N/A,FALSE,"Cover";#N/A,#N/A,FALSE,"MOGRAPH"}</definedName>
    <definedName name="fg" hidden="1">{#N/A,#N/A,FALSE,"Cover";#N/A,#N/A,FALSE,"Profits";#N/A,#N/A,FALSE,"ABS";#N/A,#N/A,FALSE,"TFLE Detail";#N/A,#N/A,FALSE,"TFLE Walk";#N/A,#N/A,FALSE,"Variable Cost";#N/A,#N/A,FALSE,"V.C. Walk"}</definedName>
    <definedName name="FGDFG">[0]!kkk</definedName>
    <definedName name="fgfg" hidden="1">{#N/A,#N/A,FALSE,"expense";#N/A,#N/A,FALSE,"heads"}</definedName>
    <definedName name="fgg" hidden="1">{#N/A,#N/A,FALSE,"Graphs_Retail_Historical_US";#N/A,#N/A,FALSE,"Graphs_RCL_Historical_US";#N/A,#N/A,FALSE,"Graphs_WHSL_Historical_US";#N/A,#N/A,FALSE,"Graphs_ComLend_Historical_US";#N/A,#N/A,FALSE,"Graphs_Intra_Historical_US"}</definedName>
    <definedName name="fgh" hidden="1">{#N/A,#N/A,FALSE,"Cover";#N/A,#N/A,FALSE,"Profits";#N/A,#N/A,FALSE,"ABS";#N/A,#N/A,FALSE,"TFLE Detail";#N/A,#N/A,FALSE,"TFLE Walk";#N/A,#N/A,FALSE,"Variable Cost";#N/A,#N/A,FALSE,"V.C. Walk"}</definedName>
    <definedName name="fghfd" hidden="1">{#VALUE!,#N/A,FALSE,0;#N/A,#N/A,FALSE,0;#N/A,#N/A,FALSE,0;#N/A,#N/A,FALSE,0;#N/A,#N/A,FALSE,0}</definedName>
    <definedName name="FGHFGH" hidden="1">{#N/A,#N/A,FALSE,"Assumptions";#N/A,#N/A,FALSE,"Volumes";#N/A,#N/A,FALSE,"Pricing";#N/A,#N/A,FALSE,"Variable Cost";#N/A,#N/A,FALSE,"Investment";#N/A,#N/A,FALSE,"Profitability";#N/A,#N/A,FALSE,"Business Comparison"}</definedName>
    <definedName name="fghjfgj" hidden="1">{"rev",#N/A,FALSE,"ppepsum";"vcost",#N/A,FALSE,"ppepsum";"ecprof",#N/A,FALSE,"ppepsum"}</definedName>
    <definedName name="fgj" hidden="1">{#N/A,#N/A,FALSE,"Title - E";#N/A,#N/A,FALSE,"Insert";#N/A,#N/A,FALSE,"Rpt-98-E PG_1";#N/A,#N/A,FALSE,"Rpt-98-E PG_2f";#N/A,#N/A,FALSE,"Rpt-98-E PG_2";#N/A,#N/A,FALSE,"Insert";#N/A,#N/A,FALSE,"Rpt-98-E PG_3 "}</definedName>
    <definedName name="fgjfg" hidden="1">{"pep204a",#N/A,FALSE,"tpepsum4a";"pep205a",#N/A,FALSE,"tpepsum4a";"wpep204a",#N/A,FALSE,"tpepsum4a";"wpep205a",#N/A,FALSE,"tpepsum4a"}</definedName>
    <definedName name="fgjj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gng" hidden="1">{#N/A,#N/A,FALSE,"Chart";#N/A,#N/A,FALSE,"Chart"}</definedName>
    <definedName name="fgsd" hidden="1">{"avrev",#N/A,FALSE,"AVREV";"rates",#N/A,FALSE,"AVREV"}</definedName>
    <definedName name="fgsdfs" hidden="1">#REF!</definedName>
    <definedName name="fgsg" hidden="1">{#N/A,#N/A,FALSE,"Chart";#N/A,#N/A,FALSE,"Chart"}</definedName>
    <definedName name="FHFGH" hidden="1">{#N/A,#N/A,FALSE,"Chart";#N/A,#N/A,FALSE,"Overview";#N/A,#N/A,FALSE,"Overview_Acty";#N/A,#N/A,FALSE,"Inc97D";#N/A,#N/A,FALSE,"Rel_Inc97TD";#N/A,#N/A,FALSE,"Rel_Inc_97_NTD";#N/A,#N/A,FALSE,"Marketing";#N/A,#N/A,FALSE,"Pot_97"}</definedName>
    <definedName name="fhiu" hidden="1">{#N/A,#N/A,FALSE,"GRAFIK";#N/A,#N/A,FALSE,"TOP30MEM"}</definedName>
    <definedName name="fhkk" hidden="1">{#N/A,#N/A,FALSE,"Title - E";#N/A,#N/A,FALSE,"Insert";#N/A,#N/A,FALSE,"Rpt-98-E PG_1";#N/A,#N/A,FALSE,"Rpt-98-E PG_2f";#N/A,#N/A,FALSE,"Rpt-98-E PG_2";#N/A,#N/A,FALSE,"Insert";#N/A,#N/A,FALSE,"Rpt-98-E PG_3 "}</definedName>
    <definedName name="FILE">#REF!</definedName>
    <definedName name="FileName">#REF!</definedName>
    <definedName name="fill" hidden="1">#REF!</definedName>
    <definedName name="filna" hidden="1">{"'OBT_6M_30_6'!$S$1:$AE$53"}</definedName>
    <definedName name="Filter1">#REF!</definedName>
    <definedName name="Filter2">#REF!</definedName>
    <definedName name="final" hidden="1">{#N/A,#N/A,FALSE,"Cover";#N/A,#N/A,FALSE,"Profits";#N/A,#N/A,FALSE,"ABS";#N/A,#N/A,FALSE,"TFLE Detail";#N/A,#N/A,FALSE,"TFLE Walk";#N/A,#N/A,FALSE,"Variable Cost";#N/A,#N/A,FALSE,"V.C. Walk"}</definedName>
    <definedName name="Finance" hidden="1">{#N/A,#N/A,FALSE,"Cover";#N/A,#N/A,FALSE,"Profits";#N/A,#N/A,FALSE,"ABS";#N/A,#N/A,FALSE,"TFLE Detail";#N/A,#N/A,FALSE,"TFLE Walk";#N/A,#N/A,FALSE,"Variable Cost";#N/A,#N/A,FALSE,"V.C. Walk"}</definedName>
    <definedName name="FinanceDataEntry">#REF!,#REF!,#REF!,#REF!</definedName>
    <definedName name="fincance" hidden="1">{#N/A,#N/A,FALSE,"Assumptions";#N/A,#N/A,FALSE,"Volumes";#N/A,#N/A,FALSE,"Pricing";#N/A,#N/A,FALSE,"Variable Cost";#N/A,#N/A,FALSE,"Investment";#N/A,#N/A,FALSE,"Profitability";#N/A,#N/A,FALSE,"Business Comparison"}</definedName>
    <definedName name="FinePrint">#REF!</definedName>
    <definedName name="Finland">#REF!</definedName>
    <definedName name="FIRST_QUARTER_AND_SECOND_QUARTER_1999_FIXED_ASSETS">#REF!</definedName>
    <definedName name="fjfg" hidden="1">{"Revenue",#N/A,FALSE,"Series";"Ecprofit",#N/A,FALSE,"Series"}</definedName>
    <definedName name="fjfj" hidden="1">{#N/A,#N/A,FALSE,"Chart";#N/A,#N/A,FALSE,"Chart"}</definedName>
    <definedName name="fjfjf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g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HM" hidden="1">{"avrev",#N/A,FALSE,"AVREV";"rates",#N/A,FALSE,"AVREV"}</definedName>
    <definedName name="fjwhf" hidden="1">{#N/A,#N/A,FALSE,"Profit Status";#N/A,#N/A,FALSE,"Invest";#N/A,#N/A,FALSE,"Revenue";#N/A,#N/A,FALSE,"Variable Cost";#N/A,#N/A,FALSE,"Options &amp; Series"}</definedName>
    <definedName name="fjwhf1" hidden="1">{#N/A,#N/A,FALSE,"Profit Status";#N/A,#N/A,FALSE,"Invest";#N/A,#N/A,FALSE,"Revenue";#N/A,#N/A,FALSE,"Variable Cost";#N/A,#N/A,FALSE,"Options &amp; Series"}</definedName>
    <definedName name="flammabilityindicator">OFFSET(#REF!,0,0,COUNTA(#REF!),1)</definedName>
    <definedName name="FmlAA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ocus" hidden="1">{"Wk_A_NoAc",#N/A,FALSE,"Wk_Arg_NoAc";"WK_Arg_Act",#N/A,FALSE,"Wk_Arg_Act";"WK_Brz_NoAc",#N/A,FALSE,"Wk_Brz_NoAc";"Wk_Brz_Act",#N/A,FALSE,"Wk_Brz_Act";"Wk_Avg",#N/A,FALSE,"Wk_Arg_Act"}</definedName>
    <definedName name="FocusMCA_Market">#REF!</definedName>
    <definedName name="Folgeseiten">#REF!</definedName>
    <definedName name="Fomular">#REF!</definedName>
    <definedName name="forcryingoutloud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FORD_E_SERIES">#REF!</definedName>
    <definedName name="FORD_EVEREST">#REF!</definedName>
    <definedName name="FORD_F_SERIES">#REF!</definedName>
    <definedName name="ford_fracs">#REF!</definedName>
    <definedName name="FORD_OTHERS">#REF!</definedName>
    <definedName name="FORD_RANGER_DC">#REF!</definedName>
    <definedName name="FORD_RANGER_SC">#REF!</definedName>
    <definedName name="FORD_TRANSIT">#REF!</definedName>
    <definedName name="ford_whsl">#REF!</definedName>
    <definedName name="fordFamily" hidden="1">{#N/A,#N/A,FALSE,"GRAFIK";#N/A,#N/A,FALSE,"TOP30MEM"}</definedName>
    <definedName name="fordspider" hidden="1">{"sedan",#N/A,FALSE,"spepalt";"wgs",#N/A,FALSE,"spepalt"}</definedName>
    <definedName name="FOREX">#REF!</definedName>
    <definedName name="FORK">#REF!</definedName>
    <definedName name="fr" hidden="1">{#N/A,#N/A,FALSE,"Chart";#N/A,#N/A,FALSE,"Chart"}</definedName>
    <definedName name="France">#REF!</definedName>
    <definedName name="fre" hidden="1">{"REVISED",#N/A,FALSE,"Sheet1"}</definedName>
    <definedName name="frefw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reightCategory">#REF!</definedName>
    <definedName name="Frequency">#REF!</definedName>
    <definedName name="frpi">OFFSET(#REF!,0,0,COUNTA(#REF!),1)</definedName>
    <definedName name="fs">#REF!</definedName>
    <definedName name="FS_Month">#REF!</definedName>
    <definedName name="FS_Year">#REF!</definedName>
    <definedName name="fsa" hidden="1">{#N/A,#N/A,FALSE,"Title - E";#N/A,#N/A,FALSE,"Insert";#N/A,#N/A,FALSE,"Rpt-98-E PG_1";#N/A,#N/A,FALSE,"Rpt-98-E PG_2f";#N/A,#N/A,FALSE,"Rpt-98-E PG_2";#N/A,#N/A,FALSE,"Insert";#N/A,#N/A,FALSE,"Rpt-98-E PG_3 "}</definedName>
    <definedName name="fsdf" hidden="1">{"Revenue",#N/A,FALSE,"Series";"Ecprofit",#N/A,FALSE,"Series"}</definedName>
    <definedName name="fsdfsdf" hidden="1">{"avrev",#N/A,FALSE,"AVREV";"rates",#N/A,FALSE,"AVREV"}</definedName>
    <definedName name="fsgh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SM" hidden="1">#REF!</definedName>
    <definedName name="FSM_solver_adj" hidden="1">#REF!,#REF!</definedName>
    <definedName name="ft" hidden="1">{#N/A,#N/A,FALSE,"TOP10";#N/A,#N/A,FALSE,"Cover";#N/A,#N/A,FALSE,"MOGRAPH"}</definedName>
    <definedName name="fte" hidden="1">{#N/A,#N/A,FALSE,"GRAFIK";#N/A,#N/A,FALSE,"TOP30MEM"}</definedName>
    <definedName name="ftgefaewt" hidden="1">{#N/A,#N/A,FALSE,"Profit Status";#N/A,#N/A,FALSE,"Invest";#N/A,#N/A,FALSE,"Revenue";#N/A,#N/A,FALSE,"Variable Cost";#N/A,#N/A,FALSE,"Options &amp; Series"}</definedName>
    <definedName name="fu" hidden="1">{"avrev",#N/A,FALSE,"AVREV";"rates",#N/A,FALSE,"AVREV"}</definedName>
    <definedName name="fu_1" hidden="1">{"avrev",#N/A,FALSE,"AVREV";"rates",#N/A,FALSE,"AVREV"}</definedName>
    <definedName name="fuc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eurpbt">#REF!</definedName>
    <definedName name="fueurstat">#REF!</definedName>
    <definedName name="fujimoto" hidden="1">{#N/A,"VA",FALSE,"output";#N/A,"VB",FALSE,"output";#N/A,"VS",FALSE,"output";#N/A,"VC",FALSE,"output";#N/A,"VG",FALSE,"output";#N/A,"J1",FALSE,"output";#N/A,"J2",FALSE,"output";#N/A,"PT",FALSE,"output"}</definedName>
    <definedName name="Full_Print">#REF!</definedName>
    <definedName name="Functional" hidden="1">{#N/A,#N/A,FALSE,"Assumptions";#N/A,#N/A,FALSE,"Volumes";#N/A,#N/A,FALSE,"Pricing";#N/A,#N/A,FALSE,"Variable Cost";#N/A,#N/A,FALSE,"Investment";#N/A,#N/A,FALSE,"Profitability";#N/A,#N/A,FALSE,"Business Comparison"}</definedName>
    <definedName name="FVCOMP">#N/A</definedName>
    <definedName name="fvdfd" hidden="1">{#N/A,#N/A,FALSE,"Cover";#N/A,#N/A,FALSE,"Profits";#N/A,#N/A,FALSE,"ABS";#N/A,#N/A,FALSE,"TFLE Detail";#N/A,#N/A,FALSE,"TFLE Walk";#N/A,#N/A,FALSE,"Variable Cost";#N/A,#N/A,FALSE,"V.C. Walk"}</definedName>
    <definedName name="fvvv" hidden="1">{"avrev",#N/A,FALSE,"AVREV";"rates",#N/A,FALSE,"AVREV"}</definedName>
    <definedName name="fwef" hidden="1">{"REVISED",#N/A,FALSE,"Sheet1"}</definedName>
    <definedName name="fwfeewf" hidden="1">{#N/A,#N/A,FALSE,"Assumptions";#N/A,#N/A,FALSE,"Volumes";#N/A,#N/A,FALSE,"Pricing";#N/A,#N/A,FALSE,"Variable Cost";#N/A,#N/A,FALSE,"Investment";#N/A,#N/A,FALSE,"Profitability";#N/A,#N/A,FALSE,"Business Comparison"}</definedName>
    <definedName name="fxjdhjdghj" hidden="1">{#N/A,#N/A,FALSE,"Assumptions";#N/A,#N/A,FALSE,"Volumes";#N/A,#N/A,FALSE,"Pricing";#N/A,#N/A,FALSE,"Variable Cost";#N/A,#N/A,FALSE,"Investment";#N/A,#N/A,FALSE,"Profitability";#N/A,#N/A,FALSE,"Business Comparison"}</definedName>
    <definedName name="fy" hidden="1">{#N/A,#N/A,FALSE,"BackUp";#N/A,#N/A,FALSE,"FOps-Cal";#N/A,#N/A,FALSE,"COps-Cal";#N/A,#N/A,FALSE,"GPM-Cal";#N/A,#N/A,FALSE,"ITO-Cal";#N/A,#N/A,FALSE,"ITO (2)"}</definedName>
    <definedName name="FY00cri">#REF!</definedName>
    <definedName name="FY00exch">#REF!</definedName>
    <definedName name="FY00findex">#REF!</definedName>
    <definedName name="FY00usindex">#REF!</definedName>
    <definedName name="FY01cri">#REF!</definedName>
    <definedName name="FY01exch">#REF!</definedName>
    <definedName name="FY01findex">#REF!</definedName>
    <definedName name="FY01usindex">#REF!</definedName>
    <definedName name="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_1" hidden="1">{"salaried",#N/A,FALSE,"VLD View (2)"}</definedName>
    <definedName name="G_S">#REF!</definedName>
    <definedName name="G_S_Summary">#REF!</definedName>
    <definedName name="GAlaxy">36382.5372453704</definedName>
    <definedName name="galo" hidden="1">{#N/A,#N/A,FALSE,"Aging Summary";#N/A,#N/A,FALSE,"Ratio Analysis";#N/A,#N/A,FALSE,"Test 120 Day Accts";#N/A,#N/A,FALSE,"Tickmarks"}</definedName>
    <definedName name="gasdf" hidden="1">{#N/A,#N/A,FALSE,"Title-W";#N/A,#N/A,FALSE,"Insert";#N/A,#N/A,FALSE,"Rpt-98-W PG_1";#N/A,#N/A,FALSE,"Rpt-98-W PG_2f";#N/A,#N/A,FALSE,"Rpt-98-W  PG_2";#N/A,#N/A,FALSE,"Insert";#N/A,#N/A,FALSE,"Rpt-98-W PG_3"}</definedName>
    <definedName name="g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BTR" hidden="1">{#N/A,#N/A,FALSE,"Chart";#N/A,#N/A,FALSE,"Chart"}</definedName>
    <definedName name="gch" hidden="1">{#N/A,#N/A,FALSE,"Assumptions";#N/A,#N/A,FALSE,"Volumes";#N/A,#N/A,FALSE,"Pricing";#N/A,#N/A,FALSE,"Variable Cost";#N/A,#N/A,FALSE,"Investment";#N/A,#N/A,FALSE,"Profitability";#N/A,#N/A,FALSE,"Business Comparison"}</definedName>
    <definedName name="GCS_2002_Business_Plan_Summary">#REF!</definedName>
    <definedName name="gd" hidden="1">{#N/A,#N/A,FALSE,"Assumptions";#N/A,#N/A,FALSE,"Volumes";#N/A,#N/A,FALSE,"Pricing";#N/A,#N/A,FALSE,"Variable Cost";#N/A,#N/A,FALSE,"Investment";#N/A,#N/A,FALSE,"Profitability";#N/A,#N/A,FALSE,"Business Comparison"}</definedName>
    <definedName name="GDFGS" hidden="1">{"REVISED",#N/A,FALSE,"Sheet1"}</definedName>
    <definedName name="GDP">#REF!</definedName>
    <definedName name="gdsdsfgs3" hidden="1">{0,#N/A,FALSE,0;0,#N/A,FALSE,0;0,#N/A,FALSE,0;0,#N/A,FALSE,0}</definedName>
    <definedName name="ge" hidden="1">{#N/A,#N/A,FALSE,"Profit Status";#N/A,#N/A,FALSE,"Invest";#N/A,#N/A,FALSE,"Revenue";#N/A,#N/A,FALSE,"Variable Cost";#N/A,#N/A,FALSE,"Options &amp; Series"}</definedName>
    <definedName name="geez" hidden="1">{#N/A,#N/A,FALSE,"Title - E";#N/A,#N/A,FALSE,"Insert";#N/A,#N/A,FALSE,"Rpt-98-E PG_1";#N/A,#N/A,FALSE,"Rpt-98-E PG_2f";#N/A,#N/A,FALSE,"Rpt-98-E PG_2";#N/A,#N/A,FALSE,"Insert";#N/A,#N/A,FALSE,"Rpt-98-E PG_3 "}</definedName>
    <definedName name="geg" hidden="1">{#N/A,#N/A,FALSE,"Assumptions";#N/A,#N/A,FALSE,"Volumes";#N/A,#N/A,FALSE,"Pricing";#N/A,#N/A,FALSE,"Variable Cost";#N/A,#N/A,FALSE,"Investment";#N/A,#N/A,FALSE,"Profitability";#N/A,#N/A,FALSE,"Business Comparison"}</definedName>
    <definedName name="geit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en_DLHR_P2">#REF!</definedName>
    <definedName name="Gen_Index">#REF!</definedName>
    <definedName name="general2" hidden="1">{#N/A,#N/A,FALSE,"TOP10";#N/A,#N/A,FALSE,"Cover";#N/A,#N/A,FALSE,"MOGRAPH"}</definedName>
    <definedName name="general3" hidden="1">{#N/A,#N/A,FALSE,"TOP10";#N/A,#N/A,FALSE,"Cover";#N/A,#N/A,FALSE,"MOGRAPH"}</definedName>
    <definedName name="GeneralLedger" hidden="1">#REF!</definedName>
    <definedName name="GenInfo">#REF!</definedName>
    <definedName name="Germany">#REF!</definedName>
    <definedName name="germany_">#REF!</definedName>
    <definedName name="get_data">#N/A</definedName>
    <definedName name="gf" hidden="1">{#N/A,#N/A,FALSE,"Cover";#N/A,#N/A,FALSE,"Profits";#N/A,#N/A,FALSE,"ABS";#N/A,#N/A,FALSE,"TFLE Detail";#N/A,#N/A,FALSE,"TFLE Walk";#N/A,#N/A,FALSE,"Variable Cost";#N/A,#N/A,FALSE,"V.C. Walk"}</definedName>
    <definedName name="GFB" hidden="1">{"Revenue",#N/A,FALSE,"Series";"Ecprofit",#N/A,FALSE,"Series"}</definedName>
    <definedName name="gfdg" hidden="1">#REF!</definedName>
    <definedName name="gfdged1" hidden="1">{"REVISED",#N/A,FALSE,"Sheet1"}</definedName>
    <definedName name="gfdhh" hidden="1">{"Revenue",#N/A,FALSE,"Series";"Ecprofit",#N/A,FALSE,"Series"}</definedName>
    <definedName name="gfdsged" hidden="1">{"REVISED",#N/A,FALSE,"Sheet1"}</definedName>
    <definedName name="gfdsged1" hidden="1">{"REVISED",#N/A,FALSE,"Sheet1"}</definedName>
    <definedName name="gffdsg" hidden="1">{"Revenue",#N/A,FALSE,"Series";"Ecprofit",#N/A,FALSE,"Series"}</definedName>
    <definedName name="gffdsg_1" hidden="1">{"Revenue",#N/A,FALSE,"Series";"Ecprofit",#N/A,FALSE,"Series"}</definedName>
    <definedName name="gffdsget" hidden="1">{"Revenue",#N/A,FALSE,"Series";"Ecprofit",#N/A,FALSE,"Series"}</definedName>
    <definedName name="gffsd" hidden="1">{#VALUE!,#N/A,FALSE,0;#N/A,#N/A,FALSE,0;#N/A,#N/A,FALSE,0;#N/A,#N/A,FALSE,0;#N/A,#N/A,FALSE,0;#N/A,#N/A,FALSE,0;#N/A,#N/A,FALSE,0;#N/A,#N/A,FALSE,0;#N/A,#N/A,FALSE,0}</definedName>
    <definedName name="gf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h" hidden="1">{"Calendar",#N/A,FALSE,"Calendar";"Profitab",#N/A,FALSE,"Summary";"Cashflow",#N/A,FALSE,"Cashflow";"ROS",#N/A,FALSE,"Summary"}</definedName>
    <definedName name="gfhdhd" hidden="1">{"avrev",#N/A,FALSE,"AVREV";"rates",#N/A,FALSE,"AVREV"}</definedName>
    <definedName name="gfhrh" hidden="1">{#N/A,#N/A,FALSE,"Profit Status";#N/A,#N/A,FALSE,"Invest";#N/A,#N/A,FALSE,"Revenue";#N/A,#N/A,FALSE,"Variable Cost";#N/A,#N/A,FALSE,"Options &amp; Series"}</definedName>
    <definedName name="gfs" hidden="1">#REF!</definedName>
    <definedName name="gfsdg" hidden="1">{0,0,0,0;0,0,0,0;0,0,0,0;0,0,0,0}</definedName>
    <definedName name="gfsfd" hidden="1">{#N/A,#N/A,FALSE,"Cover";#N/A,#N/A,FALSE,"Profits";#N/A,#N/A,FALSE,"ABS";#N/A,#N/A,FALSE,"TFLE Detail";#N/A,#N/A,FALSE,"TFLE Walk";#N/A,#N/A,FALSE,"Variable Cost";#N/A,#N/A,FALSE,"V.C. Walk"}</definedName>
    <definedName name="gg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G" hidden="1">{"COMPARISON",#N/A,FALSE,"Sheet1"}</definedName>
    <definedName name="ggga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ggd" hidden="1">{#N/A,#N/A,FALSE,"TOP10";#N/A,#N/A,FALSE,"Cover";#N/A,#N/A,FALSE,"MOGRAPH"}</definedName>
    <definedName name="gggg" hidden="1">{#N/A,#N/A,FALSE,"Cover";#N/A,#N/A,FALSE,"Profits";#N/A,#N/A,FALSE,"ABS";#N/A,#N/A,FALSE,"TFLE Detail";#N/A,#N/A,FALSE,"TFLE Walk";#N/A,#N/A,FALSE,"Variable Cost";#N/A,#N/A,FALSE,"V.C. Walk"}</definedName>
    <definedName name="ggggg">#REF!</definedName>
    <definedName name="gggggg" hidden="1">{#N/A,#N/A,FALSE,"Assumptions";#N/A,#N/A,FALSE,"Volumes";#N/A,#N/A,FALSE,"Pricing";#N/A,#N/A,FALSE,"Variable Cost";#N/A,#N/A,FALSE,"Investment";#N/A,#N/A,FALSE,"Profitability";#N/A,#N/A,FALSE,"Business Comparison"}</definedName>
    <definedName name="ggghh" hidden="1">{"REVISED",#N/A,FALSE,"Sheet1"}</definedName>
    <definedName name="gggu" hidden="1">{#N/A,#N/A,FALSE,"TOP10";#N/A,#N/A,FALSE,"Cover";#N/A,#N/A,FALSE,"MOGRAPH"}</definedName>
    <definedName name="gh" hidden="1">{"'Highlights'!$A$1:$M$123"}</definedName>
    <definedName name="gh_1" hidden="1">{#N/A,#N/A,FALSE,"Back-Up Cover";#N/A,#N/A,FALSE,"CM1";#N/A,#N/A,FALSE,"CM3";#N/A,#N/A,FALSE,"CM4"}</definedName>
    <definedName name="ghdg" hidden="1">{#N/A,#N/A,FALSE,"Chart";#N/A,#N/A,FALSE,"Chart"}</definedName>
    <definedName name="GHG" hidden="1">{"sedan",#N/A,FALSE,"tpepsum4a";"wag",#N/A,FALSE,"tpepsum4a"}</definedName>
    <definedName name="GHGH" hidden="1">{"rates",#N/A,FALSE,"tavgcs#2";"rev",#N/A,FALSE,"tavgcs#2"}</definedName>
    <definedName name="ghgh_1" hidden="1">{#N/A,#N/A,FALSE,"Cover";#N/A,#N/A,FALSE,"VarCost Graph";#N/A,#N/A,FALSE,"VarCost Sum";#N/A,#N/A,FALSE,"Roadmap_Sum";#N/A,#N/A,FALSE,"VarCost";#N/A,#N/A,FALSE,"i-to-i, 06-01-98 [All_CMs]";#N/A,#N/A,FALSE,"VarCost I-2-I"}</definedName>
    <definedName name="ghhfdhg" hidden="1">{"Fcst II",#N/A,FALSE,"(1)-PROFIT SUM.";"Risk_Adj._Fcst.",#N/A,FALSE,"(2)-Risk Adj. Fcst.";"Fcst._to_Budget",#N/A,FALSE,"(3)-Fcst. to Bdgt.";"Yr._O_Yr",#N/A,FALSE,"(4)-Yr.-O-Yr."}</definedName>
    <definedName name="ghi" hidden="1">{"Presentation",#N/A,FALSE,"Feb96 - ALL"}</definedName>
    <definedName name="GHJHGJ" hidden="1">{"Revenue",#N/A,FALSE,"Series";"Ecprofit",#N/A,FALSE,"Series"}</definedName>
    <definedName name="ghjk" hidden="1">{#N/A,#N/A,FALSE,"UW152PPL"}</definedName>
    <definedName name="ghk" hidden="1">{#N/A,#N/A,FALSE,"Graphs_Retail (2)";#N/A,#N/A,FALSE,"Graphs_RCL (2)";#N/A,#N/A,FALSE,"Graphs_WHSL (2)"}</definedName>
    <definedName name="ghkghk" hidden="1">{#N/A,#N/A,FALSE,"Graphs_Retail";#N/A,#N/A,FALSE,"Physicals_Graphs"}</definedName>
    <definedName name="ghlk" hidden="1">{#N/A,#N/A,FALSE,"Title - E";#N/A,#N/A,FALSE,"Insert";#N/A,#N/A,FALSE,"Rpt-98-E PG_1";#N/A,#N/A,FALSE,"Rpt-98-E PG_2f";#N/A,#N/A,FALSE,"Rpt-98-E PG_2";#N/A,#N/A,FALSE,"Insert";#N/A,#N/A,FALSE,"Rpt-98-E PG_3 "}</definedName>
    <definedName name="ghn" hidden="1">{#N/A,#N/A,FALSE,"Profit Status";#N/A,#N/A,FALSE,"Invest";#N/A,#N/A,FALSE,"Revenue";#N/A,#N/A,FALSE,"Variable Cost";#N/A,#N/A,FALSE,"Options &amp; Series"}</definedName>
    <definedName name="GIFS_DATA">#REF!</definedName>
    <definedName name="GIFS_DATA_OLD">#REF!</definedName>
    <definedName name="GIG" hidden="1">{#N/A,#N/A,FALSE,"Sheet1"}</definedName>
    <definedName name="gii" hidden="1">{"'OBT_6M_30_6'!$S$1:$AE$53"}</definedName>
    <definedName name="gina" hidden="1">{#N/A,#N/A,FALSE,"Assumptions";#N/A,#N/A,FALSE,"Volumes";#N/A,#N/A,FALSE,"Pricing";#N/A,#N/A,FALSE,"Variable Cost";#N/A,#N/A,FALSE,"Investment";#N/A,#N/A,FALSE,"Profitability";#N/A,#N/A,FALSE,"Business Comparison"}</definedName>
    <definedName name="gj" hidden="1">{#N/A,#N/A,FALSE,"Chart";#N/A,#N/A,FALSE,"Overview";#N/A,#N/A,FALSE,"Overview_Acty";#N/A,#N/A,FALSE,"Inc97D";#N/A,#N/A,FALSE,"Rel_Inc97TD";#N/A,#N/A,FALSE,"Rel_Inc_97_NTD";#N/A,#N/A,FALSE,"Marketing";#N/A,#N/A,FALSE,"Pot_97"}</definedName>
    <definedName name="gja" hidden="1">{#N/A,#N/A,FALSE,"Assumptions";#N/A,#N/A,FALSE,"Volumes";#N/A,#N/A,FALSE,"Pricing";#N/A,#N/A,FALSE,"Variable Cost";#N/A,#N/A,FALSE,"Investment";#N/A,#N/A,FALSE,"Profitability";#N/A,#N/A,FALSE,"Business Comparison"}</definedName>
    <definedName name="gjiop" hidden="1">{#N/A,#N/A,FALSE,"GRAFIK";#N/A,#N/A,FALSE,"TOP30MEM"}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l" hidden="1">{"REVISED",#N/A,FALSE,"Sheet1"}</definedName>
    <definedName name="gl" hidden="1">{"Presentation",#N/A,FALSE,"Feb96 - ALL"}</definedName>
    <definedName name="GLACCT">#REF!</definedName>
    <definedName name="Glo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M">#REF!</definedName>
    <definedName name="GoAssetChart">#REF!</definedName>
    <definedName name="GoBack">#REF!</definedName>
    <definedName name="GoBalanceSheet">#REF!</definedName>
    <definedName name="GoCashFlow">#REF!</definedName>
    <definedName name="GoData">#REF!</definedName>
    <definedName name="GoDef">OFFSET(RefDef,0,Wk,10,1)</definedName>
    <definedName name="GoIncomeChart">#REF!</definedName>
    <definedName name="GoN">OFFSET(RefN,0,Wk,10,1)</definedName>
    <definedName name="goodness" hidden="1">{#N/A,#N/A,FALSE,"Cover Page";#N/A,#N/A,FALSE,"Facing Page";#N/A,#N/A,FALSE,"Main Page";#N/A,#N/A,FALSE,"Risk-Adjusted";#N/A,#N/A,FALSE,"Profit Improvement"}</definedName>
    <definedName name="GOP" hidden="1">{#N/A,#N/A,FALSE,"Sheet1"}</definedName>
    <definedName name="GOT" hidden="1">{#N/A,#N/A,FALSE,"Sheet1"}</definedName>
    <definedName name="gr" hidden="1">{#N/A,#N/A,FALSE,"TOP10";#N/A,#N/A,FALSE,"Cover";#N/A,#N/A,FALSE,"MOGRAPH"}</definedName>
    <definedName name="GRAPH" hidden="1">"Chart 2"</definedName>
    <definedName name="GRAPHDCM">#REF!</definedName>
    <definedName name="GRAPHDCT">#REF!</definedName>
    <definedName name="GRCASH_Q1">#N/A</definedName>
    <definedName name="GRCASH_Q2">#N/A</definedName>
    <definedName name="GRCASH_Q3">#N/A</definedName>
    <definedName name="GRCASH_Q4">#N/A</definedName>
    <definedName name="GreenBelts">#REF!</definedName>
    <definedName name="grefre" hidden="1">{"Presentation",#N/A,FALSE,"Feb96 - ALL"}</definedName>
    <definedName name="grerf" hidden="1">{"Fiesta Facer Page",#N/A,FALSE,"Q_C_S";"Fiesta Main Page",#N/A,FALSE,"V_L";"Fiesta 95BP Struct",#N/A,FALSE,"StructBP";"Fiesta Post 95BP Struct",#N/A,FALSE,"AdjStructBP"}</definedName>
    <definedName name="grf" hidden="1">{"Fiesta Facer Page",#N/A,FALSE,"Q_C_S";"Fiesta Main Page",#N/A,FALSE,"V_L";"Fiesta 95BP Struct",#N/A,FALSE,"StructBP";"Fiesta Post 95BP Struct",#N/A,FALSE,"AdjStructBP"}</definedName>
    <definedName name="grfg" hidden="1">{"COMPARISON",#N/A,FALSE,"Sheet1"}</definedName>
    <definedName name="GROOM">#REF!</definedName>
    <definedName name="GROUP">#REF!</definedName>
    <definedName name="GRP">#REF!</definedName>
    <definedName name="GrphActSales">#REF!</definedName>
    <definedName name="GrphActStk">#REF!</definedName>
    <definedName name="GrphPlanSales">#REF!</definedName>
    <definedName name="GrphTgtStk">#REF!</definedName>
    <definedName name="gsdgsgsg" hidden="1">{"Revenue",#N/A,FALSE,"Series";"Ecprofit",#N/A,FALSE,"Series"}</definedName>
    <definedName name="gsgsfd" hidden="1">{#N/A,#N/A,FALSE,"Chart";#N/A,#N/A,FALSE,"Chart"}</definedName>
    <definedName name="gt" hidden="1">{#N/A,#N/A,FALSE,"Chart";#N/A,#N/A,FALSE,"Overview";#N/A,#N/A,FALSE,"Overview_Acty";#N/A,#N/A,FALSE,"Inc97D";#N/A,#N/A,FALSE,"Rel_Inc97TD";#N/A,#N/A,FALSE,"Rel_Inc_97_NTD";#N/A,#N/A,FALSE,"Marketing";#N/A,#N/A,FALSE,"Pot_97"}</definedName>
    <definedName name="gtet" hidden="1">{#N/A,#N/A,FALSE,"Title - E";#N/A,#N/A,FALSE,"Insert";#N/A,#N/A,FALSE,"Rpt-98-E PG_1";#N/A,#N/A,FALSE,"Rpt-98-E PG_2f";#N/A,#N/A,FALSE,"Rpt-98-E PG_2";#N/A,#N/A,FALSE,"Insert";#N/A,#N/A,FALSE,"Rpt-98-E PG_3 "}</definedName>
    <definedName name="gthth" hidden="1">{"All Pages",#N/A,FALSE,"Plant 1 Exp";"All Pages",#N/A,FALSE,"Plant 2 Exp";"All Pages",#N/A,FALSE,"Plant 3 Exp";"All Pages",#N/A,FALSE,"Plant 4 Exp";"All Pages",#N/A,FALSE,"Total Vehicle"}</definedName>
    <definedName name="gty" hidden="1">{#N/A,#N/A,FALSE,"Assumptions";#N/A,#N/A,FALSE,"Volumes";#N/A,#N/A,FALSE,"Pricing";#N/A,#N/A,FALSE,"Variable Cost";#N/A,#N/A,FALSE,"Investment";#N/A,#N/A,FALSE,"Profitability";#N/A,#N/A,FALSE,"Business Comparison"}</definedName>
    <definedName name="gtyju" hidden="1">{#N/A,#N/A,FALSE,"Assumptions";#N/A,#N/A,FALSE,"Volumes";#N/A,#N/A,FALSE,"Pricing";#N/A,#N/A,FALSE,"Variable Cost";#N/A,#N/A,FALSE,"Investment";#N/A,#N/A,FALSE,"Profitability";#N/A,#N/A,FALSE,"Business Comparison"}</definedName>
    <definedName name="gvv" hidden="1">{"Revenue",#N/A,FALSE,"Series";"Ecprofit",#N/A,FALSE,"Series"}</definedName>
    <definedName name="gyjh" hidden="1">{"rates",#N/A,FALSE,"tavg4a";"rev",#N/A,FALSE,"tavg4a"}</definedName>
    <definedName name="gz" hidden="1">{#N/A,#N/A,FALSE,"TOP10";#N/A,#N/A,FALSE,"Cover";#N/A,#N/A,FALSE,"MOGRAPH"}</definedName>
    <definedName name="ｇらえあえｇｒ" hidden="1">{#N/A,"VB",FALSE,"output";#N/A,"VS",FALSE,"output";#N/A,"VC",FALSE,"output";#N/A,"VG",FALSE,"output";#N/A,"J1",FALSE,"output";#N/A,"PT",FALSE,"output"}</definedName>
    <definedName name="h" hidden="1">{#N/A,#N/A,FALSE,"TEST HOURS MONTHLY REPORT"}</definedName>
    <definedName name="H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135_SYA_9810">#REF!</definedName>
    <definedName name="haksh">#REF!</definedName>
    <definedName name="Halewood" hidden="1">{"Fiesta Facer Page",#N/A,FALSE,"Q_C_S";"Fiesta Main Page",#N/A,FALSE,"V_L";"Fiesta 95BP Struct",#N/A,FALSE,"StructBP";"Fiesta Post 95BP Struct",#N/A,FALSE,"AdjStructBP"}</definedName>
    <definedName name="has" hidden="1">{"REVISED",#N/A,FALSE,"Sheet1"}</definedName>
    <definedName name="hbv" hidden="1">{"Revenue",#N/A,FALSE,"Series";"Ecprofit",#N/A,FALSE,"Series"}</definedName>
    <definedName name="HD_Vinyl__40_20_40_Split_Bench">#REF!</definedName>
    <definedName name="Head_Amount">#REF!</definedName>
    <definedName name="Head_Company">#REF!</definedName>
    <definedName name="Head_Country">#REF!</definedName>
    <definedName name="Head_Period">#REF!</definedName>
    <definedName name="Head_Schedule_No">#REF!</definedName>
    <definedName name="Head_Title">#REF!</definedName>
    <definedName name="Head_Valid">#REF!</definedName>
    <definedName name="Head_Version">#REF!</definedName>
    <definedName name="headcount" hidden="1">{#N/A,#N/A,FALSE,"expense";#N/A,#N/A,FALSE,"heads"}</definedName>
    <definedName name="Headcount_SP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ader_Row">ROW(#REF!)</definedName>
    <definedName name="Header1">#REF!</definedName>
    <definedName name="heading">#N/A</definedName>
    <definedName name="Heatmap">"Heatmap"</definedName>
    <definedName name="Hello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elp" hidden="1">{#N/A,#N/A,FALSE,"Cover";#N/A,#N/A,FALSE,"Profits";#N/A,#N/A,FALSE,"ABS";#N/A,#N/A,FALSE,"TFLE Detail";#N/A,#N/A,FALSE,"TFLE Walk";#N/A,#N/A,FALSE,"Variable Cost";#N/A,#N/A,FALSE,"V.C. Walk"}</definedName>
    <definedName name="help1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y" hidden="1">{#N/A,#N/A,FALSE,"Chart";#N/A,#N/A,FALSE,"Overview";#N/A,#N/A,FALSE,"Overview_Acty";#N/A,#N/A,FALSE,"Inc97D";#N/A,#N/A,FALSE,"Rel_Inc97TD";#N/A,#N/A,FALSE,"Rel_Inc_97_NTD";#N/A,#N/A,FALSE,"Marketing";#N/A,#N/A,FALSE,"Pot_97"}</definedName>
    <definedName name="HER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ertz_Asia_Pacific">#REF!</definedName>
    <definedName name="hertz_cy">#REF!</definedName>
    <definedName name="hertz_py">#REF!</definedName>
    <definedName name="hfgh" hidden="1">{#N/A,#N/A,FALSE,"Assumptions";#N/A,#N/A,FALSE,"Volumes";#N/A,#N/A,FALSE,"Pricing";#N/A,#N/A,FALSE,"Variable Cost";#N/A,#N/A,FALSE,"Investment";#N/A,#N/A,FALSE,"Profitability";#N/A,#N/A,FALSE,"Business Comparison"}</definedName>
    <definedName name="hfjgj" hidden="1">{"avrev",#N/A,FALSE,"AVREV";"rates",#N/A,FALSE,"AVREV"}</definedName>
    <definedName name="hfk" hidden="1">{#N/A,#N/A,FALSE,"TOP10";#N/A,#N/A,FALSE,"Cover";#N/A,#N/A,FALSE,"MOGRAPH"}</definedName>
    <definedName name="hg" hidden="1">{#N/A,#N/A,FALSE,"Assumptions";#N/A,#N/A,FALSE,"Volumes";#N/A,#N/A,FALSE,"Pricing";#N/A,#N/A,FALSE,"Variable Cost";#N/A,#N/A,FALSE,"Investment";#N/A,#N/A,FALSE,"Profitability";#N/A,#N/A,FALSE,"Business Comparison"}</definedName>
    <definedName name="HGBLogCalcName">MID(CELL("filename"),FIND("[",CELL("filename"),1)+1,(FIND("]",CELL("filename"),1)-FIND("[",CELL("filename"),1)-1))</definedName>
    <definedName name="hgd" hidden="1">{"Revenue",#N/A,FALSE,"Series";"Ecprofit",#N/A,FALSE,"Series"}</definedName>
    <definedName name="hgfhd" hidden="1">{"Revenue",#N/A,FALSE,"Series";"Ecprofit",#N/A,FALSE,"Series"}</definedName>
    <definedName name="hgfkg" hidden="1">{#N/A,#N/A,FALSE,"Profit Status";#N/A,#N/A,FALSE,"Invest";#N/A,#N/A,FALSE,"Revenue";#N/A,#N/A,FALSE,"Variable Cost";#N/A,#N/A,FALSE,"Options &amp; Series"}</definedName>
    <definedName name="hgh" hidden="1">{#N/A,#N/A,FALSE,"Assumptions";#N/A,#N/A,FALSE,"Volumes";#N/A,#N/A,FALSE,"Pricing";#N/A,#N/A,FALSE,"Variable Cost";#N/A,#N/A,FALSE,"Investment";#N/A,#N/A,FALSE,"Profitability";#N/A,#N/A,FALSE,"Business Comparison"}</definedName>
    <definedName name="hghg" hidden="1">{"'Highlights'!$A$1:$M$123"}</definedName>
    <definedName name="hghg_1" hidden="1">{#N/A,#N/A,FALSE,"Back-Up Cover";#N/A,#N/A,FALSE,"CM1";#N/A,#N/A,FALSE,"CM3";#N/A,#N/A,FALSE,"CM4"}</definedName>
    <definedName name="hghgh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_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h" hidden="1">{#N/A,#N/A,FALSE,"Back-Up Cover";#N/A,#N/A,FALSE,"CM1";#N/A,#N/A,FALSE,"CM3";#N/A,#N/A,FALSE,"CM4"}</definedName>
    <definedName name="hghh_1" hidden="1">{#N/A,#N/A,FALSE,"Back-Up Cover";#N/A,#N/A,FALSE,"CM1";#N/A,#N/A,FALSE,"CM3";#N/A,#N/A,FALSE,"CM4"}</definedName>
    <definedName name="HGJ" hidden="1">{"Revenue",#N/A,FALSE,"Series";"Ecprofit",#N/A,FALSE,"Series"}</definedName>
    <definedName name="hgsgdhs" hidden="1">{#N/A,#N/A,FALSE,"Title - E";#N/A,#N/A,FALSE,"Insert";#N/A,#N/A,FALSE,"Rpt-98-E PG_1";#N/A,#N/A,FALSE,"Rpt-98-E PG_2f";#N/A,#N/A,FALSE,"Rpt-98-E PG_2";#N/A,#N/A,FALSE,"Insert";#N/A,#N/A,FALSE,"Rpt-98-E PG_3 "}</definedName>
    <definedName name="hgyt" hidden="1">#REF!</definedName>
    <definedName name="hh" hidden="1">{"'Highlights'!$A$1:$M$123"}</definedName>
    <definedName name="HH?GH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hhg" hidden="1">{#N/A,#N/A,TRUE,"GPH_OVERALL";#N/A,#N/A,TRUE,"GPH_SUPPLR";#N/A,#N/A,TRUE,"GPH_RTNS"}</definedName>
    <definedName name="hhh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HHH">#N/A</definedName>
    <definedName name="HHHHHHH" hidden="1">{"COMPARISON",#N/A,FALSE,"Sheet1"}</definedName>
    <definedName name="hi" hidden="1">{#N/A,#N/A,FALSE,"TOP10";#N/A,#N/A,FALSE,"Cover";#N/A,#N/A,FALSE,"MOGRAPH"}</definedName>
    <definedName name="HiddenRows" hidden="1">#REF!</definedName>
    <definedName name="high" hidden="1">{0,#N/A,FALSE,0;0,#N/A,FALSE,0}</definedName>
    <definedName name="hij" hidden="1">{"sedan",#N/A,FALSE,"spepalt";"wgs",#N/A,FALSE,"spepalt"}</definedName>
    <definedName name="HINO">#N/A</definedName>
    <definedName name="HIP" hidden="1">{#N/A,#N/A,FALSE,"Sheet1"}</definedName>
    <definedName name="Histogram">"Histogram"</definedName>
    <definedName name="histoqtr" hidden="1">{#N/A,#N/A,FALSE,"Sheet1";#N/A,#N/A,FALSE,"Sheet1"}</definedName>
    <definedName name="hitech" hidden="1">#REF!</definedName>
    <definedName name="HJ" hidden="1">{"avrev",#N/A,FALSE,"AVREV";"rates",#N/A,FALSE,"AVREV"}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HJ">#N/A</definedName>
    <definedName name="hjjd">#REF!</definedName>
    <definedName name="ｈｊｋｈｊｋ">#N/A</definedName>
    <definedName name="ｈｊｋｈｋｈｊ">#N/A</definedName>
    <definedName name="ｈｊｋｈｋｈｊｋ">#N/A</definedName>
    <definedName name="hjklhj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lk" hidden="1">{#N/A,#N/A,FALSE,"Graphs_Retail_US";#N/A,#N/A,FALSE,"Graphs_RCL_US";#N/A,#N/A,FALSE,"Graphs_WSHL_US";#N/A,#N/A,FALSE,"Graphs_ComLend_US";#N/A,#N/A,FALSE,"Graphs_Intra_US"}</definedName>
    <definedName name="hjlkhjlk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hjnyytj" hidden="1">{#N/A,#N/A,FALSE,"Chart";#N/A,#N/A,FALSE,"Overview";#N/A,#N/A,FALSE,"Overview_Acty";#N/A,#N/A,FALSE,"Inc97D";#N/A,#N/A,FALSE,"Rel_Inc97TD";#N/A,#N/A,FALSE,"Rel_Inc_97_NTD";#N/A,#N/A,FALSE,"Marketing";#N/A,#N/A,FALSE,"Pot_97"}</definedName>
    <definedName name="ｈｋ">#N/A</definedName>
    <definedName name="HKH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ｈｋｈｊｋ">#N/A</definedName>
    <definedName name="ｈｋｈｊｋｈｊ">#N/A</definedName>
    <definedName name="ｈｋｈｊｋｈｊｋ">#N/A</definedName>
    <definedName name="ｈｋｈｊｋｈｋ">#N/A</definedName>
    <definedName name="ｈｋｈｊｋｈｋｈｊ">#N/A</definedName>
    <definedName name="ｈｋｈｋｈｊｋ">#N/A</definedName>
    <definedName name="hla" hidden="1">{#N/A,#N/A,FALSE,"Assumptions";#N/A,#N/A,FALSE,"Volumes";#N/A,#N/A,FALSE,"Pricing";#N/A,#N/A,FALSE,"Variable Cost";#N/A,#N/A,FALSE,"Investment";#N/A,#N/A,FALSE,"Profitability";#N/A,#N/A,FALSE,"Business Comparison"}</definedName>
    <definedName name="HNKG" hidden="1">{"All Pages",#N/A,FALSE,"Plant 1 Exp";"All Pages",#N/A,FALSE,"Plant 2 Exp";"All Pages",#N/A,FALSE,"Plant 3 Exp";"All Pages",#N/A,FALSE,"Plant 4 Exp";"All Pages",#N/A,FALSE,"Total Vehicle"}</definedName>
    <definedName name="HOL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I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B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idays">OFFSET(#REF!,1,0,COUNTA(#REF!),1)</definedName>
    <definedName name="holycrap" hidden="1">{#N/A,#N/A,FALSE,"Graphs_Retail (2)";#N/A,#N/A,FALSE,"Graphs_RCL (2)";#N/A,#N/A,FALSE,"Graphs_WHSL (2)"}</definedName>
    <definedName name="HomeSheet">#REF!</definedName>
    <definedName name="homologationaffected">OFFSET(#REF!,0,0,COUNTA(#REF!),1)</definedName>
    <definedName name="Hook">#REF!</definedName>
    <definedName name="HOP" hidden="1">{#N/A,#N/A,FALSE,"Sheet1"}</definedName>
    <definedName name="hOU" localSheetId="5">Scheduled_Payment+Extra_Payment</definedName>
    <definedName name="hOU" localSheetId="8">Scheduled_Payment+Extra_Payment</definedName>
    <definedName name="hOU" localSheetId="6">Scheduled_Payment+Extra_Payment</definedName>
    <definedName name="hOU" localSheetId="13">Scheduled_Payment+Extra_Payment</definedName>
    <definedName name="hOU" localSheetId="14">Scheduled_Payment+Extra_Payment</definedName>
    <definedName name="hOU" localSheetId="12">Scheduled_Payment+Extra_Payment</definedName>
    <definedName name="hOU" localSheetId="4">Scheduled_Payment+Extra_Payment</definedName>
    <definedName name="hOU" localSheetId="10">Scheduled_Payment+Extra_Payment</definedName>
    <definedName name="hOU" localSheetId="9">Scheduled_Payment+Extra_Payment</definedName>
    <definedName name="hOU">Scheduled_Payment+Extra_Payment</definedName>
    <definedName name="hous">IF(Loan_Amount*Interest_Rate*Loan_Years*Loan_Start&gt;0,1,0)</definedName>
    <definedName name="hp">#REF!</definedName>
    <definedName name="hr">#REF!</definedName>
    <definedName name="hrjt" hidden="1">{#N/A,#N/A,FALSE,"Chart";#N/A,#N/A,FALSE,"Overview";#N/A,#N/A,FALSE,"Overview_Acty";#N/A,#N/A,FALSE,"Inc97D";#N/A,#N/A,FALSE,"Rel_Inc97TD";#N/A,#N/A,FALSE,"Rel_Inc_97_NTD";#N/A,#N/A,FALSE,"Marketing";#N/A,#N/A,FALSE,"Pot_97"}</definedName>
    <definedName name="hrwth" hidden="1">#N/A</definedName>
    <definedName name="HSBC1Y">SUM(#REF!)</definedName>
    <definedName name="HSBC2Y">SUM(#REF!)</definedName>
    <definedName name="HSBC3Y">SUM(#REF!)</definedName>
    <definedName name="HSBCDCT">#REF!</definedName>
    <definedName name="HSBCMT">#REF!</definedName>
    <definedName name="HSBCST">SUM(#REF!)</definedName>
    <definedName name="HSCB">#REF!</definedName>
    <definedName name="ht">#REF!</definedName>
    <definedName name="HTML_CodePage" hidden="1">932</definedName>
    <definedName name="HTML_Control" hidden="1">{"'和文'!$Q$45:$AP$71"}</definedName>
    <definedName name="HTML_Control_SharedTech" hidden="1">{"'??'!$Q$45:$AP$71"}</definedName>
    <definedName name="HTML_Control_ST" hidden="1">{"'??'!$Q$45:$AP$71"}</definedName>
    <definedName name="HTML_Description" hidden="1">""</definedName>
    <definedName name="HTML_Email" hidden="1">""</definedName>
    <definedName name="HTML_Header" hidden="1">"和文"</definedName>
    <definedName name="HTML_LastUpdate" hidden="1">"00/06/01"</definedName>
    <definedName name="HTML_LineAfter" hidden="1">FALSE</definedName>
    <definedName name="HTML_LineBefore" hidden="1">FALSE</definedName>
    <definedName name="HTML_Name" hidden="1">"ＭＡＺＤＡ"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"E:\f5.ﾌﾟﾛｾｽｼｰﾄ作成\Web Trial\TOP Page.htm"</definedName>
    <definedName name="HTML_PathTemplate" hidden="1">"D:\Intranet\Titolo_Stock_Anziano_mensile.htm"</definedName>
    <definedName name="HTML_Title" hidden="1">"V1 Map(Test Version)"</definedName>
    <definedName name="HTML1_1" hidden="1">"[pmt1ppl.xls]Sheet1!$B$1:$O$217"</definedName>
    <definedName name="HTML1_10" hidden="1">"estratte@tre011.ve.ford.com"</definedName>
    <definedName name="HTML1_11" hidden="1">-4146</definedName>
    <definedName name="HTML1_12" hidden="1">"H:\www\pmt1ppl.html"</definedName>
    <definedName name="HTML1_2" hidden="1">1</definedName>
    <definedName name="HTML1_3" hidden="1">"U152 PMT#1 PPL"</definedName>
    <definedName name="HTML1_4" hidden="1">"U152 Front End &amp; Underbody"</definedName>
    <definedName name="HTML1_5" hidden="1">""</definedName>
    <definedName name="HTML1_6" hidden="1">1</definedName>
    <definedName name="HTML1_7" hidden="1">1</definedName>
    <definedName name="HTML1_8" hidden="1">"8/2/96"</definedName>
    <definedName name="HTML1_9" hidden="1">"Eric Stratten"</definedName>
    <definedName name="HTML2_1" hidden="1">"[pmt1ppl.xls]Sheet1!$B$1:$F$217,$J$1:$J$217,$O$1:$O$217"</definedName>
    <definedName name="HTML2_10" hidden="1">"estratte@tre011.ve.ford.com"</definedName>
    <definedName name="HTML2_11" hidden="1">-4146</definedName>
    <definedName name="HTML2_12" hidden="1">"H:\www\pmt1ppl.html"</definedName>
    <definedName name="HTML2_2" hidden="1">1</definedName>
    <definedName name="HTML2_3" hidden="1">"U152 PMT#1 PPL"</definedName>
    <definedName name="HTML2_4" hidden="1">"U152 Front End &amp; Underbody"</definedName>
    <definedName name="HTML2_5" hidden="1">""</definedName>
    <definedName name="HTML2_6" hidden="1">1</definedName>
    <definedName name="HTML2_7" hidden="1">1</definedName>
    <definedName name="HTML2_8" hidden="1">"8/2/96"</definedName>
    <definedName name="HTML2_9" hidden="1">"Eric Stratten"</definedName>
    <definedName name="HTML3_1" hidden="1">"[pmt1ppl.xls]Sheet1!$A$1:$O$215"</definedName>
    <definedName name="HTML3_10" hidden="1">"estratte@tre011.ve.ford.com"</definedName>
    <definedName name="HTML3_11" hidden="1">-4146</definedName>
    <definedName name="HTML3_12" hidden="1">"H:\www\pmt1ppl.html"</definedName>
    <definedName name="HTML3_2" hidden="1">1</definedName>
    <definedName name="HTML3_3" hidden="1">"U152 PMT#1 PPL"</definedName>
    <definedName name="HTML3_4" hidden="1">"PMT#1 Program Parts List"</definedName>
    <definedName name="HTML3_5" hidden="1">""</definedName>
    <definedName name="HTML3_6" hidden="1">1</definedName>
    <definedName name="HTML3_7" hidden="1">1</definedName>
    <definedName name="HTML3_8" hidden="1">"8/26/96"</definedName>
    <definedName name="HTML3_9" hidden="1">"Eric Stratten"</definedName>
    <definedName name="HTMLCount" hidden="1">3</definedName>
    <definedName name="HTTIMV27_DAT">#REF!</definedName>
    <definedName name="huhh">#N/A</definedName>
    <definedName name="huu">#REF!</definedName>
    <definedName name="hy" hidden="1">{"Fiesta Facer Page",#N/A,FALSE,"Q_C_S";"Fiesta Main Page",#N/A,FALSE,"V_L";"Fiesta 95BP Struct",#N/A,FALSE,"StructBP";"Fiesta Post 95BP Struct",#N/A,FALSE,"AdjStructBP"}</definedName>
    <definedName name="hyg" hidden="1">{"2001-02 Summary",#N/A,TRUE,"Summary";"2001-06 Summary",#N/A,TRUE,"Summary"}</definedName>
    <definedName name="hz" hidden="1">{#N/A,#N/A,FALSE,"TOP10";#N/A,#N/A,FALSE,"Cover";#N/A,#N/A,FALSE,"MOGRAPH"}</definedName>
    <definedName name="hzghhjk" hidden="1">{"REVISED",#N/A,FALSE,"Sheet1"}</definedName>
    <definedName name="i" hidden="1">{#N/A,#N/A,FALSE,"TEST HOURS MONTHLY REPORT"}</definedName>
    <definedName name="I060k" hidden="1">#REF!</definedName>
    <definedName name="IA">#REF!</definedName>
    <definedName name="IAClaim">#REF!</definedName>
    <definedName name="ib" hidden="1">{"'Verr-enseig-ex'!$M$22:$M$23"}</definedName>
    <definedName name="ic" hidden="1">{"'Verr-enseig-ex'!$M$22:$M$23"}</definedName>
    <definedName name="IDRATE">#REF!</definedName>
    <definedName name="IELWSALES">#REF!</definedName>
    <definedName name="IELYSALES">#REF!</definedName>
    <definedName name="IEPLANSALES">#REF!</definedName>
    <definedName name="IESP">#REF!</definedName>
    <definedName name="ieyra">#REF!</definedName>
    <definedName name="IFERROR">#NAME?</definedName>
    <definedName name="IFNA">#NAME?</definedName>
    <definedName name="ignore">#REF!</definedName>
    <definedName name="ii" hidden="1">{"Fiesta Facer Page",#N/A,FALSE,"Q_C_S";"Fiesta Main Page",#N/A,FALSE,"V_L";"Fiesta 95BP Struct",#N/A,FALSE,"StructBP";"Fiesta Post 95BP Struct",#N/A,FALSE,"AdjStructBP"}</definedName>
    <definedName name="iii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i" hidden="1">{#N/A,#N/A,FALSE,"Cover";#N/A,#N/A,FALSE,"Profits";#N/A,#N/A,FALSE,"ABS";#N/A,#N/A,FALSE,"TFLE Detail";#N/A,#N/A,FALSE,"TFLE Walk";#N/A,#N/A,FALSE,"Variable Cost";#N/A,#N/A,FALSE,"V.C. Walk"}</definedName>
    <definedName name="iiiiiiiiiiiiiii" hidden="1">{#N/A,#N/A,FALSE,"TOP10";#N/A,#N/A,FALSE,"Cover";#N/A,#N/A,FALSE,"MOGRAPH"}</definedName>
    <definedName name="iiiiiiiiiiiiiiiiiiiiiiiii" hidden="1">{#N/A,#N/A,FALSE,"TOP10";#N/A,#N/A,FALSE,"Cover";#N/A,#N/A,FALSE,"MOGRAPH"}</definedName>
    <definedName name="iio" hidden="1">{"Presentation",#N/A,FALSE,"Feb96 - ALL"}</definedName>
    <definedName name="ij" hidden="1">{#N/A,#N/A,FALSE,"BackUp";#N/A,#N/A,FALSE,"FOps-Cal";#N/A,#N/A,FALSE,"COps-Cal";#N/A,#N/A,FALSE,"GPM-Cal";#N/A,#N/A,FALSE,"ITO-Cal";#N/A,#N/A,FALSE,"ITO (2)"}</definedName>
    <definedName name="ijh" hidden="1">{"avrev",#N/A,FALSE,"AVREV";"rates",#N/A,FALSE,"AVREV"}</definedName>
    <definedName name="ijjhn" hidden="1">{"Revenue",#N/A,FALSE,"Series";"Ecprofit",#N/A,FALSE,"Series"}</definedName>
    <definedName name="ik" hidden="1">{"'Highlights'!$A$1:$M$123"}</definedName>
    <definedName name="il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IN">#REF!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DEX">#REF!</definedName>
    <definedName name="innehåll">#REF!</definedName>
    <definedName name="Input">OFFSET(_Ref1,0,Wk,29,1)</definedName>
    <definedName name="Input_Range_BrokenDates">#REF!</definedName>
    <definedName name="Input_Range_Forwards">#REF!</definedName>
    <definedName name="Input_Range_Swaps">#REF!</definedName>
    <definedName name="Input_Source_BrokenDates">#REF!</definedName>
    <definedName name="Input_Source_Forwards">#REF!</definedName>
    <definedName name="INPUT1">#REF!</definedName>
    <definedName name="INPUT2">#REF!</definedName>
    <definedName name="INPUT3">#REF!</definedName>
    <definedName name="INPUT4">#REF!</definedName>
    <definedName name="INPUTGRID">#REF!</definedName>
    <definedName name="Inquirytype">#REF!</definedName>
    <definedName name="InsertCASum">#REF!</definedName>
    <definedName name="Insp_Date">#REF!</definedName>
    <definedName name="Insurance">#REF!</definedName>
    <definedName name="Int">#REF!</definedName>
    <definedName name="Inter">#REF!</definedName>
    <definedName name="INTER_CO">#N/A</definedName>
    <definedName name="INTER_CO_INTEREST">#REF!</definedName>
    <definedName name="Interest_Rate">#REF!</definedName>
    <definedName name="iNTERIOR">#REF!</definedName>
    <definedName name="InteriorColor">INDIRECT(#REF!)</definedName>
    <definedName name="IntFreeCred">#REF!</definedName>
    <definedName name="IntroPrintArea" hidden="1">#REF!</definedName>
    <definedName name="InventoryAnalysis">#REF!</definedName>
    <definedName name="Inves1" hidden="1">{#N/A,#N/A,FALSE,"Cover";#N/A,#N/A,FALSE,"Profits";#N/A,#N/A,FALSE,"ABS";#N/A,#N/A,FALSE,"TFLE Detail";#N/A,#N/A,FALSE,"TFLE Walk";#N/A,#N/A,FALSE,"Variable Cost";#N/A,#N/A,FALSE,"V.C. Walk"}</definedName>
    <definedName name="inves11" hidden="1">{#N/A,#N/A,FALSE,"Cover";#N/A,#N/A,FALSE,"Profits";#N/A,#N/A,FALSE,"ABS";#N/A,#N/A,FALSE,"TFLE Detail";#N/A,#N/A,FALSE,"TFLE Walk";#N/A,#N/A,FALSE,"Variable Cost";#N/A,#N/A,FALSE,"V.C. Walk"}</definedName>
    <definedName name="Inves1a" hidden="1">{#N/A,#N/A,FALSE,"Cover";#N/A,#N/A,FALSE,"Profits";#N/A,#N/A,FALSE,"ABS";#N/A,#N/A,FALSE,"TFLE Detail";#N/A,#N/A,FALSE,"TFLE Walk";#N/A,#N/A,FALSE,"Variable Cost";#N/A,#N/A,FALSE,"V.C. Walk"}</definedName>
    <definedName name="invest">#REF!</definedName>
    <definedName name="investment" hidden="1">{#N/A,#N/A,FALSE,"Profit Status";#N/A,#N/A,FALSE,"Invest";#N/A,#N/A,FALSE,"Revenue";#N/A,#N/A,FALSE,"Variable Cost";#N/A,#N/A,FALSE,"Options &amp; Series"}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o" hidden="1">#REF!</definedName>
    <definedName name="ioc">#REF!</definedName>
    <definedName name="ioio" hidden="1">{"avrev",#N/A,FALSE,"AVREV";"rates",#N/A,FALSE,"AVREV"}</definedName>
    <definedName name="IPISTOCK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RINT_GENKA">#N/A</definedName>
    <definedName name="IPRINT_KOUSUU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ROK_COMMISSION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>"c6796"</definedName>
    <definedName name="IQ_CAL_Q_EST_REUT">"c6800"</definedName>
    <definedName name="IQ_CAL_Y" hidden="1">"c102"</definedName>
    <definedName name="IQ_CAL_Y_EST">"c6797"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>"c4154"</definedName>
    <definedName name="IQ_CASH_IN_PROCESS_FDIC" hidden="1">"c6386"</definedName>
    <definedName name="IQ_CASH_INTEREST" hidden="1">"c120"</definedName>
    <definedName name="IQ_CASH_INTEREST_FINAN">"c6295"</definedName>
    <definedName name="IQ_CASH_INTEREST_INVEST">"c6294"</definedName>
    <definedName name="IQ_CASH_INTEREST_NET" hidden="1">"c12753"</definedName>
    <definedName name="IQ_CASH_INTEREST_OPER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>"c4164"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>"c6292"</definedName>
    <definedName name="IQ_CASH_TAXES_INVEST">"c6291"</definedName>
    <definedName name="IQ_CASH_TAXES_OPER">"c6290"</definedName>
    <definedName name="IQ_CCE_FDIC" hidden="1">"c6296"</definedName>
    <definedName name="IQ_CDS_5YR_CIQID" hidden="1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>"c3592"</definedName>
    <definedName name="IQ_CHANGE_NET_WORKING_CAPITAL" hidden="1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>"c3513"</definedName>
    <definedName name="IQ_COMPANY_NAME" hidden="1">"c215"</definedName>
    <definedName name="IQ_COMPANY_NAME_LONG" hidden="1">"c1585"</definedName>
    <definedName name="IQ_COMPANY_NOTE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 hidden="1">"c2536"</definedName>
    <definedName name="IQ_CONVERT_PCT" hidden="1">"c2537"</definedName>
    <definedName name="IQ_CONVEXITY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BENCHMARK">"c6780"</definedName>
    <definedName name="IQ_CURRENT_BENCHMARK_CIQID">"c6781"</definedName>
    <definedName name="IQ_CURRENT_BENCHMARK_MATURITY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EQ_INC">"c3498"</definedName>
    <definedName name="IQ_EBIT_EQ_INC_EXCL_SBC">"c3502"</definedName>
    <definedName name="IQ_EBIT_EXCL_SBC">"c3082"</definedName>
    <definedName name="IQ_EBIT_GW_ACT_OR_EST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>"c4316"</definedName>
    <definedName name="IQ_EBIT_SBC_GW_ACT_OR_EST">"c4320"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>"c3497"</definedName>
    <definedName name="IQ_EBITA_EQ_INC_EXCL_SBC">"c3501"</definedName>
    <definedName name="IQ_EBITA_EXCL_SBC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>"c3496"</definedName>
    <definedName name="IQ_EBITDA_EQ_INC_EXCL_SBC">"c3500"</definedName>
    <definedName name="IQ_EBITDA_EST">"c369"</definedName>
    <definedName name="IQ_EBITDA_EST_REUT">"c3640"</definedName>
    <definedName name="IQ_EBITDA_EXCL_SBC">"c3081"</definedName>
    <definedName name="IQ_EBITDA_HIGH_EST">"c370"</definedName>
    <definedName name="IQ_EBITDA_HIGH_EST_REUT">"c3642"</definedName>
    <definedName name="IQ_EBITDA_INT" hidden="1">"c373"</definedName>
    <definedName name="IQ_EBITDA_LOW_EST">"c371"</definedName>
    <definedName name="IQ_EBITDA_LOW_EST_REUT">"c3643"</definedName>
    <definedName name="IQ_EBITDA_MARGIN" hidden="1">"c372"</definedName>
    <definedName name="IQ_EBITDA_MEDIAN_EST">"c1663"</definedName>
    <definedName name="IQ_EBITDA_MEDIAN_EST_REUT">"c3641"</definedName>
    <definedName name="IQ_EBITDA_NUM_EST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>"c375"</definedName>
    <definedName name="IQ_EBITDA_STDDEV_EST_REUT">"c3645"</definedName>
    <definedName name="IQ_EBITDAR" hidden="1">"c2989"</definedName>
    <definedName name="IQ_EBITDAR_EQ_INC">"c3499"</definedName>
    <definedName name="IQ_EBITDAR_EQ_INC_EXCL_SBC">"c3503"</definedName>
    <definedName name="IQ_EBITDAR_EXCL_SBC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P" hidden="1">"c8880"</definedName>
    <definedName name="IQ_EPS_AP_ABS" hidden="1">"c8899"</definedName>
    <definedName name="IQ_EPS_EST" hidden="1">"c399"</definedName>
    <definedName name="IQ_EPS_EST_REUT">"c5453"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EPS_GROWTH_1YR" hidden="1">"c1636"</definedName>
    <definedName name="IQ_EST_EPS_GROWTH_1YR_REUT">"c3646"</definedName>
    <definedName name="IQ_EST_EPS_GROWTH_5YR" hidden="1">"c1655"</definedName>
    <definedName name="IQ_EST_EPS_GROWTH_5YR_REUT">"c3633"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VENDOR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>"c4435"</definedName>
    <definedName name="IQ_FFO_PAYOUT_RATIO">"c3492"</definedName>
    <definedName name="IQ_FFO_PER_SHARE_BASIC" hidden="1">"c8867"</definedName>
    <definedName name="IQ_FFO_PER_SHARE_DILUTED" hidden="1">"c8868"</definedName>
    <definedName name="IQ_FFO_SHARE_ACT_OR_EST">"c4446"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>"c6289"</definedName>
    <definedName name="IQ_FIN_DIV_DEBT_CURRENT" hidden="1">"c429"</definedName>
    <definedName name="IQ_FIN_DIV_DEBT_LT" hidden="1">"c430"</definedName>
    <definedName name="IQ_FIN_DIV_DEBT_TOTAL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REV" hidden="1">"c437"</definedName>
    <definedName name="IQ_FIN_DIV_ST_DEBT_TOTAL">"c5527"</definedName>
    <definedName name="IQ_FIN_DIV_ST_INVEST">"c6288"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>"c6794"</definedName>
    <definedName name="IQ_FISCAL_Q_EST_REUT">"c6798"</definedName>
    <definedName name="IQ_FISCAL_Y" hidden="1">"c441"</definedName>
    <definedName name="IQ_FISCAL_Y_EST">"c6795"</definedName>
    <definedName name="IQ_FISCAL_Y_EST_REUT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>"c6789"</definedName>
    <definedName name="IQ_GAAP_CF">"c6790"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 hidden="1">"c9982"</definedName>
    <definedName name="IQ_HC_ASO_MEMBERSHIP" hidden="1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 hidden="1">"c9978"</definedName>
    <definedName name="IQ_HC_CLAIMS_RESERVES" hidden="1">"c9989"</definedName>
    <definedName name="IQ_HC_DAYS_REV_OUT">"c5993"</definedName>
    <definedName name="IQ_HC_DISCHARGES" hidden="1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 hidden="1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 hidden="1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 hidden="1">"c9979"</definedName>
    <definedName name="IQ_HC_REV_PER_DISCHARGE" hidden="1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 hidden="1">"c9981"</definedName>
    <definedName name="IQ_HC_RISK_MEMBERSHIP" hidden="1">"c9984"</definedName>
    <definedName name="IQ_HC_SALARIES_PCT_REV">"c5970"</definedName>
    <definedName name="IQ_HC_SGA_MARGIN" hidden="1">"c9988"</definedName>
    <definedName name="IQ_HC_SUPPLIES_PCT_REV">"c5971"</definedName>
    <definedName name="IQ_HC_TOTAL_COVERED_LIVES" hidden="1">"c9983"</definedName>
    <definedName name="IQ_HC_TOTAL_MEMBERSHIP" hidden="1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>"c3601"</definedName>
    <definedName name="IQ_INDUSTRY_GROUP">"c3602"</definedName>
    <definedName name="IQ_INDUSTRY_SECTOR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D_GUARANTEED_US_FDIC" hidden="1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>"c2493"</definedName>
    <definedName name="IQ_MAKE_WHOLE_SPREAD">"c2494"</definedName>
    <definedName name="IQ_MAKE_WHOLE_START_DATE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>"c742"</definedName>
    <definedName name="IQ_MKTCAP_TOTAL_REV_FWD_REUT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41380.1499305556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>"c3493"</definedName>
    <definedName name="IQ_NET_WRITTEN" hidden="1">"c2728"</definedName>
    <definedName name="IQ_NEW_PREM" hidden="1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SBC_ACT_OR_EST">"c4474"</definedName>
    <definedName name="IQ_NI_SBC_GW_ACT_OR_EST">"c4478"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T_DATE_SCHEDULE">"c2483"</definedName>
    <definedName name="IQ_PUT_NOTIFICATION">"c2485"</definedName>
    <definedName name="IQ_PUT_PRICE_SCHEDULE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>"c1124"</definedName>
    <definedName name="IQ_REV_STDDEV_EST_REUT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EST">"c1126"</definedName>
    <definedName name="IQ_REVENUE_EST_REUT">"c3634"</definedName>
    <definedName name="IQ_REVENUE_HIGH_EST">"c1127"</definedName>
    <definedName name="IQ_REVENUE_HIGH_EST_REUT">"c3636"</definedName>
    <definedName name="IQ_REVENUE_LOW_EST">"c1128"</definedName>
    <definedName name="IQ_REVENUE_LOW_EST_REUT">"c3637"</definedName>
    <definedName name="IQ_REVENUE_MEDIAN_EST">"c1662"</definedName>
    <definedName name="IQ_REVENUE_MEDIAN_EST_REUT">"c3635"</definedName>
    <definedName name="IQ_REVENUE_NUM_EST">"c1129"</definedName>
    <definedName name="IQ_REVENUE_NUM_EST_REUT">"c3638"</definedName>
    <definedName name="IQ_REVISION_DATE_" hidden="1">39113.4951041667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>"c2637"</definedName>
    <definedName name="IQ_SP_BANK_ACTION">"c2636"</definedName>
    <definedName name="IQ_SP_BANK_DATE">"c2635"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>"c3512"</definedName>
    <definedName name="IQ_STOCK_BASED_COMP_PRETAX">"c3510"</definedName>
    <definedName name="IQ_STOCK_BASED_COMP_TAX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>"c1228"</definedName>
    <definedName name="IQ_TEV_TOTAL_REV_FWD_REUT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>"c3611"</definedName>
    <definedName name="IQ_TR_ACQ_EBITDA" hidden="1">"c2381"</definedName>
    <definedName name="IQ_TR_ACQ_EBITDA_EQ_INC">"c3610"</definedName>
    <definedName name="IQ_TR_ACQ_FILING_CURRENCY" hidden="1">"c3033"</definedName>
    <definedName name="IQ_TR_ACQ_FILINGDATE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>"c3609"</definedName>
    <definedName name="IQ_TR_TARGET_EBITDA" hidden="1">"c2334"</definedName>
    <definedName name="IQ_TR_TARGET_EBITDA_EQ_INC">"c3608"</definedName>
    <definedName name="IQ_TR_TARGET_FILING_CURRENCY" hidden="1">"c3034"</definedName>
    <definedName name="IQ_TR_TARGET_FILINGDATE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>"c3037"</definedName>
    <definedName name="IQ_ULT_PARENT_CIQID">"c3039"</definedName>
    <definedName name="IQ_ULT_PARENT_TICKER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namesrvdate" hidden="1">40956.7215162037</definedName>
    <definedName name="IRELAND">#REF!</definedName>
    <definedName name="Ireland__ECU">#REF!</definedName>
    <definedName name="is" hidden="1">{"rev",#N/A,FALSE,"ppepsum";"vcost",#N/A,FALSE,"ppepsum";"ecprof",#N/A,FALSE,"ppepsum"}</definedName>
    <definedName name="ISPK1ACCOUNT">#REF!</definedName>
    <definedName name="ISPK1CATEGORY">#REF!</definedName>
    <definedName name="ISR_No.">#REF!</definedName>
    <definedName name="ISSUE_DESC">#REF!</definedName>
    <definedName name="issues" hidden="1">{"Revenue",#N/A,FALSE,"Series";"Ecprofit",#N/A,FALSE,"Series"}</definedName>
    <definedName name="Italy">#REF!</definedName>
    <definedName name="ITALY_">#REF!</definedName>
    <definedName name="ITEM">IF(#REF!&lt;&gt;""," ","ITEM")</definedName>
    <definedName name="iu" hidden="1">{#N/A,#N/A,FALSE,"Cover";#N/A,#N/A,FALSE,"Profits";#N/A,#N/A,FALSE,"ABS";#N/A,#N/A,FALSE,"TFLE Detail";#N/A,#N/A,FALSE,"TFLE Walk";#N/A,#N/A,FALSE,"Variable Cost";#N/A,#N/A,FALSE,"V.C. Walk"}</definedName>
    <definedName name="iveco" hidden="1">{#N/A,#N/A,FALSE,"Assumptions";#N/A,#N/A,FALSE,"Volumes";#N/A,#N/A,FALSE,"Pricing";#N/A,#N/A,FALSE,"Variable Cost";#N/A,#N/A,FALSE,"Investment";#N/A,#N/A,FALSE,"Profitability";#N/A,#N/A,FALSE,"Business Comparison"}</definedName>
    <definedName name="iya">#REF!</definedName>
    <definedName name="iyuyi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" hidden="1">{#N/A,#N/A,FALSE,"Cover";#N/A,#N/A,FALSE,"Profits";#N/A,#N/A,FALSE,"ABS";#N/A,#N/A,FALSE,"TFLE Detail";#N/A,#N/A,FALSE,"TFLE Walk";#N/A,#N/A,FALSE,"Variable Cost";#N/A,#N/A,FALSE,"V.C. Walk"}</definedName>
    <definedName name="J_2000">#REF!</definedName>
    <definedName name="J_2001">#REF!</definedName>
    <definedName name="J_2002">#REF!</definedName>
    <definedName name="J_2003">#REF!</definedName>
    <definedName name="J1_TO_QTRS">#REF!</definedName>
    <definedName name="jack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hidden="1">{"forecast",#N/A,FALSE,"PL";"FCST YTD",#N/A,FALSE,"PL";"new bud adj",#N/A,FALSE,"PL";"new budget",#N/A,FALSE,"PL";"qtr",#N/A,FALSE,"PL";"bal sheet",#N/A,FALSE,"MONTHLY BALANCE SHEET";"fcst w head depre cap",#N/A,FALSE,"PL"}</definedName>
    <definedName name="jagapoapbt">#REF!</definedName>
    <definedName name="jagapoastat">#REF!</definedName>
    <definedName name="jageurpbt">#REF!</definedName>
    <definedName name="jageurstat">#REF!</definedName>
    <definedName name="jagnapbt">#REF!</definedName>
    <definedName name="jagnastat">#REF!</definedName>
    <definedName name="jagpfxsawwl">#REF!</definedName>
    <definedName name="jagpfxsawwlstat">#REF!</definedName>
    <definedName name="Jan">#REF!</definedName>
    <definedName name="janeiro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pan">#REF!</definedName>
    <definedName name="japanapoapbt">#REF!</definedName>
    <definedName name="japanapoastat">#REF!</definedName>
    <definedName name="japannapbt">#REF!</definedName>
    <definedName name="japannastat">#REF!</definedName>
    <definedName name="java" hidden="1">{#N/A,#N/A,FALSE,"Assumptions";#N/A,#N/A,FALSE,"Volumes";#N/A,#N/A,FALSE,"Pricing";#N/A,#N/A,FALSE,"Variable Cost";#N/A,#N/A,FALSE,"Investment";#N/A,#N/A,FALSE,"Profitability";#N/A,#N/A,FALSE,"Business Comparison"}</definedName>
    <definedName name="jb">#REF!</definedName>
    <definedName name="jbujbj" hidden="1">{"REVISED",#N/A,FALSE,"Sheet1"}</definedName>
    <definedName name="jef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en">#REF!</definedName>
    <definedName name="jenni">#REF!</definedName>
    <definedName name="jg">#N/A</definedName>
    <definedName name="ｊｇｈｊｇｋｈｈｊｋｈｇｋｇｆ">#N/A</definedName>
    <definedName name="jgkk" hidden="1">{"Revenue",#N/A,FALSE,"Series";"Ecprofit",#N/A,FALSE,"Series"}</definedName>
    <definedName name="jh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fj" hidden="1">{"avrev",#N/A,FALSE,"AVREV";"rates",#N/A,FALSE,"AVREV"}</definedName>
    <definedName name="jhgjgjg" hidden="1">#REF!</definedName>
    <definedName name="jhk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jhkhgjk" hidden="1">{"avrev",#N/A,FALSE,"AVREV";"rates",#N/A,FALSE,"AVREV"}</definedName>
    <definedName name="JHKJ">#N/A</definedName>
    <definedName name="jhwty" hidden="1">{"'和文'!$Q$45:$AP$71"}</definedName>
    <definedName name="jik">#REF!</definedName>
    <definedName name="Jim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J" hidden="1">{"'Highlights'!$A$1:$M$123"}</definedName>
    <definedName name="jjj" hidden="1">{#N/A,#N/A,FALSE,"Title - E";#N/A,#N/A,FALSE,"Insert";#N/A,#N/A,FALSE,"Rpt-98-E PG_1";#N/A,#N/A,FALSE,"Rpt-98-E PG_2f";#N/A,#N/A,FALSE,"Rpt-98-E PG_2";#N/A,#N/A,FALSE,"Insert";#N/A,#N/A,FALSE,"Rpt-98-E PG_3 "}</definedName>
    <definedName name="jjjj" hidden="1">{#N/A,#N/A,FALSE,"TOP10";#N/A,#N/A,FALSE,"Cover";#N/A,#N/A,FALSE,"MOGRAPH"}</definedName>
    <definedName name="JJJJJ" hidden="1">{"COMPARISON",#N/A,FALSE,"Sheet1"}</definedName>
    <definedName name="jjjjjj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jjl" hidden="1">{"'Highlights'!$A$1:$M$123"}</definedName>
    <definedName name="jjn" hidden="1">{"COMPARISON",#N/A,FALSE,"Sheet1"}</definedName>
    <definedName name="jjo">#N/A</definedName>
    <definedName name="JJTY" hidden="1">{#N/A,#N/A,FALSE,"TRANSNEW"}</definedName>
    <definedName name="jk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cvls">#REF!</definedName>
    <definedName name="JKJ" hidden="1">{"'Verr-enseig-ex'!$M$22:$M$23"}</definedName>
    <definedName name="jkjlj" hidden="1">{"current deposit",#N/A,FALSE,"Sheet1"}</definedName>
    <definedName name="JKK" hidden="1">{"'Verr-enseig-ex'!$M$22:$M$23"}</definedName>
    <definedName name="JKKH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jkl" hidden="1">{"Presentation",#N/A,FALSE,"Feb96 - ALL"}</definedName>
    <definedName name="JKT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lj" hidden="1">{"Presentation",#N/A,FALSE,"Feb96 - ALL"}</definedName>
    <definedName name="jmz">#REF!</definedName>
    <definedName name="jnj" hidden="1">{"'Highlights'!$A$1:$M$123"}</definedName>
    <definedName name="JNLTYPE">#REF!</definedName>
    <definedName name="jodie" hidden="1">{"avrev",#N/A,FALSE,"AVREV";"rates",#N/A,FALSE,"AVREV"}</definedName>
    <definedName name="Joe" hidden="1">{#N/A,#N/A,FALSE,"Cover Page";#N/A,#N/A,FALSE,"Facing Page";#N/A,#N/A,FALSE,"Main Page";#N/A,#N/A,FALSE,"Risk-Adjusted";#N/A,#N/A,FALSE,"Profit Improvement"}</definedName>
    <definedName name="joel1" hidden="1">{0,#N/A,FALSE,0;0,#N/A,FALSE,0;0,#N/A,FALSE,0;0,#N/A,FALSE,0}</definedName>
    <definedName name="joel15" hidden="1">{0,#N/A,FALSE,0;0,#N/A,FALSE,0}</definedName>
    <definedName name="joel2" hidden="1">{#VALUE!,#N/A,FALSE,0;#N/A,#N/A,FALSE,0;#N/A,#N/A,FALSE,0;#N/A,#N/A,FALSE,0;#N/A,#N/A,FALSE,0;#N/A,#N/A,FALSE,0;#N/A,#N/A,FALSE,0;#N/A,#N/A,FALSE,0}</definedName>
    <definedName name="john" hidden="1">{#N/A,#N/A,FALSE,"Assumptions";#N/A,#N/A,FALSE,"Volumes";#N/A,#N/A,FALSE,"Pricing";#N/A,#N/A,FALSE,"Variable Cost";#N/A,#N/A,FALSE,"Investment";#N/A,#N/A,FALSE,"Profitability";#N/A,#N/A,FALSE,"Business Comparison"}</definedName>
    <definedName name="john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ID">#REF!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hidden="1">{#N/A,#N/A,FALSE,"Profit Status";#N/A,#N/A,FALSE,"Invest";#N/A,#N/A,FALSE,"Revenue";#N/A,#N/A,FALSE,"Variable Cost";#N/A,#N/A,FALSE,"Options &amp; Series"}</definedName>
    <definedName name="jr.low" hidden="1">{"Leq97",#N/A,FALSE,"97 L Model";"Low97",#N/A,FALSE,"97 L Model"}</definedName>
    <definedName name="JSJDS" hidden="1">{#N/A,#N/A,FALSE,"Assumptions";#N/A,#N/A,FALSE,"Volumes";#N/A,#N/A,FALSE,"Pricing";#N/A,#N/A,FALSE,"Variable Cost";#N/A,#N/A,FALSE,"Investment";#N/A,#N/A,FALSE,"Profitability";#N/A,#N/A,FALSE,"Business Comparison"}</definedName>
    <definedName name="JSRCE">#REF!</definedName>
    <definedName name="jt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u" hidden="1">{"'Highlights'!$A$1:$M$123"}</definedName>
    <definedName name="juhmnjhu" hidden="1">{"Fiesta Facer Page",#N/A,FALSE,"Q_C_S";"Fiesta Main Page",#N/A,FALSE,"V_L";"Fiesta 95BP Struct",#N/A,FALSE,"StructBP";"Fiesta Post 95BP Struct",#N/A,FALSE,"AdjStructBP"}</definedName>
    <definedName name="Jui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n0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ly" hidden="1">{#N/A,#N/A,FALSE,"Cost Centre Detail"}</definedName>
    <definedName name="JULY_04" hidden="1">{"current deposit",#N/A,FALSE,"Sheet1"}</definedName>
    <definedName name="JUN">#REF!</definedName>
    <definedName name="June" hidden="1">{"REVISED",#N/A,FALSE,"Sheet1"}</definedName>
    <definedName name="junk" hidden="1">#REF!</definedName>
    <definedName name="JUNLY07" hidden="1">{#N/A,#N/A,FALSE,"Sheet1";"current deposit",#N/A,FALSE,"Sheet1";"current deposit",#N/A,FALSE,"Sheet1"}</definedName>
    <definedName name="JV06_01">#REF!</definedName>
    <definedName name="jx">#REF!</definedName>
    <definedName name="jyj" hidden="1">{"REVISED",#N/A,FALSE,"Sheet1"}</definedName>
    <definedName name="JYT" hidden="1">{"Revenue",#N/A,FALSE,"Series";"Ecprofit",#N/A,FALSE,"Series"}</definedName>
    <definedName name="jyyj" hidden="1">{"Presentation",#N/A,FALSE,"Feb96 - ALL"}</definedName>
    <definedName name="k" hidden="1">{#N/A,#N/A,FALSE,"Profit Status";#N/A,#N/A,FALSE,"Invest";#N/A,#N/A,FALSE,"Revenue";#N/A,#N/A,FALSE,"Variable Cost";#N/A,#N/A,FALSE,"Options &amp; Series"}</definedName>
    <definedName name="K_1" hidden="1">{"pep204a",#N/A,FALSE,"tpepsum4a";"pep205a",#N/A,FALSE,"tpepsum4a";"wpep204a",#N/A,FALSE,"tpepsum4a";"wpep205a",#N/A,FALSE,"tpepsum4a"}</definedName>
    <definedName name="k_3">#REF!</definedName>
    <definedName name="K_LZ">#REF!</definedName>
    <definedName name="K_P">#REF!</definedName>
    <definedName name="K2a" hidden="1">{#N/A,#N/A,FALSE,"Sheet1"}</definedName>
    <definedName name="KAA" hidden="1">{#N/A,#N/A,FALSE,"Sheet1"}</definedName>
    <definedName name="Kamimura" hidden="1">{#VALUE!,#N/A,FALSE,0;#N/A,#N/A,FALSE,0;#N/A,#N/A,FALSE,0;#N/A,#N/A,FALSE,0}</definedName>
    <definedName name="Kanri">#REF!</definedName>
    <definedName name="KanriNo">#REF!</definedName>
    <definedName name="kararaer" hidden="1">{#VALUE!,#N/A,FALSE,0;#N/A,#N/A,FALSE,0;#N/A,#N/A,FALSE,0;#N/A,#N/A,FALSE,0}</definedName>
    <definedName name="Katashiki">#REF!</definedName>
    <definedName name="KB" hidden="1">{#N/A,#N/A,FALSE,"Sheet1"}</definedName>
    <definedName name="KBC1Y">#REF!</definedName>
    <definedName name="KBC2Y">SUM(#REF!)</definedName>
    <definedName name="KBC3Y">SUM(#REF!)</definedName>
    <definedName name="KBCMT">#REF!</definedName>
    <definedName name="KC">#REF!</definedName>
    <definedName name="KCC">#REF!</definedName>
    <definedName name="kdj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dlpwyu" hidden="1">{#N/A,#N/A,FALSE,"UW152PPL"}</definedName>
    <definedName name="ke" hidden="1">#REF!</definedName>
    <definedName name="kelvchrome">OFFSET(#REF!,#REF!,0,13,1)</definedName>
    <definedName name="Kelvdia">OFFSET(#REF!,#REF!,0,13,1)</definedName>
    <definedName name="KELVLSL">OFFSET(#REF!,#REF!,0,13,1)</definedName>
    <definedName name="KELVMONTH">OFFSET(#REF!,#REF!,0,13,1)</definedName>
    <definedName name="kelvUCL">OFFSET(#REF!,#REF!,0,13,1)</definedName>
    <definedName name="KG">#REF!</definedName>
    <definedName name="khhkjh" hidden="1">{#N/A,#N/A,FALSE,"Profit Status";#N/A,#N/A,FALSE,"Invest";#N/A,#N/A,FALSE,"Revenue";#N/A,#N/A,FALSE,"Variable Cost";#N/A,#N/A,FALSE,"Options &amp; Series"}</definedName>
    <definedName name="KHJG" hidden="1">{#N/A,#N/A,FALSE,"Cover";#N/A,#N/A,FALSE,"Profits";#N/A,#N/A,FALSE,"ABS";#N/A,#N/A,FALSE,"TFLE Detail";#N/A,#N/A,FALSE,"TFLE Walk";#N/A,#N/A,FALSE,"Variable Cost";#N/A,#N/A,FALSE,"V.C. Walk"}</definedName>
    <definedName name="KICK" hidden="1">{#N/A,#N/A,FALSE,"Sheet1"}</definedName>
    <definedName name="kiippr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killme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kilo" hidden="1">{#N/A,#N/A,FALSE,"TOP10";#N/A,#N/A,FALSE,"Cover";#N/A,#N/A,FALSE,"MOGRAPH"}</definedName>
    <definedName name="kjas" hidden="1">{#N/A,#N/A,FALSE,"Cover Page";#N/A,#N/A,FALSE,"Facing Page";#N/A,#N/A,FALSE,"Main Page";#N/A,#N/A,FALSE,"Risk-Adjusted";#N/A,#N/A,FALSE,"Profit Improvement"}</definedName>
    <definedName name="kjas1" hidden="1">{#N/A,#N/A,FALSE,"Cover Page";#N/A,#N/A,FALSE,"Facing Page";#N/A,#N/A,FALSE,"Main Page";#N/A,#N/A,FALSE,"Risk-Adjusted";#N/A,#N/A,FALSE,"Profit Improvement"}</definedName>
    <definedName name="kjetui" hidden="1">{#N/A,#N/A,FALSE,"Profit Status";#N/A,#N/A,FALSE,"Invest";#N/A,#N/A,FALSE,"Revenue";#N/A,#N/A,FALSE,"Variable Cost";#N/A,#N/A,FALSE,"Options &amp; Series"}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ghj" hidden="1">{"Fiesta Facer Page",#N/A,FALSE,"Q_C_S";"Fiesta Main Page",#N/A,FALSE,"V_L";"Fiesta 95BP Struct",#N/A,FALSE,"StructBP";"Fiesta Post 95BP Struct",#N/A,FALSE,"AdjStructBP"}</definedName>
    <definedName name="kjgkgk" hidden="1">{"avrev",#N/A,FALSE,"AVREV";"rates",#N/A,FALSE,"AVREV"}</definedName>
    <definedName name="KJGT" hidden="1">{"Presentation",#N/A,FALSE,"Feb96 - ALL"}</definedName>
    <definedName name="kjhdrt" hidden="1">{#N/A,#N/A,FALSE,"UW152PPL"}</definedName>
    <definedName name="kjh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LJH" hidden="1">{"avrev",#N/A,FALSE,"AVREV";"rates",#N/A,FALSE,"AVREV"}</definedName>
    <definedName name="kk" hidden="1">{"'Highlights'!$A$1:$M$123"}</definedName>
    <definedName name="kkk">#N/A</definedName>
    <definedName name="KKKK" hidden="1">{"REVISED",#N/A,FALSE,"Sheet1"}</definedName>
    <definedName name="kkkkk" hidden="1">{#N/A,#N/A,FALSE,"Cover Page";#N/A,#N/A,FALSE,"Facing Page";#N/A,#N/A,FALSE,"Main Page";#N/A,#N/A,FALSE,"Risk-Adjusted";#N/A,#N/A,FALSE,"Profit Improvement"}</definedName>
    <definedName name="kkkkkk">#REF!</definedName>
    <definedName name="kkkkkkkkkk" hidden="1">{"Functional Average Annual",#N/A,FALSE,"Total NAC Functional Summary"}</definedName>
    <definedName name="kkkkkkkkkkkkk" hidden="1">{0,0,0,0;0,0,0,0;0,0,0,0;0,0,0,0;0,0,0,0}</definedName>
    <definedName name="kl" hidden="1">#REF!</definedName>
    <definedName name="kldf" hidden="1">{#N/A,#N/A,FALSE,"Cover";#N/A,#N/A,FALSE,"Profits";#N/A,#N/A,FALSE,"ABS";#N/A,#N/A,FALSE,"TFLE Detail";#N/A,#N/A,FALSE,"TFLE Walk";#N/A,#N/A,FALSE,"Variable Cost";#N/A,#N/A,FALSE,"V.C. Walk"}</definedName>
    <definedName name="klkj" hidden="1">{#N/A,#N/A,FALSE,"Assumptions";#N/A,#N/A,FALSE,"Volumes";#N/A,#N/A,FALSE,"Pricing";#N/A,#N/A,FALSE,"Variable Cost";#N/A,#N/A,FALSE,"Investment";#N/A,#N/A,FALSE,"Profitability";#N/A,#N/A,FALSE,"Business Comparison"}</definedName>
    <definedName name="KLP" hidden="1">{#N/A,#N/A,FALSE,"Sheet1"}</definedName>
    <definedName name="klujk" hidden="1">{#N/A,#N/A,FALSE,"Assumptions";#N/A,#N/A,FALSE,"Volumes";#N/A,#N/A,FALSE,"Pricing";#N/A,#N/A,FALSE,"Variable Cost";#N/A,#N/A,FALSE,"Investment";#N/A,#N/A,FALSE,"Profitability";#N/A,#N/A,FALSE,"Business Comparison"}</definedName>
    <definedName name="KNOWN">#REF!</definedName>
    <definedName name="KOMPENI">#REF!</definedName>
    <definedName name="KP" hidden="1">{"pep204a",#N/A,FALSE,"tpepsum4a";"pep205a",#N/A,FALSE,"tpepsum4a";"wpep204a",#N/A,FALSE,"tpepsum4a";"wpep205a",#N/A,FALSE,"tpepsum4a"}</definedName>
    <definedName name="KP_1" hidden="1">{"pep204a",#N/A,FALSE,"tpepsum4a";"pep205a",#N/A,FALSE,"tpepsum4a";"wpep204a",#N/A,FALSE,"tpepsum4a";"wpep205a",#N/A,FALSE,"tpepsum4a"}</definedName>
    <definedName name="KPI" hidden="1">{"'OBT_6M_30_6'!$S$1:$AE$53"}</definedName>
    <definedName name="ksdjgoiejrejgndlkn" hidden="1">{#N/A,#N/A,FALSE,"Cover";#N/A,#N/A,FALSE,"Profits";#N/A,#N/A,FALSE,"ABS";#N/A,#N/A,FALSE,"TFLE Detail";#N/A,#N/A,FALSE,"TFLE Walk";#N/A,#N/A,FALSE,"Variable Cost";#N/A,#N/A,FALSE,"V.C. Walk"}</definedName>
    <definedName name="KTH" hidden="1">{"COMPARISON",#N/A,FALSE,"Sheet1"}</definedName>
    <definedName name="Kuga_Market">#REF!</definedName>
    <definedName name="kuk" hidden="1">{"REVISED",#N/A,FALSE,"Sheet1"}</definedName>
    <definedName name="kw" hidden="1">{#N/A,#N/A,TRUE,"RIDE";#N/A,#N/A,TRUE,"STEERING";#N/A,#N/A,TRUE,"HANDLING";#N/A,#N/A,TRUE,"BRAKING"}</definedName>
    <definedName name="KYU" hidden="1">{#N/A,#N/A,FALSE,"Chart";#N/A,#N/A,FALSE,"Chart"}</definedName>
    <definedName name="l" hidden="1">{#N/A,#N/A,FALSE,"Profit Status";#N/A,#N/A,FALSE,"Invest";#N/A,#N/A,FALSE,"Revenue";#N/A,#N/A,FALSE,"Variable Cost";#N/A,#N/A,FALSE,"Options &amp; Series"}</definedName>
    <definedName name="L_1" hidden="1">{"rates",#N/A,FALSE,"tavg4a";"rev",#N/A,FALSE,"tavg4a"}</definedName>
    <definedName name="L_Adjust">#REF!</definedName>
    <definedName name="L_AJE_Tot">#REF!</definedName>
    <definedName name="L_CY_Beg">#REF!</definedName>
    <definedName name="L_CY_End">#REF!</definedName>
    <definedName name="L_RJE_Tot">#REF!</definedName>
    <definedName name="L5（小分類）">#REF!</definedName>
    <definedName name="L5（計画機種）">#REF!</definedName>
    <definedName name="L7RECLAS">#REF!</definedName>
    <definedName name="LABEL">#REF!</definedName>
    <definedName name="Labour">#REF!</definedName>
    <definedName name="LANDIMP">#REF!</definedName>
    <definedName name="LANDREV">#REF!</definedName>
    <definedName name="Last_Row">IF([0]!Values_Entered,Header_Row+[0]!Number_of_Payments,Header_Row)</definedName>
    <definedName name="LASTCOLUMNCELL">#REF!</definedName>
    <definedName name="LastQry">#NAME?</definedName>
    <definedName name="LastSource">"DLORS_QE"</definedName>
    <definedName name="LB">#REF!</definedName>
    <definedName name="LC">#REF!</definedName>
    <definedName name="LC__">#REF!</definedName>
    <definedName name="LC_DB">#REF!</definedName>
    <definedName name="LC_DF">#REF!</definedName>
    <definedName name="LC_EM">#REF!</definedName>
    <definedName name="LC_HP">#REF!</definedName>
    <definedName name="LC_KR">#REF!</definedName>
    <definedName name="LC_OB">#REF!</definedName>
    <definedName name="lda" hidden="1">{#N/A,#N/A,FALSE,"F.F.+D.L.";#N/A,#N/A,FALSE,"P.C.+S.F.";#N/A,#N/A,FALSE,"G.H.";#N/A,#N/A,FALSE,"F.L.+S.C.";#N/A,#N/A,FALSE,"M.M.";#N/A,#N/A,FALSE,"J.M.T."}</definedName>
    <definedName name="leader" hidden="1">{#N/A,#N/A,FALSE,"QS9000";#N/A,#N/A,FALSE,"Initial APQP Timing"}</definedName>
    <definedName name="LEASE">#REF!</definedName>
    <definedName name="Leasing">#REF!</definedName>
    <definedName name="lessonsLogEarlywarning">#REF!</definedName>
    <definedName name="LessonsLogPreviousRisk">#REF!</definedName>
    <definedName name="lessonsLogPriority">#REF!</definedName>
    <definedName name="LessonsLogType">#REF!</definedName>
    <definedName name="letzte" hidden="1">{#N/A,#N/A,FALSE,"QS9000";#N/A,#N/A,FALSE,"Initial APQP Timing"}</definedName>
    <definedName name="lf">#REF!</definedName>
    <definedName name="lfix">#REF!</definedName>
    <definedName name="LGDCM">#REF!</definedName>
    <definedName name="LGDCT">#REF!</definedName>
    <definedName name="LGFUSO">#REF!</definedName>
    <definedName name="lgl" hidden="1">{#N/A,#N/A,FALSE,"UW152PPL"}</definedName>
    <definedName name="LGN">#REF!</definedName>
    <definedName name="LGX">#REF!</definedName>
    <definedName name="LHD" hidden="1">{#N/A,#N/A,FALSE,"Assumptions";#N/A,#N/A,FALSE,"Volumes";#N/A,#N/A,FALSE,"Pricing";#N/A,#N/A,FALSE,"Variable Cost";#N/A,#N/A,FALSE,"Investment";#N/A,#N/A,FALSE,"Profitability";#N/A,#N/A,FALSE,"Business Comparison"}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EW">#REF!</definedName>
    <definedName name="Lighting" hidden="1">{#N/A,#N/A,FALSE,"Profit Status";#N/A,#N/A,FALSE,"Invest";#N/A,#N/A,FALSE,"Revenue";#N/A,#N/A,FALSE,"Variable Cost";#N/A,#N/A,FALSE,"Options &amp; Series"}</definedName>
    <definedName name="LIK" hidden="1">{#N/A,#N/A,FALSE,"Sheet1"}</definedName>
    <definedName name="lim" hidden="1">{"'Verr-enseig-ex'!$M$22:$M$23"}</definedName>
    <definedName name="lincoln">0.12</definedName>
    <definedName name="lINE3">#REF!</definedName>
    <definedName name="LIST">#REF!</definedName>
    <definedName name="list_1">#REF!</definedName>
    <definedName name="LIT">#REF!</definedName>
    <definedName name="liyen">#REF!</definedName>
    <definedName name="ljljd" hidden="1">{#N/A,#N/A,FALSE,"BackUp";#N/A,#N/A,FALSE,"FOps-Cal";#N/A,#N/A,FALSE,"COps-Cal";#N/A,#N/A,FALSE,"GPM-Cal";#N/A,#N/A,FALSE,"ITO-Cal";#N/A,#N/A,FALSE,"ITO (2)"}</definedName>
    <definedName name="lk" hidden="1">{"'Highlights'!$A$1:$M$123"}</definedName>
    <definedName name="lkfdjaölsdkjfölasdkjföalsdkjf" hidden="1">{#N/A,#N/A,FALSE,"Chart";#N/A,#N/A,FALSE,"Overview";#N/A,#N/A,FALSE,"Overview_Acty";#N/A,#N/A,FALSE,"Inc97D";#N/A,#N/A,FALSE,"Rel_Inc97TD";#N/A,#N/A,FALSE,"Rel_Inc_97_NTD";#N/A,#N/A,FALSE,"Marketing";#N/A,#N/A,FALSE,"Pot_97"}</definedName>
    <definedName name="lkiuy" hidden="1">{#N/A,#N/A,FALSE,"Cover";#N/A,#N/A,FALSE,"Profits";#N/A,#N/A,FALSE,"ABS";#N/A,#N/A,FALSE,"TFLE Detail";#N/A,#N/A,FALSE,"TFLE Walk";#N/A,#N/A,FALSE,"Variable Cost";#N/A,#N/A,FALSE,"V.C. Walk"}</definedName>
    <definedName name="lkje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hg" hidden="1">{#N/A,#N/A,FALSE,"Profit Status";#N/A,#N/A,FALSE,"Invest";#N/A,#N/A,FALSE,"Revenue";#N/A,#N/A,FALSE,"Variable Cost";#N/A,#N/A,FALSE,"Options &amp; Series"}</definedName>
    <definedName name="lkjhyt" hidden="1">{#N/A,#N/A,FALSE,"Cover";#N/A,#N/A,FALSE,"Profits";#N/A,#N/A,FALSE,"ABS";#N/A,#N/A,FALSE,"TFLE Detail";#N/A,#N/A,FALSE,"TFLE Walk";#N/A,#N/A,FALSE,"Variable Cost";#N/A,#N/A,FALSE,"V.C. Walk"}</definedName>
    <definedName name="lkkhhj" hidden="1">{#N/A,#N/A,FALSE,"Profit Status";#N/A,#N/A,FALSE,"Invest";#N/A,#N/A,FALSE,"Revenue";#N/A,#N/A,FALSE,"Variable Cost";#N/A,#N/A,FALSE,"Options &amp; Series"}</definedName>
    <definedName name="lklklklk" hidden="1">{"Presentation",#N/A,FALSE,"Feb96 - ALL"}</definedName>
    <definedName name="lkngdskjzbgl">#REF!</definedName>
    <definedName name="lkok">#REF!</definedName>
    <definedName name="ll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LL">#N/A</definedName>
    <definedName name="LLLL" hidden="1">{"current deposit",#N/A,FALSE,"Sheet1"}</definedName>
    <definedName name="lllll" hidden="1">{#N/A,#N/A,FALSE,"Assumptions";#N/A,#N/A,FALSE,"Volumes";#N/A,#N/A,FALSE,"Pricing";#N/A,#N/A,FALSE,"Variable Cost";#N/A,#N/A,FALSE,"Investment";#N/A,#N/A,FALSE,"Profitability";#N/A,#N/A,FALSE,"Business Comparison"}</definedName>
    <definedName name="llllllll" hidden="1">{#N/A,#N/A,FALSE,"Assumptions";#N/A,#N/A,FALSE,"Volumes";#N/A,#N/A,FALSE,"Pricing";#N/A,#N/A,FALSE,"Variable Cost";#N/A,#N/A,FALSE,"Investment";#N/A,#N/A,FALSE,"Profitability";#N/A,#N/A,FALSE,"Business Comparison"}</definedName>
    <definedName name="llllllllllll" hidden="1">{#N/A,#N/A,FALSE,"SumMonth"}</definedName>
    <definedName name="lllllllllllllll" hidden="1">#REF!</definedName>
    <definedName name="llllllllllllllllllllllllllllll" hidden="1">{#N/A,#N/A,FALSE,"Assumptions";#N/A,#N/A,FALSE,"Volumes";#N/A,#N/A,FALSE,"Pricing";#N/A,#N/A,FALSE,"Variable Cost";#N/A,#N/A,FALSE,"Investment";#N/A,#N/A,FALSE,"Profitability";#N/A,#N/A,FALSE,"Business Comparison"}</definedName>
    <definedName name="LM">#REF!</definedName>
    <definedName name="lmek">#REF!</definedName>
    <definedName name="lmekplp">#REF!</definedName>
    <definedName name="lmem">#REF!</definedName>
    <definedName name="lmemplp">#REF!</definedName>
    <definedName name="lmot">#REF!</definedName>
    <definedName name="lmotplp">#REF!</definedName>
    <definedName name="Loan">#REF!</definedName>
    <definedName name="Loan_Amount">#REF!</definedName>
    <definedName name="Loan_Start">#REF!</definedName>
    <definedName name="Loan_Years">#REF!</definedName>
    <definedName name="Loan1">#REF!</definedName>
    <definedName name="loc">#REF!</definedName>
    <definedName name="LOC.SUPPLIER_NO">#REF!</definedName>
    <definedName name="loc_cur">#REF!</definedName>
    <definedName name="local">#REF!</definedName>
    <definedName name="LOCATION">#REF!</definedName>
    <definedName name="locaux">#REF!</definedName>
    <definedName name="loh" hidden="1">{#N/A,#N/A,FALSE,"Cover";#N/A,#N/A,FALSE,"Profits";#N/A,#N/A,FALSE,"ABS";#N/A,#N/A,FALSE,"TFLE Detail";#N/A,#N/A,FALSE,"TFLE Walk";#N/A,#N/A,FALSE,"Variable Cost";#N/A,#N/A,FALSE,"V.C. Walk"}</definedName>
    <definedName name="lohne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k" hidden="1">{#N/A,#N/A,FALSE,"TOP10";#N/A,#N/A,FALSE,"Cover";#N/A,#N/A,FALSE,"MOGRAPH"}</definedName>
    <definedName name="loks" hidden="1">{#N/A,#N/A,FALSE,"TOP10";#N/A,#N/A,FALSE,"Cover";#N/A,#N/A,FALSE,"MOGRAPH"}</definedName>
    <definedName name="Long">#REF!</definedName>
    <definedName name="Long1">#REF!</definedName>
    <definedName name="LOOK">#REF!</definedName>
    <definedName name="LOP" hidden="1">{#N/A,#N/A,FALSE,"Sheet1"}</definedName>
    <definedName name="low" hidden="1">#REF!</definedName>
    <definedName name="lpo" hidden="1">{#N/A,#N/A,FALSE,"GRAFIK";#N/A,#N/A,FALSE,"TOP30MEM"}</definedName>
    <definedName name="lrapoapbt">#REF!</definedName>
    <definedName name="lrapoastat">#REF!</definedName>
    <definedName name="ls" hidden="1">{0,#N/A,FALSE,0;0,#N/A,FALSE,0}</definedName>
    <definedName name="LSL">#REF!</definedName>
    <definedName name="lstOrganization">"List Box 4"</definedName>
    <definedName name="lstRegion">"List Box 5"</definedName>
    <definedName name="LT">#REF!</definedName>
    <definedName name="LUCK" hidden="1">{#N/A,#N/A,FALSE,"Sheet1"}</definedName>
    <definedName name="Luong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hidden="1">{#N/A,#N/A,FALSE,"Assumptions";#N/A,#N/A,FALSE,"Volumes";#N/A,#N/A,FALSE,"Pricing";#N/A,#N/A,FALSE,"Variable Cost";#N/A,#N/A,FALSE,"Investment";#N/A,#N/A,FALSE,"Profitability";#N/A,#N/A,FALSE,"Business Comparison"}</definedName>
    <definedName name="ma" hidden="1">{#N/A,#N/A,FALSE,"Assumptions";#N/A,#N/A,FALSE,"Volumes";#N/A,#N/A,FALSE,"Pricing";#N/A,#N/A,FALSE,"Variable Cost";#N/A,#N/A,FALSE,"Investment";#N/A,#N/A,FALSE,"Profitability";#N/A,#N/A,FALSE,"Business Comparison"}</definedName>
    <definedName name="MACRO">#REF!</definedName>
    <definedName name="Macro8">#N/A</definedName>
    <definedName name="MACROS">#REF!</definedName>
    <definedName name="majed" hidden="1">{#N/A,#N/A,FALSE,"Cover Page";#N/A,#N/A,FALSE,"Facing Page";#N/A,#N/A,FALSE,"Main Page";#N/A,#N/A,FALSE,"Risk-Adjusted";#N/A,#N/A,FALSE,"Profit Improvement"}</definedName>
    <definedName name="major" hidden="1">{"rev",#N/A,FALSE,"ppepsum";"vcost",#N/A,FALSE,"ppepsum";"ecprof",#N/A,FALSE,"ppepsum"}</definedName>
    <definedName name="MakeBuyList">#REF!</definedName>
    <definedName name="maniwan">OFFSET(_Ref1,0,Wk,29,1)</definedName>
    <definedName name="Map">#REF!</definedName>
    <definedName name="Marché">#REF!</definedName>
    <definedName name="MARD">#REF!</definedName>
    <definedName name="MARGINPLAN">#REF!</definedName>
    <definedName name="MARGINPROJ">#REF!</definedName>
    <definedName name="Market">#REF!</definedName>
    <definedName name="MARKET_DATA">#REF!</definedName>
    <definedName name="marty" hidden="1">{#N/A,#N/A,TRUE,"Engine";#N/A,#N/A,TRUE,"Trans 5R55N";#N/A,#N/A,TRUE,"Manual Trans";#N/A,#N/A,TRUE,"DS and Axle";#N/A,#N/A,TRUE,"PTSSE";#N/A,#N/A,TRUE,"Summary"}</definedName>
    <definedName name="Master">#REF!</definedName>
    <definedName name="MASTER231W_Crosstab">#REF!</definedName>
    <definedName name="MASTERAPRIL">#REF!</definedName>
    <definedName name="MASTERDIVISION">#REF!</definedName>
    <definedName name="MASTERFEB">#REF!</definedName>
    <definedName name="MASTERJAN">#REF!</definedName>
    <definedName name="MASTERMAR">#REF!</definedName>
    <definedName name="MASTERMAY">#REF!</definedName>
    <definedName name="Mat_Ext">#REF!</definedName>
    <definedName name="MATERAILS">OFFSET(RefN,0,Wk,10,1)</definedName>
    <definedName name="Material">#REF!</definedName>
    <definedName name="MATERIALS">OFFSET(RefN,0,Wk,10,1)</definedName>
    <definedName name="maurice" hidden="1">{"avrev",#N/A,FALSE,"AVREV";"rates",#N/A,FALSE,"AVREV"}</definedName>
    <definedName name="MAVT">#REF!</definedName>
    <definedName name="mazdaapoapbt">#REF!</definedName>
    <definedName name="mazdaapoastat">#REF!</definedName>
    <definedName name="mazdanapbt">#REF!</definedName>
    <definedName name="mazdanastat">#REF!</definedName>
    <definedName name="MBR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_CGIS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FWT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br_Select_Change">#N/A</definedName>
    <definedName name="Mbr_Select_lgl_Change">#N/A</definedName>
    <definedName name="Mbr_Select_org_Change">#N/A</definedName>
    <definedName name="Mbr_Select_reg_Change">#N/A</definedName>
    <definedName name="Mbr_Select_sce_Change">#N/A</definedName>
    <definedName name="MbrSelOk_Click">#N/A</definedName>
    <definedName name="ME">#REF!</definedName>
    <definedName name="megamist">#REF!</definedName>
    <definedName name="memo1">#REF!</definedName>
    <definedName name="memo2">#REF!</definedName>
    <definedName name="Metrics" hidden="1">{#N/A,#N/A,FALSE,"TOP10";#N/A,#N/A,FALSE,"Cover";#N/A,#N/A,FALSE,"MOGRAPH"}</definedName>
    <definedName name="metrics1" hidden="1">{#N/A,#N/A,FALSE,"TOP10";#N/A,#N/A,FALSE,"Cover";#N/A,#N/A,FALSE,"MOGRAPH"}</definedName>
    <definedName name="Metrics10kp" hidden="1">{#N/A,#N/A,FALSE,"TOP10";#N/A,#N/A,FALSE,"Cover";#N/A,#N/A,FALSE,"MOGRAPH"}</definedName>
    <definedName name="mexApril653" hidden="1">{#N/A,#N/A,FALSE,"Chart";#N/A,#N/A,FALSE,"Chart"}</definedName>
    <definedName name="mfg" hidden="1">{"COMPARISON",#N/A,FALSE,"Sheet1"}</definedName>
    <definedName name="MFTTDB2M">SUM(#REF!)</definedName>
    <definedName name="MFTTDB6M">SUM(#REF!)</definedName>
    <definedName name="MFTTDBST">SUM(#REF!)</definedName>
    <definedName name="MFTTHSBC2M">SUM(#REF!)</definedName>
    <definedName name="MFTTHSBC6M">SUM(#REF!)</definedName>
    <definedName name="MFTTHSBCST">SUM(#REF!+#REF!)</definedName>
    <definedName name="MFTTSTANCH6M">SUM(#REF!)</definedName>
    <definedName name="MFTTSTANCHST">SUM(#REF!)</definedName>
    <definedName name="Michael" hidden="1">{#N/A,#N/A,FALSE,"Profit Status";#N/A,#N/A,FALSE,"Invest";#N/A,#N/A,FALSE,"Revenue";#N/A,#N/A,FALSE,"Variable Cost";#N/A,#N/A,FALSE,"Options &amp; Series"}</definedName>
    <definedName name="Michael1" hidden="1">{#N/A,#N/A,FALSE,"Profit Status";#N/A,#N/A,FALSE,"Invest";#N/A,#N/A,FALSE,"Revenue";#N/A,#N/A,FALSE,"Variable Cost";#N/A,#N/A,FALSE,"Options &amp; Series"}</definedName>
    <definedName name="Michaela" hidden="1">{#N/A,#N/A,FALSE,"Profit Status";#N/A,#N/A,FALSE,"Invest";#N/A,#N/A,FALSE,"Revenue";#N/A,#N/A,FALSE,"Variable Cost";#N/A,#N/A,FALSE,"Options &amp; Series"}</definedName>
    <definedName name="mik" hidden="1">{#N/A,#N/A,FALSE,"GRAFIK";#N/A,#N/A,FALSE,"TOP30MEM"}</definedName>
    <definedName name="mike" hidden="1">{#N/A,#N/A,FALSE,"Cover Page";#N/A,#N/A,FALSE,"Facing Page";#N/A,#N/A,FALSE,"Main Page";#N/A,#N/A,FALSE,"Risk-Adjusted";#N/A,#N/A,FALSE,"Profit Improvement"}</definedName>
    <definedName name="Mikes" hidden="1">{#N/A,#N/A,FALSE,"GRAFIK";#N/A,#N/A,FALSE,"TOP30MEM"}</definedName>
    <definedName name="mile3">"indirect(Pictures!$O$6)"</definedName>
    <definedName name="Milestone_Marker">#REF!</definedName>
    <definedName name="MINA">#REF!</definedName>
    <definedName name="ming" hidden="1">{"Fiesta Facer Page",#N/A,FALSE,"Q_C_S";"Fiesta Main Page",#N/A,FALSE,"V_L";"Fiesta 95BP Struct",#N/A,FALSE,"StructBP";"Fiesta Post 95BP Struct",#N/A,FALSE,"AdjStructBP"}</definedName>
    <definedName name="minglee" hidden="1">{"Presentation",#N/A,FALSE,"Feb96 - ALL"}</definedName>
    <definedName name="minglee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utes" hidden="1">{"pep204a",#N/A,FALSE,"tpepsum4a";"pep205a",#N/A,FALSE,"tpepsum4a";"wpep204a",#N/A,FALSE,"tpepsum4a";"wpep205a",#N/A,FALSE,"tpepsum4a"}</definedName>
    <definedName name="MIO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IS">#REF!</definedName>
    <definedName name="Misc" hidden="1">{#N/A,#N/A,TRUE,"Engine";#N/A,#N/A,TRUE,"Trans 5R55N";#N/A,#N/A,TRUE,"Manual Trans";#N/A,#N/A,TRUE,"DS and Axle";#N/A,#N/A,TRUE,"PTSSE";#N/A,#N/A,TRUE,"Summary"}</definedName>
    <definedName name="misc2" hidden="1">{#N/A,#N/A,TRUE,"Engine";#N/A,#N/A,TRUE,"Trans 5R55N";#N/A,#N/A,TRUE,"Manual Trans";#N/A,#N/A,TRUE,"DS and Axle";#N/A,#N/A,TRUE,"PTSSE";#N/A,#N/A,TRUE,"Summary"}</definedName>
    <definedName name="MISCVv" hidden="1">{#N/A,#N/A,TRUE,"Engine";#N/A,#N/A,TRUE,"Trans 5R55N";#N/A,#N/A,TRUE,"Manual Trans";#N/A,#N/A,TRUE,"DS and Axle";#N/A,#N/A,TRUE,"PTSSE";#N/A,#N/A,TRUE,"Summary"}</definedName>
    <definedName name="mito" hidden="1">{#N/A,#N/A,FALSE,"India - 3f";#N/A,#N/A,FALSE,"India - 3";#N/A,#N/A,FALSE,"India - 4f";#N/A,#N/A,FALSE,"India - 4";#N/A,#N/A,FALSE,"Retail Spider"}</definedName>
    <definedName name="MIZU1Y">#REF!</definedName>
    <definedName name="MIZU6M">#REF!</definedName>
    <definedName name="MIZUST">#REF!</definedName>
    <definedName name="MJ">#REF!</definedName>
    <definedName name="MJU" hidden="1">{#N/A,#N/A,FALSE,"Chart";#N/A,#N/A,FALSE,"Chart"}</definedName>
    <definedName name="Mknfknds" hidden="1">{#N/A,#N/A,FALSE,"Cover Page";#N/A,#N/A,FALSE,"Facing Page";#N/A,#N/A,FALSE,"Main Page";#N/A,#N/A,FALSE,"Risk-Adjusted";#N/A,#N/A,FALSE,"Profit Improvement"}</definedName>
    <definedName name="ml" hidden="1">{"Revenue",#N/A,FALSE,"Series";"Ecprofit",#N/A,FALSE,"Series"}</definedName>
    <definedName name="mm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MBC">#REF!</definedName>
    <definedName name="mmm" hidden="1">{#N/A,#N/A,FALSE,"Assumptions";#N/A,#N/A,FALSE,"Volumes";#N/A,#N/A,FALSE,"Pricing";#N/A,#N/A,FALSE,"Variable Cost";#N/A,#N/A,FALSE,"Investment";#N/A,#N/A,FALSE,"Profitability";#N/A,#N/A,FALSE,"Business Comparison"}</definedName>
    <definedName name="mmmm" hidden="1">{"Pj_assump",#N/A,FALSE,"Pj_Assump";"Pj_Arg_NoAc",#N/A,FALSE,"Pj_Arg_NoAc";"Pj_Arg_Act",#N/A,FALSE,"Pj_Arg_Act";"Pj_Brz_NoAc",#N/A,FALSE,"Pj_Brz_NoAc";"Pj_Brz_Act",#N/A,FALSE,"Pj_Brz_Act"}</definedName>
    <definedName name="mmmmmmm" hidden="1">{#N/A,#N/A,FALSE,"Assumptions";#N/A,#N/A,FALSE,"Volumes";#N/A,#N/A,FALSE,"Pricing";#N/A,#N/A,FALSE,"Variable Cost";#N/A,#N/A,FALSE,"Investment";#N/A,#N/A,FALSE,"Profitability";#N/A,#N/A,FALSE,"Business Comparison"}</definedName>
    <definedName name="mmmmmmmmmmmm" hidden="1">{#N/A,#N/A,FALSE,"LVC Final";#N/A,#N/A,FALSE,"TVC Final";#N/A,#N/A,FALSE,"PTO Final";#N/A,#N/A,FALSE,"RVT Final";#N/A,#N/A,FALSE,"CD Final"}</definedName>
    <definedName name="MMVC">#REF!</definedName>
    <definedName name="mn">#N/A</definedName>
    <definedName name="mnm" hidden="1">{#N/A,#N/A,FALSE,"Cover";#N/A,#N/A,FALSE,"Profits";#N/A,#N/A,FALSE,"ABS";#N/A,#N/A,FALSE,"TFLE Detail";#N/A,#N/A,FALSE,"TFLE Walk";#N/A,#N/A,FALSE,"Variable Cost";#N/A,#N/A,FALSE,"V.C. Walk"}</definedName>
    <definedName name="mno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O">#REF!</definedName>
    <definedName name="Mode">#REF!</definedName>
    <definedName name="Model">#REF!</definedName>
    <definedName name="MODEL_DATA_FY">#REF!</definedName>
    <definedName name="MODEL_DATA_Q1">#REF!</definedName>
    <definedName name="MODEL_DATA_Q2">#REF!</definedName>
    <definedName name="MODEL_DATA_Q3">#REF!</definedName>
    <definedName name="MODEL_DATA_Q4">#REF!</definedName>
    <definedName name="ModelType">#REF!</definedName>
    <definedName name="modulename">OFFSET(#REF!,0,0,COUNTA(#REF!),1)</definedName>
    <definedName name="moduletype">OFFSET(#REF!,0,0,COUNTA(#REF!),1)</definedName>
    <definedName name="mommy" hidden="1">{"2001-02 Summary",#N/A,TRUE,"Summary";"2001-06 Summary",#N/A,TRUE,"Summary"}</definedName>
    <definedName name="mon" hidden="1">{"Presentation",#N/A,FALSE,"Feb96 - ALL"}</definedName>
    <definedName name="monatsreporttest" hidden="1">{#N/A,#N/A,FALSE,"TOP10";#N/A,#N/A,FALSE,"Cover";#N/A,#N/A,FALSE,"MOGRAPH"}</definedName>
    <definedName name="monatsübersicht" hidden="1">{#N/A,#N/A,FALSE,"TOP10";#N/A,#N/A,FALSE,"Cover";#N/A,#N/A,FALSE,"MOGRAPH"}</definedName>
    <definedName name="monatsübersichttest" hidden="1">{#N/A,#N/A,FALSE,"TOP10";#N/A,#N/A,FALSE,"Cover";#N/A,#N/A,FALSE,"MOGRAPH"}</definedName>
    <definedName name="Monkey" hidden="1">{#N/A,#N/A,FALSE,"Cover Page";#N/A,#N/A,FALSE,"Facing Page";#N/A,#N/A,FALSE,"Main Page";#N/A,#N/A,FALSE,"Risk-Adjusted";#N/A,#N/A,FALSE,"Profit Improvement"}</definedName>
    <definedName name="Month">#REF!</definedName>
    <definedName name="MONTH1">#REF!</definedName>
    <definedName name="MonthlyPayment">#REF!</definedName>
    <definedName name="monthNames">#REF!</definedName>
    <definedName name="Montri">#REF!</definedName>
    <definedName name="mp">OFFSET(RefDef,0,Wk,10,1)</definedName>
    <definedName name="MPC_MMPC">#REF!</definedName>
    <definedName name="MPTＣ">#REF!</definedName>
    <definedName name="mrh5pldad">#REF!</definedName>
    <definedName name="mrh5pldag">#REF!</definedName>
    <definedName name="MRL" hidden="1">{"REVISED",#N/A,FALSE,"Sheet1"}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rp">#REF!</definedName>
    <definedName name="MS">#REF!</definedName>
    <definedName name="MSIL">#REF!</definedName>
    <definedName name="MSN">#REF!</definedName>
    <definedName name="MSX">#REF!</definedName>
    <definedName name="MTH_list">#REF!</definedName>
    <definedName name="MTHCOST1">#REF!</definedName>
    <definedName name="MTHCOST2">#REF!</definedName>
    <definedName name="MTHCOST23">#REF!</definedName>
    <definedName name="MTHCOST3">#REF!</definedName>
    <definedName name="MTHCOST4">#REF!</definedName>
    <definedName name="MTHLYOE">#REF!</definedName>
    <definedName name="MTHLYPL">#REF!</definedName>
    <definedName name="MTHRY01">#REF!</definedName>
    <definedName name="MTHRY02">#REF!</definedName>
    <definedName name="MTHRY03">#REF!</definedName>
    <definedName name="MTHRY04">#REF!</definedName>
    <definedName name="MV">#REF!</definedName>
    <definedName name="mvnmv" hidden="1">{"avrev",#N/A,FALSE,"AVREV";"rates",#N/A,FALSE,"AVREV"}</definedName>
    <definedName name="MVTC">#REF!</definedName>
    <definedName name="MY">#REF!</definedName>
    <definedName name="Ｎ">#N/A</definedName>
    <definedName name="n3a">#REF!</definedName>
    <definedName name="NA">#REF!</definedName>
    <definedName name="na_factor">#REF!</definedName>
    <definedName name="naapoapbt">#REF!</definedName>
    <definedName name="naapoastat">#REF!</definedName>
    <definedName name="nacha" hidden="1">{"A_Sum_95",#N/A,FALSE,"Arg_Summ";"A_Sum_Avg",#N/A,FALSE,"Arg_Summ"}</definedName>
    <definedName name="Nada">#REF!</definedName>
    <definedName name="naeurpbt">#REF!</definedName>
    <definedName name="naeurstat">#REF!</definedName>
    <definedName name="Name">#REF!</definedName>
    <definedName name="NameRef">#REF!</definedName>
    <definedName name="names" hidden="1">{"All Pages",#N/A,FALSE,"Plant 1 Exp";"All Pages",#N/A,FALSE,"Plant 2 Exp";"All Pages",#N/A,FALSE,"Plant 3 Exp";"All Pages",#N/A,FALSE,"Plant 4 Exp";"All Pages",#N/A,FALSE,"Total Vehicle"}</definedName>
    <definedName name="nanapbt">#REF!</definedName>
    <definedName name="nanastat">#REF!</definedName>
    <definedName name="nasapbt">#REF!</definedName>
    <definedName name="nasastat">#REF!</definedName>
    <definedName name="NAZIM___S_ASSIGNMENT_allocation_of_other_asset_List">#REF!</definedName>
    <definedName name="nbn" hidden="1">{#N/A,#N/A,FALSE,"Title - E";#N/A,#N/A,FALSE,"Insert";#N/A,#N/A,FALSE,"Rpt-98-E PG_1";#N/A,#N/A,FALSE,"Rpt-98-E PG_2f";#N/A,#N/A,FALSE,"Rpt-98-E PG_2";#N/A,#N/A,FALSE,"Insert";#N/A,#N/A,FALSE,"Rpt-98-E PG_3 "}</definedName>
    <definedName name="ncbskdbcjkbc" hidden="1">{#N/A,#N/A,FALSE,"Assumptions";#N/A,#N/A,FALSE,"Volumes";#N/A,#N/A,FALSE,"Pricing";#N/A,#N/A,FALSE,"Variable Cost";#N/A,#N/A,FALSE,"Investment";#N/A,#N/A,FALSE,"Profitability";#N/A,#N/A,FALSE,"Business Comparison"}</definedName>
    <definedName name="NCVR">#REF!</definedName>
    <definedName name="NEGFNEG" hidden="1">{#VALUE!,#N/A,FALSE,0;#N/A,#N/A,FALSE,0;#N/A,#N/A,FALSE,0;#N/A,#N/A,FALSE,0;#N/A,#N/A,FALSE,0;#N/A,#N/A,FALSE,0;#N/A,#N/A,FALSE,0;#N/A,#N/A,FALSE,0}</definedName>
    <definedName name="nesadj">#REF!</definedName>
    <definedName name="NESMAL\FUNDS">#REF!</definedName>
    <definedName name="Net_book_value">#REF!</definedName>
    <definedName name="Netherlands">#REF!</definedName>
    <definedName name="NETHERLDS">#REF!</definedName>
    <definedName name="NETINC">#REF!</definedName>
    <definedName name="new" hidden="1">{#N/A,#N/A,FALSE,"Assumptions";#N/A,#N/A,FALSE,"Volumes";#N/A,#N/A,FALSE,"Pricing";#N/A,#N/A,FALSE,"Variable Cost";#N/A,#N/A,FALSE,"Investment";#N/A,#N/A,FALSE,"Profitability";#N/A,#N/A,FALSE,"Business Comparison"}</definedName>
    <definedName name="NEW_1" hidden="1">{#N/A,#N/A,FALSE,"Chart";#N/A,#N/A,FALSE,"Chart"}</definedName>
    <definedName name="New_Number">14</definedName>
    <definedName name="newaa" hidden="1">{"REVISED",#N/A,FALSE,"Sheet1"}</definedName>
    <definedName name="NEWFS2A">#REF!</definedName>
    <definedName name="NEWW" hidden="1">{"salaried",#N/A,FALSE,"VLD View (2)"}</definedName>
    <definedName name="newww" hidden="1">{"salaried",#N/A,FALSE,"VLD View (2)"}</definedName>
    <definedName name="NEXT">#REF!</definedName>
    <definedName name="NEXTAVYR">#REF!</definedName>
    <definedName name="ngjgj">#REF!</definedName>
    <definedName name="NHAP">#REF!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ice" hidden="1">#REF!</definedName>
    <definedName name="NICED" hidden="1">#REF!</definedName>
    <definedName name="NJ" hidden="1">{"salaried",#N/A,FALSE,"VLD View (2)"}</definedName>
    <definedName name="NJJ" hidden="1">{"salaried",#N/A,FALSE,"VLD View (2)"}</definedName>
    <definedName name="njjj" hidden="1">{"salaried",#N/A,FALSE,"VLD View (2)"}</definedName>
    <definedName name="nknkn" hidden="1">{#N/A,#N/A,FALSE,"Chart";#N/A,#N/A,FALSE,"Chart"}</definedName>
    <definedName name="nko">#REF!</definedName>
    <definedName name="nm.." hidden="1">{"Summary View",#N/A,TRUE,"Summary";"Exception Analysis",#N/A,TRUE,"Summary"}</definedName>
    <definedName name="nmkljmkl" hidden="1">{#N/A,#N/A,FALSE,"India - 3f";#N/A,#N/A,FALSE,"India - 3";#N/A,#N/A,FALSE,"India - 4f";#N/A,#N/A,FALSE,"India - 4";#N/A,#N/A,FALSE,"Retail Spider"}</definedName>
    <definedName name="nmvmv" hidden="1">{"avrev",#N/A,FALSE,"AVREV";"rates",#N/A,FALSE,"AVREV"}</definedName>
    <definedName name="nn" hidden="1">{#N/A,#N/A,FALSE,"TOP10";#N/A,#N/A,FALSE,"Cover";#N/A,#N/A,FALSE,"MOGRAPH"}</definedName>
    <definedName name="nnfg" hidden="1">{"A_Sum_95",#N/A,FALSE,"Arg_Summ";"A_Sum_Avg",#N/A,FALSE,"Arg_Summ"}</definedName>
    <definedName name="nnn">#N/A</definedName>
    <definedName name="nnnn" hidden="1">{#N/A,#N/A,TRUE,"Frame&amp;Body-All";#N/A,#N/A,TRUE,"Powrplant Mnts-5.4l_4.6l";#N/A,#N/A,TRUE,"Powerplant-5.4l_4.6l";#N/A,#N/A,TRUE,"Exhaust-5.4l_4.6l";#N/A,#N/A,TRUE,"Induction-5.4l"}</definedName>
    <definedName name="nnnnn" hidden="1">{"avrev",#N/A,FALSE,"AVREV";"rates",#N/A,FALSE,"AVREV"}</definedName>
    <definedName name="nnnnnnnnnnnn" hidden="1">{#N/A,#N/A,FALSE,"expense";#N/A,#N/A,FALSE,"heads"}</definedName>
    <definedName name="nnnnnnnnnnnnn" hidden="1">{"Presentation",#N/A,FALSE,"Feb96 - ALL"}</definedName>
    <definedName name="nnnnnnnnnnnnnnn" hidden="1">{#N/A,#N/A,FALSE,"2001 CBG";#N/A,#N/A,FALSE,"2002 CBG";#N/A,#N/A,FALSE,"2003 CBG";#N/A,#N/A,FALSE,"2004 CBG";#N/A,#N/A,FALSE,"2005 CBG";#N/A,#N/A,FALSE,"2006 CBG ";#N/A,#N/A,FALSE,"2007 CBG";#N/A,#N/A,FALSE,"2008 CBG"}</definedName>
    <definedName name="NO" hidden="1">{"Revenue",#N/A,FALSE,"Series";"Ecprofit",#N/A,FALSE,"Series"}</definedName>
    <definedName name="NO_1" hidden="1">{"Revenue",#N/A,FALSE,"Series";"Ecprofit",#N/A,FALSE,"Series"}</definedName>
    <definedName name="nom">#REF!</definedName>
    <definedName name="NOMO">#REF!</definedName>
    <definedName name="NON_FORD">#REF!</definedName>
    <definedName name="noname">#REF!</definedName>
    <definedName name="none">{#N/A,#N/A,FALSE,"Cover";#N/A,#N/A,FALSE,"Profits";#N/A,#N/A,FALSE,"ABS";#N/A,#N/A,FALSE,"TFLE Detail";#N/A,#N/A,FALSE,"TFLE Walk";#N/A,#N/A,FALSE,"Variable Cost";#N/A,#N/A,FALSE,"V.C. Walk"}</definedName>
    <definedName name="nono" hidden="1">{"rates",#N/A,FALSE,"tavg4a";"rev",#N/A,FALSE,"tavg4a"}</definedName>
    <definedName name="Norway">#REF!</definedName>
    <definedName name="Not">#REF!</definedName>
    <definedName name="notdone" hidden="1">{"rates",#N/A,FALSE,"tavg4a";"rev",#N/A,FALSE,"tavg4a"}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2">#REF!</definedName>
    <definedName name="NOTES">#REF!</definedName>
    <definedName name="Notes_BanksOD">#REF!</definedName>
    <definedName name="Notes_Debtors">#REF!</definedName>
    <definedName name="Notes_exp">#REF!</definedName>
    <definedName name="Notes_Profit_and_loss">#REF!</definedName>
    <definedName name="November" hidden="1">{#N/A,#N/A,FALSE,"Assumptions";#N/A,#N/A,FALSE,"Volumes";#N/A,#N/A,FALSE,"Pricing";#N/A,#N/A,FALSE,"Variable Cost";#N/A,#N/A,FALSE,"Investment";#N/A,#N/A,FALSE,"Profitability";#N/A,#N/A,FALSE,"Business Comparison"}</definedName>
    <definedName name="novo" hidden="1">{#N/A,#N/A,FALSE,"Assumptions";#N/A,#N/A,FALSE,"Volumes";#N/A,#N/A,FALSE,"Pricing";#N/A,#N/A,FALSE,"Variable Cost";#N/A,#N/A,FALSE,"Investment";#N/A,#N/A,FALSE,"Profitability";#N/A,#N/A,FALSE,"Business Comparison"}</definedName>
    <definedName name="Nremb">#REF!</definedName>
    <definedName name="NS">#REF!</definedName>
    <definedName name="Nudee">#REF!</definedName>
    <definedName name="NUM">#REF!</definedName>
    <definedName name="NUM_DOCS">#REF!</definedName>
    <definedName name="Num_Pmt_Per_Year">#REF!</definedName>
    <definedName name="Number">#REF!</definedName>
    <definedName name="Number_of_Operators">#REF!</definedName>
    <definedName name="Number_of_Parts">#REF!</definedName>
    <definedName name="Number_of_Payments">MATCH(0.01,End_Bal,-1)+1</definedName>
    <definedName name="Number_of_Trials">#REF!</definedName>
    <definedName name="NUMCHECK">AND(ISNUMBER(#REF!),ISNUMBER(#REF!),ISNUMBER(#REF!),ISNUMBER(#REF!))</definedName>
    <definedName name="NUMENTRIES">#REF!</definedName>
    <definedName name="nuy">OFFSET(_Ref1,0,Wk,29,1)</definedName>
    <definedName name="nv">#N/A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o" hidden="1">{"'和文'!$Q$45:$AP$71"}</definedName>
    <definedName name="ö" hidden="1">{"Presentation",#N/A,FALSE,"Feb96 - ALL"}</definedName>
    <definedName name="O_S" hidden="1">{"Revenue",#N/A,FALSE,"Series";"Ecprofit",#N/A,FALSE,"Series"}</definedName>
    <definedName name="öagtyu" hidden="1">{#N/A,#N/A,FALSE,"Cover";#N/A,#N/A,FALSE,"Profits";#N/A,#N/A,FALSE,"ABS";#N/A,#N/A,FALSE,"TFLE Detail";#N/A,#N/A,FALSE,"TFLE Walk";#N/A,#N/A,FALSE,"Variable Cost";#N/A,#N/A,FALSE,"V.C. Walk"}</definedName>
    <definedName name="Objectives">#REF!</definedName>
    <definedName name="OBSOLETE">#REF!</definedName>
    <definedName name="OCT">#REF!</definedName>
    <definedName name="OE">#REF!</definedName>
    <definedName name="of" hidden="1">{"pep204a",#N/A,FALSE,"tpepsum4a";"pep205a",#N/A,FALSE,"tpepsum4a";"wpep204a",#N/A,FALSE,"tpepsum4a";"wpep205a",#N/A,FALSE,"tpepsum4a"}</definedName>
    <definedName name="ohboy" hidden="1">{#N/A,#N/A,FALSE,"Graphs_Retail_US";#N/A,#N/A,FALSE,"Graphs_RCL_US";#N/A,#N/A,FALSE,"Graphs_WSHL_US";#N/A,#N/A,FALSE,"Graphs_ComLend_US";#N/A,#N/A,FALSE,"Graphs_Intra_US"}</definedName>
    <definedName name="oi" hidden="1">{#N/A,#N/A,FALSE,"Profit Status";#N/A,#N/A,FALSE,"Invest";#N/A,#N/A,FALSE,"Revenue";#N/A,#N/A,FALSE,"Variable Cost";#N/A,#N/A,FALSE,"Options &amp; Series"}</definedName>
    <definedName name="oio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ok" hidden="1">{#N/A,#N/A,FALSE,"TEST HOURS MONTHLY REPORT"}</definedName>
    <definedName name="okkokok" hidden="1">{"REVISED",#N/A,FALSE,"Sheet1"}</definedName>
    <definedName name="ol" hidden="1">{#N/A,#N/A,TRUE,"GPH_OVERALL";#N/A,#N/A,TRUE,"GPH_SUPPLR";#N/A,#N/A,TRUE,"GPH_RTNS"}</definedName>
    <definedName name="old" hidden="1">{"'Highlights'!$A$1:$M$123"}</definedName>
    <definedName name="oldnamebackup" hidden="1">{#N/A,#N/A,FALSE,"Cover Page";#N/A,#N/A,FALSE,"Facing Page";#N/A,#N/A,FALSE,"Main Page";#N/A,#N/A,FALSE,"Risk-Adjusted";#N/A,#N/A,FALSE,"Profit Improvement"}</definedName>
    <definedName name="oldpp" hidden="1">{#N/A,#N/A,FALSE,"Chart";#N/A,#N/A,FALSE,"Chart"}</definedName>
    <definedName name="öleuya" hidden="1">{#N/A,#N/A,FALSE,"UW152PPL"}</definedName>
    <definedName name="Oliver" hidden="1">{"Presentation",#N/A,FALSE,"Feb96 - ALL"}</definedName>
    <definedName name="öloåek" hidden="1">{#N/A,#N/A,FALSE,"Cover";#N/A,#N/A,FALSE,"Profits";#N/A,#N/A,FALSE,"ABS";#N/A,#N/A,FALSE,"TFLE Detail";#N/A,#N/A,FALSE,"TFLE Walk";#N/A,#N/A,FALSE,"Variable Cost";#N/A,#N/A,FALSE,"V.C. Walk"}</definedName>
    <definedName name="omar" hidden="1">{#N/A,#N/A,FALSE,"Assumptions";#N/A,#N/A,FALSE,"Volumes";#N/A,#N/A,FALSE,"Pricing";#N/A,#N/A,FALSE,"Variable Cost";#N/A,#N/A,FALSE,"Investment";#N/A,#N/A,FALSE,"Profitability";#N/A,#N/A,FALSE,"Business Comparison"}</definedName>
    <definedName name="OMIUH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ömn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one">#REF!</definedName>
    <definedName name="ONE_1" hidden="1">{#N/A,#N/A,FALSE,"COVER SHEET";#N/A,#N/A,FALSE,"iisumary"}</definedName>
    <definedName name="oneta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" hidden="1">{"Presentation",#N/A,FALSE,"Feb96 - ALL"}</definedName>
    <definedName name="OOO" hidden="1">{#N/A,#N/A,FALSE,"Assumptions";#N/A,#N/A,FALSE,"Volumes";#N/A,#N/A,FALSE,"Pricing";#N/A,#N/A,FALSE,"Variable Cost";#N/A,#N/A,FALSE,"Investment";#N/A,#N/A,FALSE,"Profitability";#N/A,#N/A,FALSE,"Business Comparison"}</definedName>
    <definedName name="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" hidden="1">{#N/A,#N/A,FALSE,"Cover";#N/A,#N/A,FALSE,"Profits";#N/A,#N/A,FALSE,"ABS";#N/A,#N/A,FALSE,"TFLE Detail";#N/A,#N/A,FALSE,"TFLE Walk";#N/A,#N/A,FALSE,"Variable Cost";#N/A,#N/A,FALSE,"V.C. Walk"}</definedName>
    <definedName name="OO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p" hidden="1">#REF!</definedName>
    <definedName name="OPÅOPÅ" hidden="1">{"COMPARISON",#N/A,FALSE,"Sheet1"}</definedName>
    <definedName name="Open">TRUE</definedName>
    <definedName name="Opportunity" hidden="1">{#N/A,#N/A,FALSE,"Assumptions";#N/A,#N/A,FALSE,"Volumes";#N/A,#N/A,FALSE,"Pricing";#N/A,#N/A,FALSE,"Variable Cost";#N/A,#N/A,FALSE,"Investment";#N/A,#N/A,FALSE,"Profitability";#N/A,#N/A,FALSE,"Business Comparison"}</definedName>
    <definedName name="opq" hidden="1">{"Fiesta Facer Page",#N/A,FALSE,"Q_C_S";"Fiesta Main Page",#N/A,FALSE,"V_L";"Fiesta 95BP Struct",#N/A,FALSE,"StructBP";"Fiesta Post 95BP Struct",#N/A,FALSE,"AdjStructBP"}</definedName>
    <definedName name="op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ptions_1" hidden="1">{#N/A,#N/A,FALSE,"Cover Page";#N/A,#N/A,FALSE,"Facing Page";#N/A,#N/A,FALSE,"Main Page";#N/A,#N/A,FALSE,"Risk-Adjusted";#N/A,#N/A,FALSE,"Profit Improvement"}</definedName>
    <definedName name="Options_10" hidden="1">{"Fiesta Facer Page",#N/A,FALSE,"Q_C_S";"Fiesta Main Page",#N/A,FALSE,"V_L";"Fiesta 95BP Struct",#N/A,FALSE,"StructBP";"Fiesta Post 95BP Struct",#N/A,FALSE,"AdjStructBP"}</definedName>
    <definedName name="Options_11" hidden="1">{#N/A,#N/A,FALSE,"expense";#N/A,#N/A,FALSE,"heads"}</definedName>
    <definedName name="Options_12" hidden="1">{"salaried",#N/A,FALSE,"VLD View (2)"}</definedName>
    <definedName name="Options_13" hidden="1">{#N/A,#N/A,FALSE,"Cover";#N/A,#N/A,FALSE,"Profits";#N/A,#N/A,FALSE,"ABS";#N/A,#N/A,FALSE,"TFLE Detail";#N/A,#N/A,FALSE,"TFLE Walk";#N/A,#N/A,FALSE,"Variable Cost";#N/A,#N/A,FALSE,"V.C. Walk"}</definedName>
    <definedName name="Options_14" hidden="1">{#N/A,#N/A,FALSE,"SumMonth"}</definedName>
    <definedName name="Options_15" hidden="1">{#N/A,#N/A,FALSE,"Profit Status";#N/A,#N/A,FALSE,"Invest";#N/A,#N/A,FALSE,"Revenue";#N/A,#N/A,FALSE,"Variable Cost";#N/A,#N/A,FALSE,"Options &amp; Series"}</definedName>
    <definedName name="Options_16" hidden="1">{#N/A,#N/A,FALSE,"Cover Page";#N/A,#N/A,FALSE,"Facing Page";#N/A,#N/A,FALSE,"Main Page";#N/A,#N/A,FALSE,"Risk-Adjusted";#N/A,#N/A,FALSE,"Profit Improvement"}</definedName>
    <definedName name="Options_17" hidden="1">{#N/A,#N/A,FALSE,"SumMonth";#N/A,#N/A,FALSE,"SumMonth"}</definedName>
    <definedName name="Options_18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hidden="1">{#N/A,#N/A,FALSE,"2001 CBG";#N/A,#N/A,FALSE,"2002 CBG";#N/A,#N/A,FALSE,"2003 CBG";#N/A,#N/A,FALSE,"2004 CBG";#N/A,#N/A,FALSE,"2005 CBG";#N/A,#N/A,FALSE,"2006 CBG ";#N/A,#N/A,FALSE,"2007 CBG";#N/A,#N/A,FALSE,"2008 CBG"}</definedName>
    <definedName name="Options_20" hidden="1">{#N/A,#N/A,FALSE,"LVC Final";#N/A,#N/A,FALSE,"TVC Final";#N/A,#N/A,FALSE,"PTO Final";#N/A,#N/A,FALSE,"RVT Final";#N/A,#N/A,FALSE,"CD Final"}</definedName>
    <definedName name="Options_5" hidden="1">{#N/A,#N/A,FALSE,"Profit Status";#N/A,#N/A,FALSE,"Invest";#N/A,#N/A,FALSE,"Revenue";#N/A,#N/A,FALSE,"Variable Cost";#N/A,#N/A,FALSE,"Options &amp; Series"}</definedName>
    <definedName name="Options_6" hidden="1">{#N/A,#N/A,FALSE,"Assumptions";#N/A,#N/A,FALSE,"Volumes";#N/A,#N/A,FALSE,"Pricing";#N/A,#N/A,FALSE,"Variable Cost";#N/A,#N/A,FALSE,"Investment";#N/A,#N/A,FALSE,"Profitability";#N/A,#N/A,FALSE,"Business Comparison"}</definedName>
    <definedName name="Options_7" hidden="1">{#N/A,#N/A,FALSE,"Assumptions";#N/A,#N/A,FALSE,"Volumes";#N/A,#N/A,FALSE,"Pricing";#N/A,#N/A,FALSE,"Variable Cost";#N/A,#N/A,FALSE,"Investment";#N/A,#N/A,FALSE,"Profitability";#N/A,#N/A,FALSE,"Business Comparison"}</definedName>
    <definedName name="Options_8" hidden="1">{#N/A,#N/A,FALSE,"Assumptions";#N/A,#N/A,FALSE,"Volumes";#N/A,#N/A,FALSE,"Pricing";#N/A,#N/A,FALSE,"Variable Cost";#N/A,#N/A,FALSE,"Investment";#N/A,#N/A,FALSE,"Profitability";#N/A,#N/A,FALSE,"Business Comparison"}</definedName>
    <definedName name="Options_9" hidden="1">{#N/A,#N/A,FALSE,"Profit Status";#N/A,#N/A,FALSE,"Invest";#N/A,#N/A,FALSE,"Revenue";#N/A,#N/A,FALSE,"Variable Cost";#N/A,#N/A,FALSE,"Options &amp; Series"}</definedName>
    <definedName name="opx_version" hidden="1">0</definedName>
    <definedName name="OR">#N/A</definedName>
    <definedName name="OrderTable" hidden="1">#REF!</definedName>
    <definedName name="OrgCell">#REF!</definedName>
    <definedName name="ORIGINAL">#N/A</definedName>
    <definedName name="OSRRefAH20x_0">#REF!</definedName>
    <definedName name="othcred">#REF!</definedName>
    <definedName name="other">0.011</definedName>
    <definedName name="OTHERAMT">#REF!</definedName>
    <definedName name="ou" hidden="1">{#N/A,#N/A,FALSE,"Sheet1";#N/A,#N/A,FALSE,"Sheet1"}</definedName>
    <definedName name="Overhead_BU">#REF!</definedName>
    <definedName name="p" hidden="1">{#N/A,#N/A,FALSE,"Chart";#N/A,#N/A,FALSE,"Overview";#N/A,#N/A,FALSE,"Overview_Acty";#N/A,#N/A,FALSE,"Inc97D";#N/A,#N/A,FALSE,"Rel_Inc97TD";#N/A,#N/A,FALSE,"Rel_Inc_97_NTD";#N/A,#N/A,FALSE,"Marketing";#N/A,#N/A,FALSE,"Pot_97"}</definedName>
    <definedName name="P_0">#REF!</definedName>
    <definedName name="P_1">#REF!</definedName>
    <definedName name="P_10">#REF!</definedName>
    <definedName name="P_11">#REF!</definedName>
    <definedName name="P_12">#REF!</definedName>
    <definedName name="P_13">#REF!</definedName>
    <definedName name="P_2">#REF!</definedName>
    <definedName name="P_3">#REF!</definedName>
    <definedName name="P_4">#REF!</definedName>
    <definedName name="P_5">#REF!</definedName>
    <definedName name="P_6">#REF!</definedName>
    <definedName name="P_7">#REF!</definedName>
    <definedName name="P_8">#REF!</definedName>
    <definedName name="P_9">#REF!</definedName>
    <definedName name="P_L_DISCLOSURE">#N/A</definedName>
    <definedName name="P_M">#REF!</definedName>
    <definedName name="P_PrintArea">#REF!</definedName>
    <definedName name="P1_CM" hidden="1">{"REVISED",#N/A,FALSE,"Sheet1"}</definedName>
    <definedName name="P2_Eff">#REF!</definedName>
    <definedName name="P2_FY">#REF!</definedName>
    <definedName name="P2_Index">#REF!</definedName>
    <definedName name="P2_PGB">#REF!</definedName>
    <definedName name="P2_PI">#REF!</definedName>
    <definedName name="P2_SOP">#REF!</definedName>
    <definedName name="pa_first_plan_year">#REF!</definedName>
    <definedName name="pa_part_quota">#REF!</definedName>
    <definedName name="pa_tax_dai">#REF!</definedName>
    <definedName name="pa_valuation_year">#REF!</definedName>
    <definedName name="pa_wacc_calc">#REF!</definedName>
    <definedName name="pa_wacc_dai_at">#REF!</definedName>
    <definedName name="pa_wacc_dai_pre">#REF!</definedName>
    <definedName name="pad" hidden="1">{0,#N/A,FALSE,0}</definedName>
    <definedName name="Pa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apoapbt">#REF!</definedName>
    <definedName name="pagapoastat">#REF!</definedName>
    <definedName name="PAGE1">#REF!</definedName>
    <definedName name="page1f" hidden="1">{#N/A,#N/A,FALSE,"99 INTRO"}</definedName>
    <definedName name="PAGE2">#N/A</definedName>
    <definedName name="PAGE4">#REF!</definedName>
    <definedName name="page8a" hidden="1">{#N/A,#N/A,FALSE,"Profit Status";#N/A,#N/A,FALSE,"Invest";#N/A,#N/A,FALSE,"Revenue";#N/A,#N/A,FALSE,"Variable Cost";#N/A,#N/A,FALSE,"Options &amp; Series"}</definedName>
    <definedName name="pageurpbt">#REF!</definedName>
    <definedName name="pageurstat">#REF!</definedName>
    <definedName name="pagnapbt">#REF!</definedName>
    <definedName name="pagnastat">#REF!</definedName>
    <definedName name="pagsapbt">#REF!</definedName>
    <definedName name="pagsastat">#REF!</definedName>
    <definedName name="Paint" hidden="1">{"B_Bases",#N/A,FALSE,"Wk_Brz_Act";"A_Base",#N/A,FALSE,"Wk_Arg_Act"}</definedName>
    <definedName name="pam" hidden="1">{#N/A,#N/A,FALSE,"Chart";#N/A,#N/A,FALSE,"Chart"}</definedName>
    <definedName name="pam_1" hidden="1">{#N/A,#N/A,FALSE,"Chart";#N/A,#N/A,FALSE,"Chart"}</definedName>
    <definedName name="PANAL">#REF!</definedName>
    <definedName name="papa" hidden="1">{#N/A,#N/A,FALSE,"Profit Status";#N/A,#N/A,FALSE,"Invest";#N/A,#N/A,FALSE,"Revenue";#N/A,#N/A,FALSE,"Variable Cost";#N/A,#N/A,FALSE,"Options &amp; Series"}</definedName>
    <definedName name="PAPP">36307.5690509259</definedName>
    <definedName name="PART_DESCRIPTIO">#REF!</definedName>
    <definedName name="PART_NO.">#REF!</definedName>
    <definedName name="partclass">OFFSET(#REF!,0,0,COUNTA(#REF!),1)</definedName>
    <definedName name="Particulars">#REF!</definedName>
    <definedName name="PARTNERS_INITIALS">#REF!</definedName>
    <definedName name="partshop">#REF!</definedName>
    <definedName name="parttype">OFFSET(#REF!,0,0,COUNTA(#REF!),1)</definedName>
    <definedName name="password_entry_Change">#N/A</definedName>
    <definedName name="PASTE_START">#REF!</definedName>
    <definedName name="pavithra" hidden="1">{#N/A,#N/A,FALSE,"Sheet1";"current deposit",#N/A,FALSE,"Sheet1";"current deposit",#N/A,FALSE,"Sheet1"}</definedName>
    <definedName name="Pay_Date">#REF!</definedName>
    <definedName name="Pay_Num">#REF!</definedName>
    <definedName name="Payment_Date" localSheetId="5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13">DATE(YEAR([0]!Loan_Start),MONTH([0]!Loan_Start)+Payment_Number,DAY([0]!Loan_Start))</definedName>
    <definedName name="Payment_Date" localSheetId="14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4">DATE(YEAR([0]!Loan_Start),MONTH([0]!Loan_Start)+Payment_Number,DAY([0]!Loan_Start))</definedName>
    <definedName name="Payment_Date" localSheetId="10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>DATE(YEAR([0]!Loan_Start),MONTH([0]!Loan_Start)+Payment_Number,DAY([0]!Loan_Start))</definedName>
    <definedName name="payroll">#REF!</definedName>
    <definedName name="PBT">#REF!</definedName>
    <definedName name="PCS_UNIT_1035">#REF!</definedName>
    <definedName name="PD.chart" hidden="1">#REF!</definedName>
    <definedName name="PD.chart1A" hidden="1">#REF!</definedName>
    <definedName name="PD.chart2A" hidden="1">#REF!</definedName>
    <definedName name="pds">#REF!</definedName>
    <definedName name="PDTColumns">#REF!</definedName>
    <definedName name="PDTGridValues">#REF!</definedName>
    <definedName name="pep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pe" hidden="1">{#N/A,#N/A,FALSE,"Assumptions";#N/A,#N/A,FALSE,"Volumes";#N/A,#N/A,FALSE,"Pricing";#N/A,#N/A,FALSE,"Variable Cost";#N/A,#N/A,FALSE,"Investment";#N/A,#N/A,FALSE,"Profitability";#N/A,#N/A,FALSE,"Business Comparison"}</definedName>
    <definedName name="percent_multiplier">100</definedName>
    <definedName name="PERIOD">#REF!</definedName>
    <definedName name="Period_Month">12</definedName>
    <definedName name="Period_Year">1997</definedName>
    <definedName name="PeriodCell">#REF!</definedName>
    <definedName name="PeriodsInYear">#REF!</definedName>
    <definedName name="PERYR">#REF!</definedName>
    <definedName name="pf1wrn.all" hidden="1">{"Fiesta Facer Page",#N/A,FALSE,"Q_C_S";"Fiesta Main Page",#N/A,FALSE,"V_L";"Fiesta 95BP Struct",#N/A,FALSE,"StructBP";"Fiesta Post 95BP Struct",#N/A,FALSE,"AdjStructBP"}</definedName>
    <definedName name="pf1wrn.allx" hidden="1">{"Fiesta Facer Page",#N/A,FALSE,"Q_C_S";"Fiesta Main Page",#N/A,FALSE,"V_L";"Fiesta 95BP Struct",#N/A,FALSE,"StructBP";"Fiesta Post 95BP Struct",#N/A,FALSE,"AdjStructBP"}</definedName>
    <definedName name="pf1wrn.Presentation" hidden="1">{"Presentation",#N/A,FALSE,"Feb96 - ALL"}</definedName>
    <definedName name="pf1wrn.presentationx" hidden="1">{"Presentation",#N/A,FALSE,"Feb96 - ALL"}</definedName>
    <definedName name="pf1wrn.TCR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GM_CODE">#REF!</definedName>
    <definedName name="phase">"Dropdown 11"</definedName>
    <definedName name="Phone">#REF!</definedName>
    <definedName name="pi">4*ATAN(1)</definedName>
    <definedName name="PieChart">"PieChart"</definedName>
    <definedName name="pi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n">#REF!</definedName>
    <definedName name="piper">#REF!</definedName>
    <definedName name="pipi" hidden="1">{#N/A,#N/A,FALSE,"Assumptions";#N/A,#N/A,FALSE,"Volumes";#N/A,#N/A,FALSE,"Pricing";#N/A,#N/A,FALSE,"Variable Cost";#N/A,#N/A,FALSE,"Investment";#N/A,#N/A,FALSE,"Profitability";#N/A,#N/A,FALSE,"Business Comparison"}</definedName>
    <definedName name="PKOPÄ" hidden="1">{#N/A,#N/A,FALSE,"Assumptions";#N/A,#N/A,FALSE,"Volumes";#N/A,#N/A,FALSE,"Pricing";#N/A,#N/A,FALSE,"Variable Cost";#N/A,#N/A,FALSE,"Investment";#N/A,#N/A,FALSE,"Profitability";#N/A,#N/A,FALSE,"Business Comparison"}</definedName>
    <definedName name="PL" hidden="1">{"forecast",#N/A,FALSE,"PL";"FCST YTD",#N/A,FALSE,"PL";"new bud adj",#N/A,FALSE,"PL";"new budget",#N/A,FALSE,"PL";"qtr",#N/A,FALSE,"PL";"bal sheet",#N/A,FALSE,"MONTHLY BALANCE SHEET";"fcst w head depre cap",#N/A,FALSE,"PL"}</definedName>
    <definedName name="PL_SUMBUD">#REF!</definedName>
    <definedName name="PL_SUMFOR">#REF!</definedName>
    <definedName name="PL_SUMLASTY">#REF!</definedName>
    <definedName name="PL_SUMYTD">#REF!</definedName>
    <definedName name="PLABS">#REF!</definedName>
    <definedName name="Plan_Currency">#REF!</definedName>
    <definedName name="Plan_Version">#REF!</definedName>
    <definedName name="Plan14Prof">#REF!</definedName>
    <definedName name="planilha" hidden="1">{#N/A,#N/A,FALSE,"Assumptions";#N/A,#N/A,FALSE,"Volumes";#N/A,#N/A,FALSE,"Pricing";#N/A,#N/A,FALSE,"Variable Cost";#N/A,#N/A,FALSE,"Investment";#N/A,#N/A,FALSE,"Profitability";#N/A,#N/A,FALSE,"Business Comparison"}</definedName>
    <definedName name="Plant_Selection">#REF!</definedName>
    <definedName name="Plant1">"Kansas City"</definedName>
    <definedName name="please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pm" hidden="1">{"'Highlights'!$A$1:$M$123"}</definedName>
    <definedName name="pm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mnt">#REF!</definedName>
    <definedName name="pmt">OFFSET(#REF!,0,0,COUNTA(#REF!),1)</definedName>
    <definedName name="PMU">#REF!</definedName>
    <definedName name="PNPrinciple">#REF!</definedName>
    <definedName name="po" hidden="1">{"salaried",#N/A,FALSE,"VLD View (2)"}</definedName>
    <definedName name="poi" hidden="1">{#N/A,#N/A,FALSE,"Profit Status";#N/A,#N/A,FALSE,"Invest";#N/A,#N/A,FALSE,"Revenue";#N/A,#N/A,FALSE,"Variable Cost";#N/A,#N/A,FALSE,"Options &amp; Series"}</definedName>
    <definedName name="poi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y" hidden="1">{#N/A,#N/A,FALSE,"Assumptions";#N/A,#N/A,FALSE,"Volumes";#N/A,#N/A,FALSE,"Pricing";#N/A,#N/A,FALSE,"Variable Cost";#N/A,#N/A,FALSE,"Investment";#N/A,#N/A,FALSE,"Profitability";#N/A,#N/A,FALSE,"Business Comparison"}</definedName>
    <definedName name="poj">#REF!</definedName>
    <definedName name="POJKPJOK" hidden="1">{#N/A,#N/A,FALSE,"Assumptions";#N/A,#N/A,FALSE,"Volumes";#N/A,#N/A,FALSE,"Pricing";#N/A,#N/A,FALSE,"Variable Cost";#N/A,#N/A,FALSE,"Investment";#N/A,#N/A,FALSE,"Profitability";#N/A,#N/A,FALSE,"Business Comparison"}</definedName>
    <definedName name="Pongsak">#REF!</definedName>
    <definedName name="poo" hidden="1">{"Presentation",#N/A,FALSE,"Feb96 - ALL"}</definedName>
    <definedName name="porn">#N/A</definedName>
    <definedName name="Portugal">#REF!</definedName>
    <definedName name="POSTING">#REF!</definedName>
    <definedName name="pp">#REF!</definedName>
    <definedName name="ppep" hidden="1">{"rev",#N/A,FALSE,"ppepsum";"vcost",#N/A,FALSE,"ppepsum";"ecprof",#N/A,FALSE,"ppepsum"}</definedName>
    <definedName name="ppl">#REF!</definedName>
    <definedName name="ppp" hidden="1">{#N/A,#N/A,FALSE,"Cover Page";#N/A,#N/A,FALSE,"Facing Page";#N/A,#N/A,FALSE,"Main Page";#N/A,#N/A,FALSE,"Risk-Adjusted";#N/A,#N/A,FALSE,"Profit Improvement"}</definedName>
    <definedName name="pppp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ppppp" hidden="1">{"avrev",#N/A,FALSE,"AVREV";"rates",#N/A,FALSE,"AVREV"}</definedName>
    <definedName name="pqr" hidden="1">{"Fiesta Facer Page",#N/A,FALSE,"Q_C_S";"Fiesta Main Page",#N/A,FALSE,"V_L";"Fiesta 95BP Struct",#N/A,FALSE,"StructBP";"Fiesta Post 95BP Struct",#N/A,FALSE,"AdjStructBP"}</definedName>
    <definedName name="prado" hidden="1">{#N/A,#N/A,FALSE,"Assumptions";#N/A,#N/A,FALSE,"Volumes";#N/A,#N/A,FALSE,"Pricing";#N/A,#N/A,FALSE,"Variable Cost";#N/A,#N/A,FALSE,"Investment";#N/A,#N/A,FALSE,"Profitability";#N/A,#N/A,FALSE,"Business Comparison"}</definedName>
    <definedName name="PRDump">#REF!</definedName>
    <definedName name="Pre_Re_Bin_By_Adjustment_Query">#REF!</definedName>
    <definedName name="preman">#REF!</definedName>
    <definedName name="pres" hidden="1">{"Presentation",#N/A,FALSE,"Feb96 - ALL"}</definedName>
    <definedName name="present" hidden="1">{#N/A,#N/A,FALSE,"Cover";#N/A,#N/A,FALSE,"Profits";#N/A,#N/A,FALSE,"ABS";#N/A,#N/A,FALSE,"TFLE Detail";#N/A,#N/A,FALSE,"TFLE Walk";#N/A,#N/A,FALSE,"Variable Cost";#N/A,#N/A,FALSE,"V.C. Walk"}</definedName>
    <definedName name="presx" hidden="1">{"Presentation",#N/A,FALSE,"Feb96 - ALL"}</definedName>
    <definedName name="previous">#REF!</definedName>
    <definedName name="Princ">#REF!</definedName>
    <definedName name="Print_1st_Qtr_Only">#REF!</definedName>
    <definedName name="print_all">#N/A</definedName>
    <definedName name="_xlnm.Print_Area">#REF!</definedName>
    <definedName name="Print_Area_MI">#REF!</definedName>
    <definedName name="Print_Area_Reset">OFFSET(Full_Print,0,0,Last_Row)</definedName>
    <definedName name="_xlnm.Print_Titles">#REF!</definedName>
    <definedName name="PRINT_TITLES_MI">#REF!</definedName>
    <definedName name="Print_YTD_and_Qtr">#REF!</definedName>
    <definedName name="PRINT1">#REF!</definedName>
    <definedName name="Print2">#REF!</definedName>
    <definedName name="PRINTALL">#REF!</definedName>
    <definedName name="PRINTALL1">#REF!</definedName>
    <definedName name="PrintAllSheets">#N/A</definedName>
    <definedName name="PrintArea">#REF!</definedName>
    <definedName name="PrintArea1">#REF!</definedName>
    <definedName name="PRINTBS_MONTH">#REF!</definedName>
    <definedName name="PRINTBS_MONTH1">#REF!</definedName>
    <definedName name="PRINTCF_MONTH">#REF!</definedName>
    <definedName name="PRINTCF_MONTH1">#REF!</definedName>
    <definedName name="printer">#REF!</definedName>
    <definedName name="printers">#REF!</definedName>
    <definedName name="PRINTEVA_MONTH">#REF!</definedName>
    <definedName name="PRINTEVA_MONTH1">#REF!</definedName>
    <definedName name="PRINTINDEX">#REF!</definedName>
    <definedName name="PRINTINDEX1">#REF!</definedName>
    <definedName name="PRINTIS_MONTH">#REF!</definedName>
    <definedName name="PRINTIS_MONTH1">#REF!</definedName>
    <definedName name="PRINTKEY_MEAS">#REF!</definedName>
    <definedName name="PRINTKEY_MEAS1">#REF!</definedName>
    <definedName name="PRINTQTR_COMP">#REF!</definedName>
    <definedName name="PRINTQTR_COMP1">#REF!</definedName>
    <definedName name="PRINTWC_MONTH">#REF!</definedName>
    <definedName name="PRINTWC_MONTH1">#REF!</definedName>
    <definedName name="PRIOR">#REF!</definedName>
    <definedName name="PriorIssue">#REF!</definedName>
    <definedName name="pro">#REF!</definedName>
    <definedName name="Proceeds">#REF!</definedName>
    <definedName name="Prod_Ext">#REF!</definedName>
    <definedName name="ProdForm" hidden="1">#REF!</definedName>
    <definedName name="Product" hidden="1">#REF!</definedName>
    <definedName name="production">OFFSET(_Ref1,0,Wk,29,1)</definedName>
    <definedName name="ProductionDataEntry">#REF!,#REF!,#REF!,#REF!,#REF!</definedName>
    <definedName name="productionstockdisposition">OFFSET(#REF!,0,0,COUNTA(#REF!),1)</definedName>
    <definedName name="Productivity" hidden="1">{"avrev",#N/A,FALSE,"AVREV";"rates",#N/A,FALSE,"AVREV"}</definedName>
    <definedName name="Productt" hidden="1">#REF!</definedName>
    <definedName name="prof_anal" hidden="1">{#N/A,#N/A,FALSE,"Profit Status";#N/A,#N/A,FALSE,"Invest";#N/A,#N/A,FALSE,"Revenue";#N/A,#N/A,FALSE,"Variable Cost";#N/A,#N/A,FALSE,"Options &amp; Series"}</definedName>
    <definedName name="PROFIT_AND_LOSS">#REF!</definedName>
    <definedName name="Profit_BU">#REF!</definedName>
    <definedName name="ProfitBU">#REF!</definedName>
    <definedName name="Profits">#REF!</definedName>
    <definedName name="Proforma" hidden="1">{#N/A,#N/A,FALSE,"expense";#N/A,#N/A,FALSE,"heads"}</definedName>
    <definedName name="progpage">#REF!</definedName>
    <definedName name="Program">#REF!</definedName>
    <definedName name="programs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j_Summary">#REF!</definedName>
    <definedName name="Project_Start">#REF!</definedName>
    <definedName name="PROJECTED_FIRST_QUARTER_AND_SECOND_QUARTER_2000_FIXED_ASSETS">#REF!</definedName>
    <definedName name="PROJECTED_FULL_YEAR_1999_FIXED_ASSETS">#REF!</definedName>
    <definedName name="PROJECTED_FULL_YEAR_2000_FIXED_ASSETS">#REF!</definedName>
    <definedName name="PROJECTED_Q3_AND_Q4_1999____Q1_AND_Q2_2000_FIXED_ASSETS">#REF!</definedName>
    <definedName name="PROJECTED_THIRD_AND_FOURTH_QUARTER_1999_FIXED_ASSETS">#REF!</definedName>
    <definedName name="PROJECTED_THIRD_AND_FOURTH_QUARTER_2000_FIXED_ASSETS">#REF!</definedName>
    <definedName name="ProjectName">{"Client Name or Project Name"}</definedName>
    <definedName name="protobuildgroup">OFFSET(#REF!,0,0,COUNTA(#REF!),1)</definedName>
    <definedName name="Prototype">#REF!</definedName>
    <definedName name="prototypestockdisposition">OFFSET(#REF!,0,0,COUNTA(#REF!),1)</definedName>
    <definedName name="PRVCOST1">#REF!</definedName>
    <definedName name="PRVCOST2">#REF!</definedName>
    <definedName name="PRVCOST23">#REF!</definedName>
    <definedName name="PRVCOST3">#REF!</definedName>
    <definedName name="PRVCOST4">#REF!</definedName>
    <definedName name="PRVRY01">#REF!</definedName>
    <definedName name="PRVRY02">#REF!</definedName>
    <definedName name="PRVRY03">#REF!</definedName>
    <definedName name="PRVRY04">#REF!</definedName>
    <definedName name="PS">#REF!</definedName>
    <definedName name="PSO">#REF!</definedName>
    <definedName name="ptrn" hidden="1">{"REVISED",#N/A,FALSE,"Sheet1"}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SB" hidden="1">{"'Highlights'!$A$1:$M$123"}</definedName>
    <definedName name="pullahead">#REF!</definedName>
    <definedName name="Puma" hidden="1">{"Presentation",#N/A,FALSE,"Feb96 - ALL"}</definedName>
    <definedName name="pumadiesel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x" hidden="1">{#N/A,#N/A,FALSE,"Chart";#N/A,#N/A,FALSE,"Overview";#N/A,#N/A,FALSE,"Overview_Acty";#N/A,#N/A,FALSE,"Inc97D";#N/A,#N/A,FALSE,"Rel_Inc97TD";#N/A,#N/A,FALSE,"Rel_Inc_97_NTD";#N/A,#N/A,FALSE,"Marketing";#N/A,#N/A,FALSE,"Pot_97"}</definedName>
    <definedName name="py_assoc_gain">#REF!</definedName>
    <definedName name="py_assoc_upi">#REF!</definedName>
    <definedName name="py_ferco_upi">#REF!</definedName>
    <definedName name="py_fmcc_upi">#REF!</definedName>
    <definedName name="py_hertz_upi">#REF!</definedName>
    <definedName name="py_rcl_upi">#REF!</definedName>
    <definedName name="Q" hidden="1">#REF!</definedName>
    <definedName name="Q_1" hidden="1">{#N/A,#N/A,FALSE,"Cover Page";#N/A,#N/A,FALSE,"Facing Page";#N/A,#N/A,FALSE,"Main Page";#N/A,#N/A,FALSE,"Risk-Adjusted";#N/A,#N/A,FALSE,"Profit Improvement"}</definedName>
    <definedName name="Q1Exp1">#REF!</definedName>
    <definedName name="Q1Exp2">#REF!</definedName>
    <definedName name="Q1ExpRev1">#REF!</definedName>
    <definedName name="Q1ExpVM1">#REF!</definedName>
    <definedName name="Q2Exp1">#REF!</definedName>
    <definedName name="Q2Exp2">#REF!</definedName>
    <definedName name="Q2ExpRev1">#REF!</definedName>
    <definedName name="Q2ExpVM1">#REF!</definedName>
    <definedName name="Q3Exp1">#REF!</definedName>
    <definedName name="Q3Exp2">#REF!</definedName>
    <definedName name="Q3ExpRev1">#REF!</definedName>
    <definedName name="Q3ExpVM1">#REF!</definedName>
    <definedName name="q3rtertqar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4Exp1">#REF!</definedName>
    <definedName name="Q4Exp2">#REF!</definedName>
    <definedName name="Q4ExpRev1">#REF!</definedName>
    <definedName name="Q4ExpVM1">#REF!</definedName>
    <definedName name="qa" hidden="1">{"'Highlights'!$A$1:$M$123"}</definedName>
    <definedName name="QA_Tech">#REF!</definedName>
    <definedName name="qdv" hidden="1">{#N/A,#N/A,FALSE,"Chart";#N/A,#N/A,FALSE,"Chart"}</definedName>
    <definedName name="qe" hidden="1">#REF!</definedName>
    <definedName name="QEAddition">#REF!</definedName>
    <definedName name="QEBF">#REF!</definedName>
    <definedName name="QECF">#REF!</definedName>
    <definedName name="QEDisposal">#REF!</definedName>
    <definedName name="qef" hidden="1">{"Fiesta Facer Page",#N/A,FALSE,"Q_C_S";"Fiesta Main Page",#N/A,FALSE,"V_L";"Fiesta 95BP Struct",#N/A,FALSE,"StructBP";"Fiesta Post 95BP Struct",#N/A,FALSE,"AdjStructBP"}</definedName>
    <definedName name="qer" hidden="1">{"Fiesta Facer Page",#N/A,FALSE,"Q_C_S";"Fiesta Main Page",#N/A,FALSE,"V_L";"Fiesta 95BP Struct",#N/A,FALSE,"StructBP";"Fiesta Post 95BP Struct",#N/A,FALSE,"AdjStructBP"}</definedName>
    <definedName name="qerbg" hidden="1">{"Fiesta Facer Page",#N/A,FALSE,"Q_C_S";"Fiesta Main Page",#N/A,FALSE,"V_L";"Fiesta 95BP Struct",#N/A,FALSE,"StructBP";"Fiesta Post 95BP Struct",#N/A,FALSE,"AdjStructBP"}</definedName>
    <definedName name="qere" hidden="1">{#N/A,#N/A,FALSE,"Sheet1"}</definedName>
    <definedName name="qerwtr" hidden="1">{"Wholesale",#N/A,FALSE,"1+11";"wholesale Mix",#N/A,FALSE,"1+11"}</definedName>
    <definedName name="qew" hidden="1">{"avrev",#N/A,FALSE,"AVREV";"rates",#N/A,FALSE,"AVREV"}</definedName>
    <definedName name="qexlQryInfo">{" ","","","","",""}</definedName>
    <definedName name="QFDMain">#N/A</definedName>
    <definedName name="qfe" hidden="1">{#N/A,#N/A,FALSE,"Assumptions";#N/A,#N/A,FALSE,"Volumes";#N/A,#N/A,FALSE,"Pricing";#N/A,#N/A,FALSE,"Variable Cost";#N/A,#N/A,FALSE,"Investment";#N/A,#N/A,FALSE,"Profitability";#N/A,#N/A,FALSE,"Business Comparison"}</definedName>
    <definedName name="qi" hidden="1">#REF!</definedName>
    <definedName name="QIII" hidden="1">#REF!</definedName>
    <definedName name="qo" hidden="1">#REF!</definedName>
    <definedName name="qp" hidden="1">#REF!</definedName>
    <definedName name="ｑｑ" hidden="1">{#N/A,#N/A,TRUE,"RIDE";#N/A,#N/A,TRUE,"STEERING";#N/A,#N/A,TRUE,"HANDLING";#N/A,#N/A,TRUE,"BRAKING"}</definedName>
    <definedName name="qqq" hidden="1">{"fcst w head depre cap",#N/A,FALSE,"PL";"new bud adj",#N/A,FALSE,"PL";"qtr",#N/A,FALSE,"PL";"quick",#N/A,FALSE,"PL";"bal sheet",#N/A,FALSE,"PL";"fixed assets",#N/A,FALSE,"PL"}</definedName>
    <definedName name="qqq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ｑｑｑｑｑ" hidden="1">{#N/A,#N/A,TRUE,"RIDE";#N/A,#N/A,TRUE,"STEERING";#N/A,#N/A,TRUE,"HANDLING";#N/A,#N/A,TRUE,"BRAKING"}</definedName>
    <definedName name="qqqqqq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qqqqqqqqq" hidden="1">{"Presentation",#N/A,FALSE,"Feb96 - ALL"}</definedName>
    <definedName name="qqq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w" hidden="1">{"pep204a",#N/A,FALSE,"tpepsum4a";"pep205a",#N/A,FALSE,"tpepsum4a";"wpep204a",#N/A,FALSE,"tpepsum4a";"wpep205a",#N/A,FALSE,"tpepsum4a"}</definedName>
    <definedName name="Q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y_Sum">#REF!</definedName>
    <definedName name="Qry_Sum1">#REF!</definedName>
    <definedName name="qryBOM">#REF!</definedName>
    <definedName name="QRYQ" hidden="1">{#N/A,#N/A,FALSE,"Cover";#N/A,#N/A,FALSE,"Profits";#N/A,#N/A,FALSE,"ABS";#N/A,#N/A,FALSE,"TFLE Detail";#N/A,#N/A,FALSE,"TFLE Walk";#N/A,#N/A,FALSE,"Variable Cost";#N/A,#N/A,FALSE,"V.C. Walk"}</definedName>
    <definedName name="qsqswsw" hidden="1">{#N/A,#N/A,FALSE,"GRAFIK";#N/A,#N/A,FALSE,"TOP30MEM"}</definedName>
    <definedName name="qswda" hidden="1">{#N/A,#N/A,FALSE,"Chart";#N/A,#N/A,FALSE,"Chart"}</definedName>
    <definedName name="qt" hidden="1">#REF!</definedName>
    <definedName name="QTY">#REF!</definedName>
    <definedName name="qu" hidden="1">#REF!</definedName>
    <definedName name="quantityunitofmeasure">OFFSET(#REF!,0,0,COUNTA(#REF!),1)</definedName>
    <definedName name="quaro" hidden="1">{"'OBT_6M_30_6'!$S$1:$AE$53"}</definedName>
    <definedName name="Quarter">#REF!</definedName>
    <definedName name="QueryHeadings">#REF!</definedName>
    <definedName name="ｑｗ" hidden="1">{#N/A,"VA",FALSE,"output";#N/A,"VB",FALSE,"output";#N/A,"VS",FALSE,"output";#N/A,"VC",FALSE,"output";#N/A,"VG",FALSE,"output";#N/A,"J1",FALSE,"output";#N/A,"J2",FALSE,"output";#N/A,"PT",FALSE,"output"}</definedName>
    <definedName name="qwas" hidden="1">{"Revenue",#N/A,FALSE,"Series";"Ecprofit",#N/A,FALSE,"Series"}</definedName>
    <definedName name="qwdfv" hidden="1">{"avrev",#N/A,FALSE,"AVREV";"rates",#N/A,FALSE,"AVREV"}</definedName>
    <definedName name="qwdv" hidden="1">{#N/A,#N/A,FALSE,"Chart";#N/A,#N/A,FALSE,"Chart"}</definedName>
    <definedName name="QWE" hidden="1">{"pep204a",#N/A,FALSE,"tpepsum4a";"pep205a",#N/A,FALSE,"tpepsum4a";"wpep204a",#N/A,FALSE,"tpepsum4a";"wpep205a",#N/A,FALSE,"tpepsum4a"}</definedName>
    <definedName name="qwefqefasdf" hidden="1">{#N/A,#N/A,FALSE,"Summary";#N/A,#N/A,FALSE,"HCS";#N/A,#N/A,FALSE,"IB5";#N/A,#N/A,FALSE,"Manuf Eng.";#N/A,#N/A,FALSE,"Taubaté";#N/A,#N/A,FALSE,"Osasco";#N/A,#N/A,FALSE,"São Bernardo B&amp;A";#N/A,#N/A,FALSE,"São Bernardo PT"}</definedName>
    <definedName name="qwer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q" hidden="1">{#N/A,#N/A,FALSE,"Assumptions";#N/A,#N/A,FALSE,"Volumes";#N/A,#N/A,FALSE,"Pricing";#N/A,#N/A,FALSE,"Variable Cost";#N/A,#N/A,FALSE,"Investment";#N/A,#N/A,FALSE,"Profitability";#N/A,#N/A,FALSE,"Business Comparison"}</definedName>
    <definedName name="qwerty" hidden="1">{#N/A,"VA",FALSE,"output";#N/A,"VB",FALSE,"output";#N/A,"VS",FALSE,"output";#N/A,"VC",FALSE,"output";#N/A,"VG",FALSE,"output";#N/A,"J1",FALSE,"output";#N/A,"J2",FALSE,"output";#N/A,"PT",FALSE,"output"}</definedName>
    <definedName name="qwerwer" hidden="1">{0,0,0,0}</definedName>
    <definedName name="qwerwqer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hgdkjhfd" hidden="1">{"REVISED",#N/A,FALSE,"Sheet1"}</definedName>
    <definedName name="qwq" hidden="1">{"rev",#N/A,FALSE,"ppepsum";"vcost",#N/A,FALSE,"ppepsum";"ecprof",#N/A,FALSE,"ppepsum"}</definedName>
    <definedName name="qwqw" hidden="1">{"Fiesta Facer Page",#N/A,FALSE,"Q_C_S";"Fiesta Main Page",#N/A,FALSE,"V_L";"Fiesta 95BP Struct",#N/A,FALSE,"StructBP";"Fiesta Post 95BP Struct",#N/A,FALSE,"AdjStructBP"}</definedName>
    <definedName name="qwt" hidden="1">{0,0,0,0;0,0,0,0;0,0,0,0;0,0,TRUE,0}</definedName>
    <definedName name="qx" hidden="1">{#N/A,#N/A,FALSE,"Chart";#N/A,#N/A,FALSE,"Overview";#N/A,#N/A,FALSE,"Overview_Acty";#N/A,#N/A,FALSE,"Inc97D";#N/A,#N/A,FALSE,"Rel_Inc97TD";#N/A,#N/A,FALSE,"Rel_Inc_97_NTD";#N/A,#N/A,FALSE,"Marketing";#N/A,#N/A,FALSE,"Pot_97"}</definedName>
    <definedName name="qy" hidden="1">#REF!</definedName>
    <definedName name="R_E_Additions">#REF!</definedName>
    <definedName name="R_E_b_f">#REF!</definedName>
    <definedName name="R_e_c_f">#REF!</definedName>
    <definedName name="Ra">#REF!</definedName>
    <definedName name="rach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nger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oDatos" localSheetId="5">ActiveRange</definedName>
    <definedName name="RangoDatos" localSheetId="8">ActiveRange</definedName>
    <definedName name="RangoDatos" localSheetId="6">ActiveRange</definedName>
    <definedName name="RangoDatos" localSheetId="13">ActiveRange</definedName>
    <definedName name="RangoDatos" localSheetId="14">ActiveRange</definedName>
    <definedName name="RangoDatos" localSheetId="12">ActiveRange</definedName>
    <definedName name="RangoDatos" localSheetId="4">ActiveRange</definedName>
    <definedName name="RangoDatos" localSheetId="10">ActiveRange</definedName>
    <definedName name="RangoDatos" localSheetId="9">ActiveRange</definedName>
    <definedName name="RangoDatos">ActiveRange</definedName>
    <definedName name="rapport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te">0.38</definedName>
    <definedName name="Rate_Version">#REF!</definedName>
    <definedName name="RateAA">#REF!</definedName>
    <definedName name="RateIA">#REF!</definedName>
    <definedName name="Ratings" hidden="1">{#N/A,#N/A,FALSE,"Profit Status";#N/A,#N/A,FALSE,"Invest";#N/A,#N/A,FALSE,"Revenue";#N/A,#N/A,FALSE,"Variable Cost";#N/A,#N/A,FALSE,"Options &amp; Series"}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awAgencyPrice">#REF!</definedName>
    <definedName name="rba">#REF!</definedName>
    <definedName name="Rbar">#REF!</definedName>
    <definedName name="RBData">#REF!</definedName>
    <definedName name="RCArea" hidden="1">#REF!</definedName>
    <definedName name="rd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E">#REF!</definedName>
    <definedName name="re_co_pp">#REF!</definedName>
    <definedName name="re_con_afs_ebit">#REF!</definedName>
    <definedName name="re_con_afs_nrev">#REF!</definedName>
    <definedName name="re_con_afs_ntas_div">#REF!</definedName>
    <definedName name="re_con_ateq_ebit">#REF!</definedName>
    <definedName name="re_con_ateq_nrev">#REF!</definedName>
    <definedName name="re_con_ateq_ntas_div">#REF!</definedName>
    <definedName name="re_con_fcco_ebit">#REF!</definedName>
    <definedName name="re_con_fcco_nrev">#REF!</definedName>
    <definedName name="re_con_fcco_ntas_div">#REF!</definedName>
    <definedName name="re_dcva_stal_pp">#REF!</definedName>
    <definedName name="re_fr_pp">#REF!</definedName>
    <definedName name="re_irr_pp">#REF!</definedName>
    <definedName name="re_payback_pp">#REF!</definedName>
    <definedName name="re_ros_avg_pp">#REF!</definedName>
    <definedName name="re_tfe_capex">#REF!</definedName>
    <definedName name="re_tfe_nonrec">#REF!</definedName>
    <definedName name="re_tfe_pp">#REF!</definedName>
    <definedName name="re_tfe_rd">#REF!</definedName>
    <definedName name="RE_tranferred_in">#REF!</definedName>
    <definedName name="RE_transferred_in">#REF!</definedName>
    <definedName name="re_units_pp">#REF!</definedName>
    <definedName name="re_val_price">#REF!</definedName>
    <definedName name="REAddition">#REF!</definedName>
    <definedName name="readjusted" hidden="1">{#N/A,#N/A,FALSE,"TOP10";#N/A,#N/A,FALSE,"Cover";#N/A,#N/A,FALSE,"MOGRAPH"}</definedName>
    <definedName name="ready1" hidden="1">{#N/A,#N/A,TRUE,"Title-page";#N/A,#N/A,TRUE,"B1"}</definedName>
    <definedName name="ready2" hidden="1">{#N/A,#N/A,FALSE,"QS9000";#N/A,#N/A,FALSE,"Initial APQP Timing"}</definedName>
    <definedName name="REal" hidden="1">{#N/A,#N/A,TRUE,"Engine";#N/A,#N/A,TRUE,"Trans 5R55N";#N/A,#N/A,TRUE,"Manual Trans";#N/A,#N/A,TRUE,"DS and Axle";#N/A,#N/A,TRUE,"PTSSE";#N/A,#N/A,TRUE,"Summary"}</definedName>
    <definedName name="REBF">#REF!</definedName>
    <definedName name="RECAP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ECF">#REF!</definedName>
    <definedName name="RECLASS">#REF!</definedName>
    <definedName name="Recognition">#REF!</definedName>
    <definedName name="Record_Bumonkingaku_Re">#REF!</definedName>
    <definedName name="Record_GenshouBumon">#REF!</definedName>
    <definedName name="Record_Kakuhan_Bumonbetsu">#REF!</definedName>
    <definedName name="Record_Kakuhan_Kyakukei">#REF!</definedName>
    <definedName name="Record_Kakuhan_Re">#REF!</definedName>
    <definedName name="Record_Kakuhan_Shousai">#REF!</definedName>
    <definedName name="Record_KYAKUSAKI_NARIYUKI">#REF!</definedName>
    <definedName name="Record_Kyakushuu">#REF!</definedName>
    <definedName name="Record_RE">#REF!</definedName>
    <definedName name="Record_RE_NARIYUKI">#REF!</definedName>
    <definedName name="Record_Shousai">#REF!</definedName>
    <definedName name="Record_SHOUSAI_NARIYUKI">#REF!</definedName>
    <definedName name="_xlnm.Recorder">#REF!</definedName>
    <definedName name="RECTO">#REF!</definedName>
    <definedName name="REDisposal">#REF!</definedName>
    <definedName name="Ref">#REF!</definedName>
    <definedName name="RefDef">#REF!</definedName>
    <definedName name="REFERENCE">#REF!</definedName>
    <definedName name="RefN">#REF!</definedName>
    <definedName name="REGION">#REF!</definedName>
    <definedName name="RegionCell">#REF!</definedName>
    <definedName name="RemainRev">#REF!</definedName>
    <definedName name="RemainVM">#REF!</definedName>
    <definedName name="Rental_expenses">#REF!</definedName>
    <definedName name="REP">#REF!</definedName>
    <definedName name="RepData">#REF!</definedName>
    <definedName name="replacement" hidden="1">{"fcst w head depre cap",#N/A,FALSE,"PL";"new bud adj",#N/A,FALSE,"PL";"qtr",#N/A,FALSE,"PL";"quick",#N/A,FALSE,"PL";"bal sheet",#N/A,FALSE,"PL";"fixed assets",#N/A,FALSE,"PL"}</definedName>
    <definedName name="Reply">#REF!</definedName>
    <definedName name="REPORT">#REF!</definedName>
    <definedName name="REPORT_DATA_FY">#REF!</definedName>
    <definedName name="REPORT_DATA_Q1">#REF!</definedName>
    <definedName name="REPORT_DATA_Q2">#REF!</definedName>
    <definedName name="REPORT_DATA_Q3">#REF!</definedName>
    <definedName name="REPORT_DATA_Q4">#REF!</definedName>
    <definedName name="REPORTDATE">#N/A</definedName>
    <definedName name="REQ" hidden="1">{#N/A,#N/A,FALSE,"expense";#N/A,#N/A,FALSE,"heads"}</definedName>
    <definedName name="REQW" hidden="1">{#N/A,#N/A,FALSE,"expense";#N/A,#N/A,FALSE,"heads"}</definedName>
    <definedName name="rer" hidden="1">{"2001-02 Summary",#N/A,TRUE,"Summary";"2001-06 Summary",#N/A,TRUE,"Summary"}</definedName>
    <definedName name="Reselects">#REF!</definedName>
    <definedName name="Reserves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SORT">#N/A</definedName>
    <definedName name="Resource_Table">#REF!</definedName>
    <definedName name="Responsible">#REF!</definedName>
    <definedName name="res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RestNote">#REF!</definedName>
    <definedName name="RESULT">#REF!</definedName>
    <definedName name="RETotal">#REF!</definedName>
    <definedName name="Rev.00">#REF!</definedName>
    <definedName name="Revenue">#REF!</definedName>
    <definedName name="Revie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sed">#REF!</definedName>
    <definedName name="revmultiple">#REF!</definedName>
    <definedName name="REW" hidden="1">{"Revenue",#N/A,FALSE,"Series";"Ecprofit",#N/A,FALSE,"Series"}</definedName>
    <definedName name="rf" hidden="1">{"Revenue",#N/A,FALSE,"Series";"Ecprofit",#N/A,FALSE,"Series"}</definedName>
    <definedName name="r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gthy" hidden="1">{#N/A,#N/A,FALSE,"Chart";#N/A,#N/A,FALSE,"Overview";#N/A,#N/A,FALSE,"Overview_Acty";#N/A,#N/A,FALSE,"Inc97D";#N/A,#N/A,FALSE,"Rel_Inc97TD";#N/A,#N/A,FALSE,"Rel_Inc_97_NTD";#N/A,#N/A,FALSE,"Marketing";#N/A,#N/A,FALSE,"Pot_97"}</definedName>
    <definedName name="rhj" hidden="1">{"'Verr-enseig-ex'!$M$22:$M$23"}</definedName>
    <definedName name="rhja" hidden="1">{"'Verr-enseig-ex'!$M$22:$M$23"}</definedName>
    <definedName name="rh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icardo" hidden="1">#REF!</definedName>
    <definedName name="Risk_Area">#REF!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6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M">#REF!</definedName>
    <definedName name="rma">OFFSET(RefN,0,Wk,10,1)</definedName>
    <definedName name="RoCa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gers" hidden="1">{#N/A,#N/A,FALSE,"TOP10";#N/A,#N/A,FALSE,"Cover";#N/A,#N/A,FALSE,"MOGRAPH"}</definedName>
    <definedName name="ROP" hidden="1">{#N/A,#N/A,FALSE,"Sheet1"}</definedName>
    <definedName name="ROT" hidden="1">{#N/A,#N/A,FALSE,"Sheet1"}</definedName>
    <definedName name="roverapoapbt">#REF!</definedName>
    <definedName name="roverapoastat">#REF!</definedName>
    <definedName name="rovereurpbt">#REF!</definedName>
    <definedName name="rovereurstat">#REF!</definedName>
    <definedName name="rovernapbt">#REF!</definedName>
    <definedName name="rovernastat">#REF!</definedName>
    <definedName name="roversapbt">#REF!</definedName>
    <definedName name="roversastat">#REF!</definedName>
    <definedName name="rr" hidden="1">{#N/A,#N/A,FALSE,"Assumptions";#N/A,#N/A,FALSE,"Volumes";#N/A,#N/A,FALSE,"Pricing";#N/A,#N/A,FALSE,"Variable Cost";#N/A,#N/A,FALSE,"Investment";#N/A,#N/A,FALSE,"Profitability";#N/A,#N/A,FALSE,"Business Comparison"}</definedName>
    <definedName name="rrgre" hidden="1">{#N/A,#N/A,FALSE,"Profit Status";#N/A,#N/A,FALSE,"Invest";#N/A,#N/A,FALSE,"Revenue";#N/A,#N/A,FALSE,"Variable Cost";#N/A,#N/A,FALSE,"Options &amp; Series"}</definedName>
    <definedName name="RRO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R">#N/A</definedName>
    <definedName name="rrrrr" hidden="1">{0,#N/A,FALSE,0;0,#N/A,FALSE,0}</definedName>
    <definedName name="rrrrrr" hidden="1">{"Revenue",#N/A,FALSE,"Series";"Ecprofit",#N/A,FALSE,"Series"}</definedName>
    <definedName name="rrrrrrr" hidden="1">{#N/A,"VB",FALSE,"output";#N/A,"VS",FALSE,"output";#N/A,"VC",FALSE,"output";#N/A,"VG",FALSE,"output";#N/A,"J1",FALSE,"output";#N/A,"PT",FALSE,"output"}</definedName>
    <definedName name="rrrrrrrrrrrr">#REF!</definedName>
    <definedName name="rrrrrrrrrrrrrrrrrrrrrrrrrrrrrrrr" hidden="1">{#N/A,#N/A,FALSE,"Cover";#N/A,#N/A,FALSE,"Profits";#N/A,#N/A,FALSE,"ABS";#N/A,#N/A,FALSE,"TFLE Detail";#N/A,#N/A,FALSE,"TFLE Walk";#N/A,#N/A,FALSE,"Variable Cost";#N/A,#N/A,FALSE,"V.C. Walk"}</definedName>
    <definedName name="rrter" hidden="1">{#N/A,#N/A,FALSE,"Profit Status";#N/A,#N/A,FALSE,"Invest";#N/A,#N/A,FALSE,"Revenue";#N/A,#N/A,FALSE,"Variable Cost";#N/A,#N/A,FALSE,"Options &amp; Series"}</definedName>
    <definedName name="rrtuy" hidden="1">{#N/A,#N/A,FALSE,"Title - E";#N/A,#N/A,FALSE,"Insert";#N/A,#N/A,FALSE,"Rpt-98-E PG_1";#N/A,#N/A,FALSE,"Rpt-98-E PG_2f";#N/A,#N/A,FALSE,"Rpt-98-E PG_2";#N/A,#N/A,FALSE,"Insert";#N/A,#N/A,FALSE,"Rpt-98-E PG_3 "}</definedName>
    <definedName name="rst" hidden="1">{#N/A,#N/A,FALSE,"Title-W";#N/A,#N/A,FALSE,"Insert";#N/A,#N/A,FALSE,"Rpt-98-W PG_1";#N/A,#N/A,FALSE,"Rpt-98-W PG_2f";#N/A,#N/A,FALSE,"Rpt-98-W  PG_2";#N/A,#N/A,FALSE,"Insert";#N/A,#N/A,FALSE,"Rpt-98-W PG_3"}</definedName>
    <definedName name="rsytry" hidden="1">{"avrev",#N/A,FALSE,"AVREV";"rates",#N/A,FALSE,"AVREV"}</definedName>
    <definedName name="RSYW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" hidden="1">{#N/A,#N/A,FALSE,"Assumptions";#N/A,#N/A,FALSE,"Volumes";#N/A,#N/A,FALSE,"Pricing";#N/A,#N/A,FALSE,"Variable Cost";#N/A,#N/A,FALSE,"Investment";#N/A,#N/A,FALSE,"Profitability";#N/A,#N/A,FALSE,"Business Comparison"}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G" hidden="1">{"Revenue",#N/A,FALSE,"Series";"Ecprofit",#N/A,FALSE,"Series"}</definedName>
    <definedName name="rth" hidden="1">{#N/A,#N/A,FALSE,"Weight Summary";#N/A,#N/A,FALSE,"Revision_Log"}</definedName>
    <definedName name="rthn" hidden="1">{#N/A,#N/A,FALSE,"Chart";#N/A,#N/A,FALSE,"Chart"}</definedName>
    <definedName name="rthrt" hidden="1">#N/A</definedName>
    <definedName name="rtr" hidden="1">{#N/A,#N/A,FALSE,"Title-W";#N/A,#N/A,FALSE,"Insert";#N/A,#N/A,FALSE,"Rpt-98-W PG_1";#N/A,#N/A,FALSE,"Rpt-98-W PG_2f";#N/A,#N/A,FALSE,"Rpt-98-W  PG_2";#N/A,#N/A,FALSE,"Insert";#N/A,#N/A,FALSE,"Rpt-98-W PG_3"}</definedName>
    <definedName name="rtrt" hidden="1">{"Fiesta Facer Page",#N/A,FALSE,"Q_C_S";"Fiesta Main Page",#N/A,FALSE,"V_L";"Fiesta 95BP Struct",#N/A,FALSE,"StructBP";"Fiesta Post 95BP Struct",#N/A,FALSE,"AdjStructBP"}</definedName>
    <definedName name="rtryh" hidden="1">{#N/A,#N/A,FALSE,"Cover";#N/A,#N/A,FALSE,"Profits";#N/A,#N/A,FALSE,"ABS";#N/A,#N/A,FALSE,"TFLE Detail";#N/A,#N/A,FALSE,"TFLE Walk";#N/A,#N/A,FALSE,"Variable Cost";#N/A,#N/A,FALSE,"V.C. Walk"}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U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y" hidden="1">{#N/A,#N/A,FALSE,"TOP10";#N/A,#N/A,FALSE,"Cover";#N/A,#N/A,FALSE,"MOGRAPH"}</definedName>
    <definedName name="rtyty" hidden="1">{#N/A,#N/A,FALSE,"Profit Status";#N/A,#N/A,FALSE,"Invest";#N/A,#N/A,FALSE,"Revenue";#N/A,#N/A,FALSE,"Variable Cost";#N/A,#N/A,FALSE,"Options &amp; Series"}</definedName>
    <definedName name="rtyug" hidden="1">{#N/A,#N/A,FALSE,"UW152PPL"}</definedName>
    <definedName name="rtz" hidden="1">{#N/A,#N/A,FALSE,"TOP10";#N/A,#N/A,FALSE,"Cover";#N/A,#N/A,FALSE,"MOGRAPH"}</definedName>
    <definedName name="ruirk" hidden="1">{#N/A,#N/A,FALSE,"TOP10";#N/A,#N/A,FALSE,"Cover";#N/A,#N/A,FALSE,"MOGRAPH"}</definedName>
    <definedName name="rumc">#REF!</definedName>
    <definedName name="RUT" hidden="1">{#N/A,#N/A,FALSE,"Sheet1"}</definedName>
    <definedName name="rve" hidden="1">#REF!</definedName>
    <definedName name="Rwvu.devshifts." hidden="1">#N/A</definedName>
    <definedName name="Rwvu.durashifts." hidden="1">#N/A</definedName>
    <definedName name="Rwvu.expense." hidden="1">#N/A</definedName>
    <definedName name="Rwvu.progexpense." hidden="1">#N/A</definedName>
    <definedName name="Rwvu.prototypes." hidden="1">#N/A</definedName>
    <definedName name="Rwvu.totalshifts." hidden="1">#N/A</definedName>
    <definedName name="ry" hidden="1">{"salaried",#N/A,FALSE,"VLD View (2)"}</definedName>
    <definedName name="rytet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z">#REF!</definedName>
    <definedName name="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????">#REF!</definedName>
    <definedName name="S_1" hidden="1">{"Revenue",#N/A,FALSE,"Series";"Ecprofit",#N/A,FALSE,"Series"}</definedName>
    <definedName name="S_Adjust_Data">#REF!</definedName>
    <definedName name="S_AJE_Tot_Data">#REF!</definedName>
    <definedName name="S_CY_Beg_Data">#REF!</definedName>
    <definedName name="S_CY_End_Data">#REF!</definedName>
    <definedName name="S_Diff_Amt">#REF!</definedName>
    <definedName name="S_Diff_Pct">#REF!</definedName>
    <definedName name="S_PY_End">#REF!</definedName>
    <definedName name="S_PY_End_Data">#REF!</definedName>
    <definedName name="S_PY_End_GT">#REF!</definedName>
    <definedName name="S_RJE_Tot_Data">#REF!</definedName>
    <definedName name="S_Summary">#REF!</definedName>
    <definedName name="S５桁一覧">#REF!</definedName>
    <definedName name="sa">#REF!</definedName>
    <definedName name="saapoapbt">#REF!</definedName>
    <definedName name="saapoastat">#REF!</definedName>
    <definedName name="sadf" hidden="1">{"Avg_Arg_NoAc",#N/A,FALSE,"Wk_Arg_NoAc";"Avg_Arg_Act",#N/A,FALSE,"Wk_Arg_Act";"Avg_Brz_NoAct",#N/A,FALSE,"Wk_Brz_NoAc";"Avg_Brz_Act",#N/A,FALSE,"Wk_Brz_Act"}</definedName>
    <definedName name="SADFAS">#N/A</definedName>
    <definedName name="sadfasd" hidden="1">{#N/A,#N/A,FALSE,"2001 CBG";#N/A,#N/A,FALSE,"2002 CBG";#N/A,#N/A,FALSE,"2003 CBG";#N/A,#N/A,FALSE,"2004 CBG";#N/A,#N/A,FALSE,"2005 CBG";#N/A,#N/A,FALSE,"2006 CBG ";#N/A,#N/A,FALSE,"2007 CBG";#N/A,#N/A,FALSE,"2008 CBG"}</definedName>
    <definedName name="sadfasfd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d" hidden="1">#REF!</definedName>
    <definedName name="sadfffas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safsa" hidden="1">{#N/A,#N/A,FALSE,"Profit Status";#N/A,#N/A,FALSE,"Invest";#N/A,#N/A,FALSE,"Revenue";#N/A,#N/A,FALSE,"Variable Cost";#N/A,#N/A,FALSE,"Options &amp; Series"}</definedName>
    <definedName name="sadfsafsa_1" hidden="1">{#N/A,#N/A,FALSE,"Profit Status";#N/A,#N/A,FALSE,"Invest";#N/A,#N/A,FALSE,"Revenue";#N/A,#N/A,FALSE,"Variable Cost";#N/A,#N/A,FALSE,"Options &amp; Series"}</definedName>
    <definedName name="sadfsafsa2" hidden="1">{#N/A,#N/A,FALSE,"Profit Status";#N/A,#N/A,FALSE,"Invest";#N/A,#N/A,FALSE,"Revenue";#N/A,#N/A,FALSE,"Variable Cost";#N/A,#N/A,FALSE,"Options &amp; Series"}</definedName>
    <definedName name="sadfsdf" hidden="1">{0,0,0,0;0,0,0,0;0,0,0,0;0,0,0,0}</definedName>
    <definedName name="sadfwsadfasdf" hidden="1">#REF!</definedName>
    <definedName name="sadgfsadf" hidden="1">{"avrev",#N/A,FALSE,"AVREV";"rates",#N/A,FALSE,"AVREV"}</definedName>
    <definedName name="sadgfsadf_1" hidden="1">{"avrev",#N/A,FALSE,"AVREV";"rates",#N/A,FALSE,"AVREV"}</definedName>
    <definedName name="safa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fd" hidden="1">{"COMPARISON",#N/A,FALSE,"Sheet1"}</definedName>
    <definedName name="SAFETY" hidden="1">{#N/A,#N/A,FALSE,"2001 CBG";#N/A,#N/A,FALSE,"2002 CBG";#N/A,#N/A,FALSE,"2003 CBG";#N/A,#N/A,FALSE,"2004 CBG";#N/A,#N/A,FALSE,"2005 CBG";#N/A,#N/A,FALSE,"2006 CBG ";#N/A,#N/A,FALSE,"2007 CBG";#N/A,#N/A,FALSE,"2008 CBG"}</definedName>
    <definedName name="safetyindicator">OFFSET(#REF!,0,0,COUNTA(#REF!),1)</definedName>
    <definedName name="Sakuseibi">#REF!</definedName>
    <definedName name="Sakuseisya">#REF!</definedName>
    <definedName name="Sales">#REF!</definedName>
    <definedName name="Sales_marketing_overhead">#REF!</definedName>
    <definedName name="SALESPLAN">#REF!</definedName>
    <definedName name="sam" hidden="1">{#N/A,#N/A,TRUE,"Engine";#N/A,#N/A,TRUE,"Trans 5R55N";#N/A,#N/A,TRUE,"Manual Trans";#N/A,#N/A,TRUE,"DS and Axle";#N/A,#N/A,TRUE,"PTSSE";#N/A,#N/A,TRUE,"Summary"}</definedName>
    <definedName name="SAMPLES">#REF!</definedName>
    <definedName name="san" hidden="1">{#N/A,#N/A,FALSE,"Assumptions";#N/A,#N/A,FALSE,"Volumes";#N/A,#N/A,FALSE,"Pricing";#N/A,#N/A,FALSE,"Variable Cost";#N/A,#N/A,FALSE,"Investment";#N/A,#N/A,FALSE,"Profitability";#N/A,#N/A,FALSE,"Business Comparison"}</definedName>
    <definedName name="SAPBEXrevision" hidden="1">1</definedName>
    <definedName name="SAPBEXsysID" hidden="1">"PS3"</definedName>
    <definedName name="SAPBEXwbID" hidden="1">"3DLYQIGVD4DH10IYH0XHDV093"</definedName>
    <definedName name="SAPFuncF4Help" localSheetId="5" hidden="1">Main.SAPF4Help()</definedName>
    <definedName name="SAPFuncF4Help" localSheetId="8" hidden="1">Main.SAPF4Help()</definedName>
    <definedName name="SAPFuncF4Help" localSheetId="6" hidden="1">Main.SAPF4Help()</definedName>
    <definedName name="SAPFuncF4Help" localSheetId="13" hidden="1">Main.SAPF4Help()</definedName>
    <definedName name="SAPFuncF4Help" localSheetId="14" hidden="1">Main.SAPF4Help()</definedName>
    <definedName name="SAPFuncF4Help" localSheetId="12" hidden="1">Main.SAPF4Help()</definedName>
    <definedName name="SAPFuncF4Help" localSheetId="4" hidden="1">Main.SAPF4Help()</definedName>
    <definedName name="SAPFuncF4Help" localSheetId="10" hidden="1">Main.SAPF4Help()</definedName>
    <definedName name="SAPFuncF4Help" localSheetId="9" hidden="1">Main.SAPF4Help()</definedName>
    <definedName name="SAPFuncF4Help" hidden="1">Main.SAPF4Help()</definedName>
    <definedName name="sare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s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sapbt">#REF!</definedName>
    <definedName name="sasasa" hidden="1">{0,#N/A,FALSE,0}</definedName>
    <definedName name="sasastat">#REF!</definedName>
    <definedName name="sasd" hidden="1">{"salaried",#N/A,FALSE,"VLD View (2)"}</definedName>
    <definedName name="sasss" hidden="1">{#N/A,#N/A,FALSE,"Chart";#N/A,#N/A,FALSE,"Overview";#N/A,#N/A,FALSE,"Overview_Acty";#N/A,#N/A,FALSE,"Inc97D";#N/A,#N/A,FALSE,"Rel_Inc97TD";#N/A,#N/A,FALSE,"Rel_Inc_97_NTD";#N/A,#N/A,FALSE,"Marketing";#N/A,#N/A,FALSE,"Pot_97"}</definedName>
    <definedName name="SATU">#REF!</definedName>
    <definedName name="sc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B">#REF!</definedName>
    <definedName name="SCB1Y">SUM(#REF!)</definedName>
    <definedName name="SCB2Y">SUM(#REF!)</definedName>
    <definedName name="SCB3Y">#REF!</definedName>
    <definedName name="SCBMT">#REF!</definedName>
    <definedName name="SCBST">#REF!</definedName>
    <definedName name="ScenarioCell">#REF!</definedName>
    <definedName name="ScenarioKey">#REF!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Ref">#REF!</definedName>
    <definedName name="SchRefText">#REF!</definedName>
    <definedName name="SCNB1Y">#REF!</definedName>
    <definedName name="SCNB2Y">SUM(#REF!)</definedName>
    <definedName name="SCNB3Y">SUM(#REF!)</definedName>
    <definedName name="SCNBMT">#REF!</definedName>
    <definedName name="SCNBST">#REF!</definedName>
    <definedName name="Scorecard" hidden="1">{#N/A,#N/A,FALSE,"Chart";#N/A,#N/A,FALSE,"Chart"}</definedName>
    <definedName name="Scorecard1" hidden="1">{#N/A,#N/A,FALSE,"Chart";#N/A,#N/A,FALSE,"Chart"}</definedName>
    <definedName name="Scorecared" hidden="1">{#N/A,#N/A,FALSE,"Chart";#N/A,#N/A,FALSE,"Chart"}</definedName>
    <definedName name="Scrolling_Increment">#REF!</definedName>
    <definedName name="sd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SDA">#N/A</definedName>
    <definedName name="sdafasdffff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afdsf">#N/A</definedName>
    <definedName name="sdafsadfsda" hidden="1">{#N/A,#N/A,FALSE,"Profit Status";#N/A,#N/A,FALSE,"Invest";#N/A,#N/A,FALSE,"Revenue";#N/A,#N/A,FALSE,"Variable Cost";#N/A,#N/A,FALSE,"Options &amp; Series"}</definedName>
    <definedName name="sdas" hidden="1">{#N/A,#N/A,FALSE,"Profit Status";#N/A,#N/A,FALSE,"Invest";#N/A,#N/A,FALSE,"Revenue";#N/A,#N/A,FALSE,"Variable Cost";#N/A,#N/A,FALSE,"Options &amp; Series"}</definedName>
    <definedName name="sdasd" hidden="1">{#N/A,#N/A,TRUE,"dew_x200";#N/A,#N/A,TRUE,"cvgm_twncr_must";#N/A,#N/A,TRUE,"x100_x300_falcn";#N/A,#N/A,TRUE,"t_mark_scorp";#N/A,#N/A,TRUE,"VC3GRAF"}</definedName>
    <definedName name="sdd" hidden="1">{"Fiesta Facer Page",#N/A,FALSE,"Q_C_S";"Fiesta Main Page",#N/A,FALSE,"V_L";"Fiesta 95BP Struct",#N/A,FALSE,"StructBP";"Fiesta Post 95BP Struct",#N/A,FALSE,"AdjStructBP"}</definedName>
    <definedName name="sddsdsdsd" hidden="1">{#N/A,#N/A,FALSE,"Weight Summary";#N/A,#N/A,FALSE,"Revision_Log"}</definedName>
    <definedName name="s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f" hidden="1">{"Fiesta Facer Page",#N/A,FALSE,"Q_C_S";"Fiesta Main Page",#N/A,FALSE,"V_L";"Fiesta 95BP Struct",#N/A,FALSE,"StructBP";"Fiesta Post 95BP Struct",#N/A,FALSE,"AdjStructBP"}</definedName>
    <definedName name="sdf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adf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dfasdadsfs" hidden="1">{#N/A,#N/A,FALSE,"Cover Page";#N/A,#N/A,FALSE,"Facing Page";#N/A,#N/A,FALSE,"Main Page";#N/A,#N/A,FALSE,"Risk-Adjusted";#N/A,#N/A,FALSE,"Profit Improvement"}</definedName>
    <definedName name="sdfasdf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fdf" hidden="1">{"2001-02 Summary",#N/A,TRUE,"Summary";"2001-06 Summary",#N/A,TRUE,"Summary"}</definedName>
    <definedName name="sdff" hidden="1">{#N/A,#N/A,FALSE,"Title - E";#N/A,#N/A,FALSE,"Insert";#N/A,#N/A,FALSE,"Rpt-98-E PG_1";#N/A,#N/A,FALSE,"Rpt-98-E PG_2f";#N/A,#N/A,FALSE,"Rpt-98-E PG_2";#N/A,#N/A,FALSE,"Insert";#N/A,#N/A,FALSE,"Rpt-98-E PG_3 "}</definedName>
    <definedName name="sdfffsdfd" hidden="1">{#N/A,#N/A,FALSE,"Title-W";#N/A,#N/A,FALSE,"Insert";#N/A,#N/A,FALSE,"Rpt-98-W PG_1";#N/A,#N/A,FALSE,"Rpt-98-W PG_2f";#N/A,#N/A,FALSE,"Rpt-98-W  PG_2";#N/A,#N/A,FALSE,"Insert";#N/A,#N/A,FALSE,"Rpt-98-W PG_3"}</definedName>
    <definedName name="sdffs" hidden="1">{"2001-02 Summary",#N/A,TRUE,"Summary";"2001-06 Summary",#N/A,TRUE,"Summary"}</definedName>
    <definedName name="sdfg" hidden="1">{"rates",#N/A,FALSE,"tavg4a";"rev",#N/A,FALSE,"tavg4a"}</definedName>
    <definedName name="sdfgf" hidden="1">{#N/A,#N/A,FALSE,"Chart";#N/A,#N/A,FALSE,"Chart"}</definedName>
    <definedName name="sdfS" hidden="1">{#N/A,#N/A,FALSE,"Cover";#N/A,#N/A,FALSE,"Profits";#N/A,#N/A,FALSE,"ABS";#N/A,#N/A,FALSE,"TFLE Detail";#N/A,#N/A,FALSE,"TFLE Walk";#N/A,#N/A,FALSE,"Variable Cost";#N/A,#N/A,FALSE,"V.C. Walk"}</definedName>
    <definedName name="sdfsafsad" hidden="1">{#N/A,#N/A,FALSE,"2001 CBG";#N/A,#N/A,FALSE,"2002 CBG";#N/A,#N/A,FALSE,"2003 CBG";#N/A,#N/A,FALSE,"2004 CBG";#N/A,#N/A,FALSE,"2005 CBG";#N/A,#N/A,FALSE,"2006 CBG ";#N/A,#N/A,FALSE,"2007 CBG";#N/A,#N/A,FALSE,"2008 CBG"}</definedName>
    <definedName name="sdfsasdf" hidden="1">{#N/A,#N/A,FALSE,"Graphs_Retail_US";#N/A,#N/A,FALSE,"Graphs_RCL_US";#N/A,#N/A,FALSE,"Graphs_WSHL_US";#N/A,#N/A,FALSE,"Graphs_ComLend_US";#N/A,#N/A,FALSE,"Graphs_Intra_US"}</definedName>
    <definedName name="sdfsd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s" hidden="1">{"REVISED",#N/A,FALSE,"Sheet1"}</definedName>
    <definedName name="sdfsdfsdf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f" hidden="1">{#N/A,#N/A,FALSE,"UW152PPL"}</definedName>
    <definedName name="sdfsf1" hidden="1">{#N/A,#N/A,FALSE,"UW152PPL"}</definedName>
    <definedName name="sdfsfa" hidden="1">{#N/A,#N/A,FALSE,"UW152PPL"}</definedName>
    <definedName name="sdfsfddf" hidden="1">{#N/A,#N/A,FALSE,"Graphs_Retail";#N/A,#N/A,FALSE,"Physicals_Graphs"}</definedName>
    <definedName name="sdfsfsa">#N/A</definedName>
    <definedName name="sdfv" hidden="1">{#N/A,#N/A,FALSE,"Chart";#N/A,#N/A,FALSE,"Chart"}</definedName>
    <definedName name="SDG" hidden="1">{#N/A,#N/A,FALSE,"Assumptions";#N/A,#N/A,FALSE,"Volumes";#N/A,#N/A,FALSE,"Pricing";#N/A,#N/A,FALSE,"Variable Cost";#N/A,#N/A,FALSE,"Investment";#N/A,#N/A,FALSE,"Profitability";#N/A,#N/A,FALSE,"Business Comparison"}</definedName>
    <definedName name="sdggs" hidden="1">{"A_Summary",#N/A,FALSE,"Arg_Summ";"B_Summary",#N/A,FALSE,"Brz_Summ"}</definedName>
    <definedName name="sdgs" hidden="1">{#N/A,#N/A,FALSE,"Chart";#N/A,#N/A,FALSE,"Chart"}</definedName>
    <definedName name="sdgsdg" hidden="1">{#N/A,#N/A,FALSE,"Chart";#N/A,#N/A,FALSE,"Chart"}</definedName>
    <definedName name="sdgsg" hidden="1">{"avrev",#N/A,FALSE,"AVREV";"rates",#N/A,FALSE,"AVREV"}</definedName>
    <definedName name="sdjr" hidden="1">{"REVISED",#N/A,FALSE,"Sheet1"}</definedName>
    <definedName name="SDKFLKASDJF">#REF!</definedName>
    <definedName name="SDRES" hidden="1">{#N/A,#N/A,FALSE,"Cover";#N/A,#N/A,FALSE,"Profits";#N/A,#N/A,FALSE,"ABS";#N/A,#N/A,FALSE,"TFLE Detail";#N/A,#N/A,FALSE,"TFLE Walk";#N/A,#N/A,FALSE,"Variable Cost";#N/A,#N/A,FALSE,"V.C. Walk"}</definedName>
    <definedName name="sds" hidden="1">{"sedan",#N/A,FALSE,"tpepsum4a";"wag",#N/A,FALSE,"tpepsum4a"}</definedName>
    <definedName name="sdsd" hidden="1">{"rates",#N/A,FALSE,"tavgcs#2";"rev",#N/A,FALSE,"tavgcs#2"}</definedName>
    <definedName name="sdsdsd" hidden="1">{0,0,0,0;0,0,0,0;0,0,0,0;0,0,0,0;0,0,0,0;0,0,0,0;0,0,0,0;0,0,0,0}</definedName>
    <definedName name="sdv" hidden="1">{#N/A,#N/A,FALSE,"TOP10";#N/A,#N/A,FALSE,"Cover";#N/A,#N/A,FALSE,"MOGRAPH"}</definedName>
    <definedName name="sdwdsd" hidden="1">{"Summary View",#N/A,TRUE,"Summary";"Exception Analysis",#N/A,TRUE,"Summary"}</definedName>
    <definedName name="SDYU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e_department_tag">#REF!</definedName>
    <definedName name="se_mathunit">#REF!</definedName>
    <definedName name="se_projectname_l">#REF!</definedName>
    <definedName name="se_projecttype_s">#REF!</definedName>
    <definedName name="se_valuation_date">#REF!</definedName>
    <definedName name="se_version_tag">#REF!</definedName>
    <definedName name="SeatOptions">OFFSET(#REF!,0,0,COUNTA(#REF!),1)</definedName>
    <definedName name="sek">#REF!</definedName>
    <definedName name="Select_members">#N/A</definedName>
    <definedName name="SellingIncoterm">#REF!</definedName>
    <definedName name="sencount" hidden="1">1</definedName>
    <definedName name="SENS">#REF!</definedName>
    <definedName name="sep" hidden="1">#REF!</definedName>
    <definedName name="September" hidden="1">#REF!</definedName>
    <definedName name="SERI_SELANGIN_SDN_BHD">#N/A</definedName>
    <definedName name="Series">"Series"</definedName>
    <definedName name="serrfg" hidden="1">{"Fiesta Facer Page",#N/A,FALSE,"Q_C_S";"Fiesta Main Page",#N/A,FALSE,"V_L";"Fiesta 95BP Struct",#N/A,FALSE,"StructBP";"Fiesta Post 95BP Struct",#N/A,FALSE,"AdjStructBP"}</definedName>
    <definedName name="Server_Select_Change">#N/A</definedName>
    <definedName name="serviceasreleased">OFFSET(#REF!,0,0,COUNTA(#REF!),1)</definedName>
    <definedName name="serviceinterchangeabilityaffected">OFFSET(#REF!,0,0,COUNTA(#REF!),1)</definedName>
    <definedName name="servicestockdisposition">OFFSET(#REF!,0,0,COUNTA(#REF!),1)</definedName>
    <definedName name="SEVERANCE" hidden="1">{#N/A,#N/A,FALSE,"Chart";#N/A,#N/A,FALSE,"Chart"}</definedName>
    <definedName name="SEVERANCE_1" hidden="1">{#N/A,#N/A,FALSE,"Chart";#N/A,#N/A,FALSE,"Chart"}</definedName>
    <definedName name="sf">#N/A</definedName>
    <definedName name="sfd" hidden="1">{#N/A,#N/A,FALSE,"Cover";#N/A,#N/A,FALSE,"Profits";#N/A,#N/A,FALSE,"ABS";#N/A,#N/A,FALSE,"TFLE Detail";#N/A,#N/A,FALSE,"TFLE Walk";#N/A,#N/A,FALSE,"Variable Cost";#N/A,#N/A,FALSE,"V.C. Walk"}</definedName>
    <definedName name="SFDB" hidden="1">{"avrev",#N/A,FALSE,"AVREV";"rates",#N/A,FALSE,"AVREV"}</definedName>
    <definedName name="sfgjns" hidden="1">{0,0,0,0;0,0,0,0;0,0,0,0;0,0,0,0;0,0,0,0;0,0,0,0;0,0,0,0;0,0,FALSE,0}</definedName>
    <definedName name="sfgs" hidden="1">{"Revenue",#N/A,FALSE,"Series";"Ecprofit",#N/A,FALSE,"Series"}</definedName>
    <definedName name="sfgsg" hidden="1">{"avrev",#N/A,FALSE,"AVREV";"rates",#N/A,FALSE,"AVREV"}</definedName>
    <definedName name="ｓｆｓ">#N/A</definedName>
    <definedName name="sfsdf" hidden="1">{#N/A,#N/A,FALSE,"Cover";#N/A,#N/A,FALSE,"Profits";#N/A,#N/A,FALSE,"ABS";#N/A,#N/A,FALSE,"TFLE Detail";#N/A,#N/A,FALSE,"TFLE Walk";#N/A,#N/A,FALSE,"Variable Cost";#N/A,#N/A,FALSE,"V.C. Walk"}</definedName>
    <definedName name="sfsdfas" hidden="1">#REF!</definedName>
    <definedName name="sfsdfds" hidden="1">{"Presentation",#N/A,FALSE,"Feb96 - ALL"}</definedName>
    <definedName name="sfsdfgg" hidden="1">{"Production",#N/A,FALSE,"1+11";"Production Mix",#N/A,FALSE,"1+11"}</definedName>
    <definedName name="sgdfdg" hidden="1">{"avrev",#N/A,FALSE,"AVREV";"rates",#N/A,FALSE,"AVREV"}</definedName>
    <definedName name="sgdg" hidden="1">{"Fiesta Facer Page",#N/A,FALSE,"Q_C_S";"Fiesta Main Page",#N/A,FALSE,"V_L";"Fiesta 95BP Struct",#N/A,FALSE,"StructBP";"Fiesta Post 95BP Struct",#N/A,FALSE,"AdjStructBP"}</definedName>
    <definedName name="sgfs" hidden="1">{"avrev",#N/A,FALSE,"AVREV";"rates",#N/A,FALSE,"AVREV"}</definedName>
    <definedName name="sgsdfagasd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fgsfgs" hidden="1">{#N/A,#N/A,FALSE,"Chart";#N/A,#N/A,FALSE,"Chart"}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74">#N/A</definedName>
    <definedName name="SHARED_FORMULA_175">#N/A</definedName>
    <definedName name="SHARED_FORMULA_176">#N/A</definedName>
    <definedName name="SHARED_FORMULA_177">#N/A</definedName>
    <definedName name="SHARED_FORMULA_178">#N/A</definedName>
    <definedName name="SHARED_FORMULA_179">#N/A</definedName>
    <definedName name="SHARED_FORMULA_18">#N/A</definedName>
    <definedName name="SHARED_FORMULA_180">#N/A</definedName>
    <definedName name="SHARED_FORMULA_181">#N/A</definedName>
    <definedName name="SHARED_FORMULA_182">#N/A</definedName>
    <definedName name="SHARED_FORMULA_183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191">#N/A</definedName>
    <definedName name="SHARED_FORMULA_192">#N/A</definedName>
    <definedName name="SHARED_FORMULA_193">#N/A</definedName>
    <definedName name="SHARED_FORMULA_194">#N/A</definedName>
    <definedName name="SHARED_FORMULA_195">#N/A</definedName>
    <definedName name="SHARED_FORMULA_196">#N/A</definedName>
    <definedName name="SHARED_FORMULA_197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eet" hidden="1">#REF!</definedName>
    <definedName name="sheet1" hidden="1">{#N/A,#N/A,FALSE,"Cover";#N/A,#N/A,FALSE,"Profits";#N/A,#N/A,FALSE,"ABS";#N/A,#N/A,FALSE,"TFLE Detail";#N/A,#N/A,FALSE,"TFLE Walk";#N/A,#N/A,FALSE,"Variable Cost";#N/A,#N/A,FALSE,"V.C. Walk"}</definedName>
    <definedName name="SheLett">#REF!</definedName>
    <definedName name="SHGRH" hidden="1">{#N/A,#N/A,FALSE,"Profit Status";#N/A,#N/A,FALSE,"Invest";#N/A,#N/A,FALSE,"Revenue";#N/A,#N/A,FALSE,"Variable Cost";#N/A,#N/A,FALSE,"Options &amp; Series"}</definedName>
    <definedName name="shgrh1" hidden="1">{#N/A,#N/A,FALSE,"Profit Status";#N/A,#N/A,FALSE,"Invest";#N/A,#N/A,FALSE,"Revenue";#N/A,#N/A,FALSE,"Variable Cost";#N/A,#N/A,FALSE,"Options &amp; Series"}</definedName>
    <definedName name="shit">#REF!</definedName>
    <definedName name="Short">#REF!</definedName>
    <definedName name="short1">#REF!</definedName>
    <definedName name="showad">#REF!</definedName>
    <definedName name="showce">#REF!</definedName>
    <definedName name="showcoc">#REF!</definedName>
    <definedName name="showdep">#REF!</definedName>
    <definedName name="showgw">#REF!</definedName>
    <definedName name="showinv">#REF!</definedName>
    <definedName name="showtax">#REF!</definedName>
    <definedName name="shtfr" hidden="1">{"Presentation",#N/A,FALSE,"Feb96 - ALL"}</definedName>
    <definedName name="shut" localSheetId="5">DATE(YEAR([0]!Loan_Start),MONTH([0]!Loan_Start)+Payment_Number,DAY([0]!Loan_Start))</definedName>
    <definedName name="shut" localSheetId="8">DATE(YEAR([0]!Loan_Start),MONTH([0]!Loan_Start)+Payment_Number,DAY([0]!Loan_Start))</definedName>
    <definedName name="shut" localSheetId="6">DATE(YEAR([0]!Loan_Start),MONTH([0]!Loan_Start)+Payment_Number,DAY([0]!Loan_Start))</definedName>
    <definedName name="shut" localSheetId="13">DATE(YEAR([0]!Loan_Start),MONTH([0]!Loan_Start)+Payment_Number,DAY([0]!Loan_Start))</definedName>
    <definedName name="shut" localSheetId="14">DATE(YEAR([0]!Loan_Start),MONTH([0]!Loan_Start)+Payment_Number,DAY([0]!Loan_Start))</definedName>
    <definedName name="shut" localSheetId="12">DATE(YEAR([0]!Loan_Start),MONTH([0]!Loan_Start)+Payment_Number,DAY([0]!Loan_Start))</definedName>
    <definedName name="shut" localSheetId="4">DATE(YEAR([0]!Loan_Start),MONTH([0]!Loan_Start)+Payment_Number,DAY([0]!Loan_Start))</definedName>
    <definedName name="shut" localSheetId="10">DATE(YEAR([0]!Loan_Start),MONTH([0]!Loan_Start)+Payment_Number,DAY([0]!Loan_Start))</definedName>
    <definedName name="shut" localSheetId="9">DATE(YEAR([0]!Loan_Start),MONTH([0]!Loan_Start)+Payment_Number,DAY([0]!Loan_Start))</definedName>
    <definedName name="shut">DATE(YEAR([0]!Loan_Start),MONTH([0]!Loan_Start)+Payment_Number,DAY([0]!Loan_Start))</definedName>
    <definedName name="shutter">OFFSET(Full_Print,0,0,Last_Row)</definedName>
    <definedName name="SI" hidden="1">{#N/A,#N/A,FALSE,"Cover Page";#N/A,#N/A,FALSE,"Facing Page";#N/A,#N/A,FALSE,"Main Page";#N/A,#N/A,FALSE,"Risk-Adjusted";#N/A,#N/A,FALSE,"Profit Improvement"}</definedName>
    <definedName name="Siam_DENSO_Manufacturing_Co._Ltd.">#REF!</definedName>
    <definedName name="sid" hidden="1">{#N/A,#N/A,FALSE,"Cover";#N/A,#N/A,FALSE,"Profits";#N/A,#N/A,FALSE,"ABS";#N/A,#N/A,FALSE,"TFLE Detail";#N/A,#N/A,FALSE,"TFLE Walk";#N/A,#N/A,FALSE,"Variable Cost";#N/A,#N/A,FALSE,"V.C. Walk"}</definedName>
    <definedName name="Signature">INDIRECT(#REF!)</definedName>
    <definedName name="simon" hidden="1">{#N/A,#N/A,FALSE,"Cover";#N/A,#N/A,FALSE,"Profits";#N/A,#N/A,FALSE,"ABS";#N/A,#N/A,FALSE,"TFLE Detail";#N/A,#N/A,FALSE,"TFLE Walk";#N/A,#N/A,FALSE,"Variable Cost";#N/A,#N/A,FALSE,"V.C. Walk"}</definedName>
    <definedName name="SIN">17.9</definedName>
    <definedName name="six_month_req">#REF!</definedName>
    <definedName name="sjsbcsdabjhvbab" hidden="1">{#N/A,#N/A,FALSE,"Assumptions";#N/A,#N/A,FALSE,"Volumes";#N/A,#N/A,FALSE,"Pricing";#N/A,#N/A,FALSE,"Variable Cost";#N/A,#N/A,FALSE,"Investment";#N/A,#N/A,FALSE,"Profitability";#N/A,#N/A,FALSE,"Business Comparison"}</definedName>
    <definedName name="skdfjh1" hidden="1">{#N/A,#N/A,FALSE,"Assumptions";#N/A,#N/A,FALSE,"Volumes";#N/A,#N/A,FALSE,"Pricing";#N/A,#N/A,FALSE,"Variable Cost";#N/A,#N/A,FALSE,"Investment";#N/A,#N/A,FALSE,"Profitability";#N/A,#N/A,FALSE,"Business Comparison"}</definedName>
    <definedName name="skdj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_1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kdjfh2" hidden="1">{#N/A,#N/A,FALSE,"Assumptions";#N/A,#N/A,FALSE,"Volumes";#N/A,#N/A,FALSE,"Pricing";#N/A,#N/A,FALSE,"Variable Cost";#N/A,#N/A,FALSE,"Investment";#N/A,#N/A,FALSE,"Profitability";#N/A,#N/A,FALSE,"Business Comparison"}</definedName>
    <definedName name="skdjfha" hidden="1">{#N/A,#N/A,FALSE,"Assumptions";#N/A,#N/A,FALSE,"Volumes";#N/A,#N/A,FALSE,"Pricing";#N/A,#N/A,FALSE,"Variable Cost";#N/A,#N/A,FALSE,"Investment";#N/A,#N/A,FALSE,"Profitability";#N/A,#N/A,FALSE,"Business Comparison"}</definedName>
    <definedName name="skdjjj" hidden="1">{#N/A,#N/A,FALSE,"Assumptions";#N/A,#N/A,FALSE,"Volumes";#N/A,#N/A,FALSE,"Pricing";#N/A,#N/A,FALSE,"Variable Cost";#N/A,#N/A,FALSE,"Investment";#N/A,#N/A,FALSE,"Profitability";#N/A,#N/A,FALSE,"Business Comparison"}</definedName>
    <definedName name="SMBC1M">SUM(#REF!)</definedName>
    <definedName name="SMBC1Y">SUM(#REF!)</definedName>
    <definedName name="SMBC2Y">SUM(#REF!)</definedName>
    <definedName name="SMBC3M">SUM(#REF!)</definedName>
    <definedName name="SMBC3Y">SUM(#REF!)</definedName>
    <definedName name="SMBC6M">SUM(#REF!)</definedName>
    <definedName name="SMS" hidden="1">#REF!</definedName>
    <definedName name="SNH" hidden="1">{#N/A,#N/A,FALSE,"GRAFIK";#N/A,#N/A,FALSE,"TOP30MEM"}</definedName>
    <definedName name="solver_adj" hidden="1">#REF!,#REF!</definedName>
    <definedName name="solver_cvg" hidden="1">0.0001</definedName>
    <definedName name="solver_drv">1</definedName>
    <definedName name="solver_est">1</definedName>
    <definedName name="solver_itr">100</definedName>
    <definedName name="solver_lhs10" hidden="1">#REF!</definedName>
    <definedName name="solver_lhs11" hidden="1">#REF!</definedName>
    <definedName name="solver_lhs12" hidden="1">#REF!</definedName>
    <definedName name="solver_lhs13" hidden="1">#REF!</definedName>
    <definedName name="solver_lhs14" hidden="1">#REF!</definedName>
    <definedName name="solver_lhs15" hidden="1">#REF!</definedName>
    <definedName name="solver_lhs16" hidden="1">#REF!</definedName>
    <definedName name="solver_lhs17" hidden="1">#REF!</definedName>
    <definedName name="solver_lhs18" hidden="1">#REF!</definedName>
    <definedName name="solver_lhs19" hidden="1">#REF!</definedName>
    <definedName name="solver_lhs20" hidden="1">#REF!</definedName>
    <definedName name="solver_lhs21" hidden="1">#REF!</definedName>
    <definedName name="solver_lhs22" hidden="1">#REF!</definedName>
    <definedName name="solver_lhs23" hidden="1">#REF!</definedName>
    <definedName name="solver_lhs24" hidden="1">#REF!</definedName>
    <definedName name="solver_lhs25" hidden="1">#REF!</definedName>
    <definedName name="solver_lhs26" hidden="1">#REF!</definedName>
    <definedName name="solver_lhs27" hidden="1">#REF!</definedName>
    <definedName name="solver_lhs28" hidden="1">#REF!</definedName>
    <definedName name="solver_lhs29" hidden="1">#REF!</definedName>
    <definedName name="solver_lhs30" hidden="1">#REF!</definedName>
    <definedName name="solver_lhs31" hidden="1">#REF!</definedName>
    <definedName name="solver_lhs32" hidden="1">#REF!</definedName>
    <definedName name="solver_lhs33" hidden="1">#REF!</definedName>
    <definedName name="solver_lhs34" hidden="1">#REF!</definedName>
    <definedName name="solver_lhs35" hidden="1">#REF!</definedName>
    <definedName name="solver_lhs36" hidden="1">#REF!</definedName>
    <definedName name="solver_lhs37" hidden="1">#REF!</definedName>
    <definedName name="solver_lhs38" hidden="1">#REF!</definedName>
    <definedName name="solver_lhs39" hidden="1">#REF!</definedName>
    <definedName name="solver_lhs40" hidden="1">#REF!</definedName>
    <definedName name="solver_lhs41" hidden="1">#REF!</definedName>
    <definedName name="solver_lhs42" hidden="1">#REF!</definedName>
    <definedName name="solver_lhs43" hidden="1">#REF!</definedName>
    <definedName name="solver_lhs44" hidden="1">#REF!</definedName>
    <definedName name="solver_lhs45" hidden="1">#REF!</definedName>
    <definedName name="solver_lhs46" hidden="1">#REF!</definedName>
    <definedName name="solver_lhs47" hidden="1">#REF!</definedName>
    <definedName name="solver_lhs48" hidden="1">#REF!</definedName>
    <definedName name="solver_lhs49" hidden="1">#REF!</definedName>
    <definedName name="solver_lhs5" hidden="1">#REF!</definedName>
    <definedName name="solver_lhs50" hidden="1">#REF!</definedName>
    <definedName name="solver_lhs51" hidden="1">#REF!</definedName>
    <definedName name="solver_lhs52" hidden="1">#REF!</definedName>
    <definedName name="solver_lhs53" hidden="1">#REF!</definedName>
    <definedName name="solver_lhs54" hidden="1">#REF!</definedName>
    <definedName name="solver_lhs55" hidden="1">#REF!</definedName>
    <definedName name="solver_lhs56" hidden="1">#REF!</definedName>
    <definedName name="solver_lhs57" hidden="1">#REF!</definedName>
    <definedName name="solver_lhs58" hidden="1">#REF!</definedName>
    <definedName name="solver_lhs59" hidden="1">#REF!</definedName>
    <definedName name="solver_lhs6" hidden="1">#REF!</definedName>
    <definedName name="solver_lhs60" hidden="1">#REF!</definedName>
    <definedName name="solver_lhs61" hidden="1">#REF!</definedName>
    <definedName name="solver_lhs62" hidden="1">#REF!</definedName>
    <definedName name="solver_lhs63" hidden="1">#REF!</definedName>
    <definedName name="solver_lhs64" hidden="1">#REF!</definedName>
    <definedName name="solver_lhs65" hidden="1">#REF!</definedName>
    <definedName name="solver_lhs66" hidden="1">#REF!</definedName>
    <definedName name="solver_lhs67" hidden="1">#REF!</definedName>
    <definedName name="solver_lhs68" hidden="1">#REF!</definedName>
    <definedName name="solver_lhs69" hidden="1">#REF!</definedName>
    <definedName name="solver_lhs7" hidden="1">#REF!</definedName>
    <definedName name="solver_lhs70" hidden="1">#REF!</definedName>
    <definedName name="solver_lhs71" hidden="1">#REF!</definedName>
    <definedName name="solver_lhs72" hidden="1">#REF!</definedName>
    <definedName name="solver_lhs73" hidden="1">#REF!</definedName>
    <definedName name="solver_lhs74" hidden="1">#REF!</definedName>
    <definedName name="solver_lhs75" hidden="1">#REF!</definedName>
    <definedName name="solver_lhs76" hidden="1">#REF!</definedName>
    <definedName name="solver_lhs77" hidden="1">#REF!</definedName>
    <definedName name="solver_lhs78" hidden="1">#REF!</definedName>
    <definedName name="solver_lhs79" hidden="1">#REF!</definedName>
    <definedName name="solver_lhs8" hidden="1">#REF!</definedName>
    <definedName name="solver_lhs80" hidden="1">#REF!</definedName>
    <definedName name="solver_lhs81" hidden="1">#REF!</definedName>
    <definedName name="solver_lhs82" hidden="1">#REF!</definedName>
    <definedName name="solver_lhs83" hidden="1">#REF!</definedName>
    <definedName name="solver_lhs84" hidden="1">#REF!</definedName>
    <definedName name="solver_lhs85" hidden="1">#REF!</definedName>
    <definedName name="solver_lhs86" hidden="1">#REF!</definedName>
    <definedName name="solver_lhs87" hidden="1">#REF!</definedName>
    <definedName name="solver_lhs88" hidden="1">#REF!</definedName>
    <definedName name="solver_lhs89" hidden="1">#REF!</definedName>
    <definedName name="solver_lhs9" hidden="1">#REF!</definedName>
    <definedName name="solver_lin">2</definedName>
    <definedName name="solver_neg" hidden="1">2</definedName>
    <definedName name="solver_num">0</definedName>
    <definedName name="solver_nwt">1</definedName>
    <definedName name="solver_opt" hidden="1">#REF!</definedName>
    <definedName name="solver_pre">0.000001</definedName>
    <definedName name="solver_rel1" hidden="1">2</definedName>
    <definedName name="solver_rel10" hidden="1">3</definedName>
    <definedName name="solver_rel11" hidden="1">1</definedName>
    <definedName name="solver_rel12" hidden="1">3</definedName>
    <definedName name="solver_rel13" hidden="1">1</definedName>
    <definedName name="solver_rel14" hidden="1">3</definedName>
    <definedName name="solver_rel15" hidden="1">1</definedName>
    <definedName name="solver_rel16" hidden="1">3</definedName>
    <definedName name="solver_rel17" hidden="1">1</definedName>
    <definedName name="solver_rel18" hidden="1">3</definedName>
    <definedName name="solver_rel19" hidden="1">1</definedName>
    <definedName name="solver_rel2" hidden="1">3</definedName>
    <definedName name="solver_rel20" hidden="1">3</definedName>
    <definedName name="solver_rel21" hidden="1">1</definedName>
    <definedName name="solver_rel22" hidden="1">3</definedName>
    <definedName name="solver_rel23" hidden="1">1</definedName>
    <definedName name="solver_rel24" hidden="1">3</definedName>
    <definedName name="solver_rel25" hidden="1">1</definedName>
    <definedName name="solver_rel26" hidden="1">3</definedName>
    <definedName name="solver_rel27" hidden="1">1</definedName>
    <definedName name="solver_rel28" hidden="1">3</definedName>
    <definedName name="solver_rel29" hidden="1">1</definedName>
    <definedName name="solver_rel3" hidden="1">1</definedName>
    <definedName name="solver_rel30" hidden="1">3</definedName>
    <definedName name="solver_rel31" hidden="1">1</definedName>
    <definedName name="solver_rel32" hidden="1">3</definedName>
    <definedName name="solver_rel33" hidden="1">1</definedName>
    <definedName name="solver_rel34" hidden="1">3</definedName>
    <definedName name="solver_rel35" hidden="1">1</definedName>
    <definedName name="solver_rel36" hidden="1">3</definedName>
    <definedName name="solver_rel37" hidden="1">1</definedName>
    <definedName name="solver_rel38" hidden="1">3</definedName>
    <definedName name="solver_rel39" hidden="1">1</definedName>
    <definedName name="solver_rel4" hidden="1">3</definedName>
    <definedName name="solver_rel40" hidden="1">3</definedName>
    <definedName name="solver_rel41" hidden="1">1</definedName>
    <definedName name="solver_rel42" hidden="1">3</definedName>
    <definedName name="solver_rel43" hidden="1">1</definedName>
    <definedName name="solver_rel44" hidden="1">3</definedName>
    <definedName name="solver_rel45" hidden="1">1</definedName>
    <definedName name="solver_rel46" hidden="1">3</definedName>
    <definedName name="solver_rel47" hidden="1">1</definedName>
    <definedName name="solver_rel48" hidden="1">3</definedName>
    <definedName name="solver_rel49" hidden="1">1</definedName>
    <definedName name="solver_rel5" hidden="1">1</definedName>
    <definedName name="solver_rel50" hidden="1">3</definedName>
    <definedName name="solver_rel51" hidden="1">1</definedName>
    <definedName name="solver_rel52" hidden="1">3</definedName>
    <definedName name="solver_rel53" hidden="1">1</definedName>
    <definedName name="solver_rel54" hidden="1">3</definedName>
    <definedName name="solver_rel55" hidden="1">1</definedName>
    <definedName name="solver_rel56" hidden="1">3</definedName>
    <definedName name="solver_rel57" hidden="1">1</definedName>
    <definedName name="solver_rel58" hidden="1">3</definedName>
    <definedName name="solver_rel59" hidden="1">1</definedName>
    <definedName name="solver_rel6" hidden="1">3</definedName>
    <definedName name="solver_rel60" hidden="1">3</definedName>
    <definedName name="solver_rel61" hidden="1">1</definedName>
    <definedName name="solver_rel62" hidden="1">3</definedName>
    <definedName name="solver_rel63" hidden="1">1</definedName>
    <definedName name="solver_rel64" hidden="1">3</definedName>
    <definedName name="solver_rel65" hidden="1">1</definedName>
    <definedName name="solver_rel66" hidden="1">3</definedName>
    <definedName name="solver_rel67" hidden="1">1</definedName>
    <definedName name="solver_rel68" hidden="1">1</definedName>
    <definedName name="solver_rel69" hidden="1">1</definedName>
    <definedName name="solver_rel7" hidden="1">1</definedName>
    <definedName name="solver_rel70" hidden="1">1</definedName>
    <definedName name="solver_rel71" hidden="1">1</definedName>
    <definedName name="solver_rel72" hidden="1">1</definedName>
    <definedName name="solver_rel73" hidden="1">1</definedName>
    <definedName name="solver_rel74" hidden="1">1</definedName>
    <definedName name="solver_rel75" hidden="1">1</definedName>
    <definedName name="solver_rel76" hidden="1">1</definedName>
    <definedName name="solver_rel77" hidden="1">1</definedName>
    <definedName name="solver_rel78" hidden="1">1</definedName>
    <definedName name="solver_rel79" hidden="1">1</definedName>
    <definedName name="solver_rel8" hidden="1">3</definedName>
    <definedName name="solver_rel80" hidden="1">1</definedName>
    <definedName name="solver_rel81" hidden="1">1</definedName>
    <definedName name="solver_rel82" hidden="1">1</definedName>
    <definedName name="solver_rel83" hidden="1">1</definedName>
    <definedName name="solver_rel84" hidden="1">1</definedName>
    <definedName name="solver_rel85" hidden="1">1</definedName>
    <definedName name="solver_rel86" hidden="1">1</definedName>
    <definedName name="solver_rel87" hidden="1">1</definedName>
    <definedName name="solver_rel88" hidden="1">1</definedName>
    <definedName name="solver_rel89" hidden="1">1</definedName>
    <definedName name="solver_rel9" hidden="1">1</definedName>
    <definedName name="solver_rhs1" hidden="1">155</definedName>
    <definedName name="solver_rhs10" hidden="1">1823</definedName>
    <definedName name="solver_rhs11" hidden="1">79</definedName>
    <definedName name="solver_rhs12" hidden="1">79</definedName>
    <definedName name="solver_rhs13" hidden="1">2271</definedName>
    <definedName name="solver_rhs14" hidden="1">2271</definedName>
    <definedName name="solver_rhs15" hidden="1">1275</definedName>
    <definedName name="solver_rhs16" hidden="1">1275</definedName>
    <definedName name="solver_rhs17" hidden="1">5448</definedName>
    <definedName name="solver_rhs18" hidden="1">5448</definedName>
    <definedName name="solver_rhs19" hidden="1">4094</definedName>
    <definedName name="solver_rhs2" hidden="1">0</definedName>
    <definedName name="solver_rhs20" hidden="1">4094</definedName>
    <definedName name="solver_rhs21" hidden="1">4173</definedName>
    <definedName name="solver_rhs22" hidden="1">4173</definedName>
    <definedName name="solver_rhs23" hidden="1">2271</definedName>
    <definedName name="solver_rhs24" hidden="1">2271</definedName>
    <definedName name="solver_rhs25" hidden="1">1823</definedName>
    <definedName name="solver_rhs26" hidden="1">1823</definedName>
    <definedName name="solver_rhs27" hidden="1">79</definedName>
    <definedName name="solver_rhs28" hidden="1">79</definedName>
    <definedName name="solver_rhs29" hidden="1">2271</definedName>
    <definedName name="solver_rhs3" hidden="1">100</definedName>
    <definedName name="solver_rhs30" hidden="1">2271</definedName>
    <definedName name="solver_rhs31" hidden="1">1275</definedName>
    <definedName name="solver_rhs32" hidden="1">1275</definedName>
    <definedName name="solver_rhs33" hidden="1">5448</definedName>
    <definedName name="solver_rhs34" hidden="1">5448</definedName>
    <definedName name="solver_rhs35" hidden="1">4094</definedName>
    <definedName name="solver_rhs36" hidden="1">4094</definedName>
    <definedName name="solver_rhs37" hidden="1">4173</definedName>
    <definedName name="solver_rhs38" hidden="1">4173</definedName>
    <definedName name="solver_rhs39" hidden="1">2271</definedName>
    <definedName name="solver_rhs4" hidden="1">0</definedName>
    <definedName name="solver_rhs40" hidden="1">2271</definedName>
    <definedName name="solver_rhs41" hidden="1">1823</definedName>
    <definedName name="solver_rhs42" hidden="1">1823</definedName>
    <definedName name="solver_rhs43" hidden="1">79</definedName>
    <definedName name="solver_rhs44" hidden="1">79</definedName>
    <definedName name="solver_rhs45" hidden="1">2271</definedName>
    <definedName name="solver_rhs46" hidden="1">2271</definedName>
    <definedName name="solver_rhs47" hidden="1">1275</definedName>
    <definedName name="solver_rhs48" hidden="1">1275</definedName>
    <definedName name="solver_rhs49" hidden="1">5448</definedName>
    <definedName name="solver_rhs5" hidden="1">4173</definedName>
    <definedName name="solver_rhs50" hidden="1">5448</definedName>
    <definedName name="solver_rhs51" hidden="1">4094</definedName>
    <definedName name="solver_rhs52" hidden="1">4094</definedName>
    <definedName name="solver_rhs53" hidden="1">4173</definedName>
    <definedName name="solver_rhs54" hidden="1">4173</definedName>
    <definedName name="solver_rhs55" hidden="1">2271</definedName>
    <definedName name="solver_rhs56" hidden="1">2271</definedName>
    <definedName name="solver_rhs57" hidden="1">1823</definedName>
    <definedName name="solver_rhs58" hidden="1">1823</definedName>
    <definedName name="solver_rhs59" hidden="1">79</definedName>
    <definedName name="solver_rhs6" hidden="1">4173</definedName>
    <definedName name="solver_rhs60" hidden="1">79</definedName>
    <definedName name="solver_rhs61" hidden="1">2271</definedName>
    <definedName name="solver_rhs62" hidden="1">2271</definedName>
    <definedName name="solver_rhs63" hidden="1">1275</definedName>
    <definedName name="solver_rhs64" hidden="1">1275</definedName>
    <definedName name="solver_rhs65" hidden="1">5448</definedName>
    <definedName name="solver_rhs66" hidden="1">5448</definedName>
    <definedName name="solver_rhs67" hidden="1">4094</definedName>
    <definedName name="solver_rhs68" hidden="1">4173</definedName>
    <definedName name="solver_rhs69" hidden="1">2271</definedName>
    <definedName name="solver_rhs7" hidden="1">2271</definedName>
    <definedName name="solver_rhs70" hidden="1">1823</definedName>
    <definedName name="solver_rhs71" hidden="1">79</definedName>
    <definedName name="solver_rhs72" hidden="1">2271</definedName>
    <definedName name="solver_rhs73" hidden="1">1275</definedName>
    <definedName name="solver_rhs74" hidden="1">5448</definedName>
    <definedName name="solver_rhs75" hidden="1">4094</definedName>
    <definedName name="solver_rhs76" hidden="1">4173</definedName>
    <definedName name="solver_rhs77" hidden="1">2271</definedName>
    <definedName name="solver_rhs78" hidden="1">1823</definedName>
    <definedName name="solver_rhs79" hidden="1">79</definedName>
    <definedName name="solver_rhs8" hidden="1">2271</definedName>
    <definedName name="solver_rhs80" hidden="1">2271</definedName>
    <definedName name="solver_rhs81" hidden="1">1275</definedName>
    <definedName name="solver_rhs82" hidden="1">5448</definedName>
    <definedName name="solver_rhs83" hidden="1">4094</definedName>
    <definedName name="solver_rhs84" hidden="1">4173</definedName>
    <definedName name="solver_rhs85" hidden="1">2271</definedName>
    <definedName name="solver_rhs86" hidden="1">1823</definedName>
    <definedName name="solver_rhs87" hidden="1">79</definedName>
    <definedName name="solver_rhs88" hidden="1">2271</definedName>
    <definedName name="solver_rhs89" hidden="1">1275</definedName>
    <definedName name="solver_rhs9" hidden="1">1823</definedName>
    <definedName name="solver_scl">2</definedName>
    <definedName name="solver_sho">2</definedName>
    <definedName name="solver_tim">100</definedName>
    <definedName name="solver_tmp" hidden="1">#REF!,#REF!</definedName>
    <definedName name="solver_tmp_fsm" hidden="1">#REF!,#REF!</definedName>
    <definedName name="solver_tol">0.05</definedName>
    <definedName name="solver_typ">1</definedName>
    <definedName name="solver_val">0</definedName>
    <definedName name="SORT">#N/A</definedName>
    <definedName name="SORT_2.ALL_Sort_Mikinyu" localSheetId="5">[0]!All_Cancel</definedName>
    <definedName name="SORT_2.ALL_Sort_Mikinyu" localSheetId="8">[0]!All_Cancel</definedName>
    <definedName name="SORT_2.ALL_Sort_Mikinyu" localSheetId="6">[0]!All_Cancel</definedName>
    <definedName name="SORT_2.ALL_Sort_Mikinyu" localSheetId="13">[0]!All_Cancel</definedName>
    <definedName name="SORT_2.ALL_Sort_Mikinyu" localSheetId="14">[0]!All_Cancel</definedName>
    <definedName name="SORT_2.ALL_Sort_Mikinyu" localSheetId="12">[0]!All_Cancel</definedName>
    <definedName name="SORT_2.ALL_Sort_Mikinyu" localSheetId="4">[0]!All_Cancel</definedName>
    <definedName name="SORT_2.ALL_Sort_Mikinyu" localSheetId="10">[0]!All_Cancel</definedName>
    <definedName name="SORT_2.ALL_Sort_Mikinyu" localSheetId="9">[0]!All_Cancel</definedName>
    <definedName name="SORT_2.ALL_Sort_Mikinyu">[0]!All_Cancel</definedName>
    <definedName name="SORT_2.ALL_Sort_Okure" localSheetId="5">[0]!All_Select</definedName>
    <definedName name="SORT_2.ALL_Sort_Okure" localSheetId="8">[0]!All_Select</definedName>
    <definedName name="SORT_2.ALL_Sort_Okure" localSheetId="6">[0]!All_Select</definedName>
    <definedName name="SORT_2.ALL_Sort_Okure" localSheetId="13">[0]!All_Select</definedName>
    <definedName name="SORT_2.ALL_Sort_Okure" localSheetId="14">[0]!All_Select</definedName>
    <definedName name="SORT_2.ALL_Sort_Okure" localSheetId="12">[0]!All_Select</definedName>
    <definedName name="SORT_2.ALL_Sort_Okure" localSheetId="4">[0]!All_Select</definedName>
    <definedName name="SORT_2.ALL_Sort_Okure" localSheetId="10">[0]!All_Select</definedName>
    <definedName name="SORT_2.ALL_Sort_Okure" localSheetId="9">[0]!All_Select</definedName>
    <definedName name="SORT_2.ALL_Sort_Okure">[0]!All_Select</definedName>
    <definedName name="SORT_2.ALL_Sort_Okure2" localSheetId="5">[0]!book_save</definedName>
    <definedName name="SORT_2.ALL_Sort_Okure2" localSheetId="8">[0]!book_save</definedName>
    <definedName name="SORT_2.ALL_Sort_Okure2" localSheetId="6">[0]!book_save</definedName>
    <definedName name="SORT_2.ALL_Sort_Okure2" localSheetId="13">[0]!book_save</definedName>
    <definedName name="SORT_2.ALL_Sort_Okure2" localSheetId="14">[0]!book_save</definedName>
    <definedName name="SORT_2.ALL_Sort_Okure2" localSheetId="12">[0]!book_save</definedName>
    <definedName name="SORT_2.ALL_Sort_Okure2" localSheetId="4">[0]!book_save</definedName>
    <definedName name="SORT_2.ALL_Sort_Okure2" localSheetId="10">[0]!book_save</definedName>
    <definedName name="SORT_2.ALL_Sort_Okure2" localSheetId="9">[0]!book_save</definedName>
    <definedName name="SORT_2.ALL_Sort_Okure2">[0]!book_save</definedName>
    <definedName name="SORT_2.ALL_Sort_Okure3" localSheetId="5">[0]!END_SYORI</definedName>
    <definedName name="SORT_2.ALL_Sort_Okure3" localSheetId="8">[0]!END_SYORI</definedName>
    <definedName name="SORT_2.ALL_Sort_Okure3" localSheetId="6">[0]!END_SYORI</definedName>
    <definedName name="SORT_2.ALL_Sort_Okure3" localSheetId="13">[0]!END_SYORI</definedName>
    <definedName name="SORT_2.ALL_Sort_Okure3" localSheetId="14">[0]!END_SYORI</definedName>
    <definedName name="SORT_2.ALL_Sort_Okure3" localSheetId="12">[0]!END_SYORI</definedName>
    <definedName name="SORT_2.ALL_Sort_Okure3" localSheetId="4">[0]!END_SYORI</definedName>
    <definedName name="SORT_2.ALL_Sort_Okure3" localSheetId="10">[0]!END_SYORI</definedName>
    <definedName name="SORT_2.ALL_Sort_Okure3" localSheetId="9">[0]!END_SYORI</definedName>
    <definedName name="SORT_2.ALL_Sort_Okure3">[0]!END_SYORI</definedName>
    <definedName name="SORT_2.ALL_Sort_Yotei">#N/A</definedName>
    <definedName name="SORT_2.ALL_Sort_Yotei2" localSheetId="5">[0]!go_PRJ</definedName>
    <definedName name="SORT_2.ALL_Sort_Yotei2" localSheetId="8">[0]!go_PRJ</definedName>
    <definedName name="SORT_2.ALL_Sort_Yotei2" localSheetId="6">[0]!go_PRJ</definedName>
    <definedName name="SORT_2.ALL_Sort_Yotei2" localSheetId="13">[0]!go_PRJ</definedName>
    <definedName name="SORT_2.ALL_Sort_Yotei2" localSheetId="14">[0]!go_PRJ</definedName>
    <definedName name="SORT_2.ALL_Sort_Yotei2" localSheetId="12">[0]!go_PRJ</definedName>
    <definedName name="SORT_2.ALL_Sort_Yotei2" localSheetId="4">[0]!go_PRJ</definedName>
    <definedName name="SORT_2.ALL_Sort_Yotei2" localSheetId="10">[0]!go_PRJ</definedName>
    <definedName name="SORT_2.ALL_Sort_Yotei2" localSheetId="9">[0]!go_PRJ</definedName>
    <definedName name="SORT_2.ALL_Sort_Yotei2">[0]!go_PRJ</definedName>
    <definedName name="SORT_2.ALL_Sort_Yotei3" localSheetId="5">[0]!go_START</definedName>
    <definedName name="SORT_2.ALL_Sort_Yotei3" localSheetId="8">[0]!go_START</definedName>
    <definedName name="SORT_2.ALL_Sort_Yotei3" localSheetId="6">[0]!go_START</definedName>
    <definedName name="SORT_2.ALL_Sort_Yotei3" localSheetId="13">[0]!go_START</definedName>
    <definedName name="SORT_2.ALL_Sort_Yotei3" localSheetId="14">[0]!go_START</definedName>
    <definedName name="SORT_2.ALL_Sort_Yotei3" localSheetId="12">[0]!go_START</definedName>
    <definedName name="SORT_2.ALL_Sort_Yotei3" localSheetId="4">[0]!go_START</definedName>
    <definedName name="SORT_2.ALL_Sort_Yotei3" localSheetId="10">[0]!go_START</definedName>
    <definedName name="SORT_2.ALL_Sort_Yotei3" localSheetId="9">[0]!go_START</definedName>
    <definedName name="SORT_2.ALL_Sort_Yotei3">[0]!go_START</definedName>
    <definedName name="sp">#REF!</definedName>
    <definedName name="Spain">#REF!</definedName>
    <definedName name="spc">#REF!</definedName>
    <definedName name="Spec">#REF!</definedName>
    <definedName name="SpecialPrice" hidden="1">#REF!</definedName>
    <definedName name="spending">#REF!</definedName>
    <definedName name="Spider">#N/A</definedName>
    <definedName name="SPIDER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pike" hidden="1">{"'Highlights'!$A$1:$M$123"}</definedName>
    <definedName name="spike1" hidden="1">{"'Highlights'!$A$1:$M$123"}</definedName>
    <definedName name="spk" hidden="1">{#N/A,#N/A,FALSE,"Assumptions";#N/A,#N/A,FALSE,"Volumes";#N/A,#N/A,FALSE,"Pricing";#N/A,#N/A,FALSE,"Variable Cost";#N/A,#N/A,FALSE,"Investment";#N/A,#N/A,FALSE,"Profitability";#N/A,#N/A,FALSE,"Business Comparison"}</definedName>
    <definedName name="sq">#REF!</definedName>
    <definedName name="sqd" hidden="1">{#N/A,#N/A,FALSE,"TOP10";#N/A,#N/A,FALSE,"Cover";#N/A,#N/A,FALSE,"MOGRAPH"}</definedName>
    <definedName name="sqw" hidden="1">{#N/A,#N/A,FALSE,"GRAFIK";#N/A,#N/A,FALSE,"TOP30MEM"}</definedName>
    <definedName name="srgd" hidden="1">{"Presentation",#N/A,FALSE,"Feb96 - ALL"}</definedName>
    <definedName name="SrtCut">#REF!</definedName>
    <definedName name="srtn" hidden="1">{#N/A,#N/A,FALSE,"Chart";#N/A,#N/A,FALSE,"Chart"}</definedName>
    <definedName name="SRYSE" hidden="1">{#N/A,#N/A,FALSE,"Assumptions";#N/A,#N/A,FALSE,"Volumes";#N/A,#N/A,FALSE,"Pricing";#N/A,#N/A,FALSE,"Variable Cost";#N/A,#N/A,FALSE,"Investment";#N/A,#N/A,FALSE,"Profitability";#N/A,#N/A,FALSE,"Business Comparison"}</definedName>
    <definedName name="ss" hidden="1">{#N/A,#N/A,FALSE,"Assumptions";#N/A,#N/A,FALSE,"Volumes";#N/A,#N/A,FALSE,"Pricing";#N/A,#N/A,FALSE,"Variable Cost";#N/A,#N/A,FALSE,"Investment";#N/A,#N/A,FALSE,"Profitability";#N/A,#N/A,FALSE,"Business Comparison"}</definedName>
    <definedName name="ssas" hidden="1">{"MaskProfCalc",#N/A,FALSE,"Mask";"MaskTrade",#N/A,FALSE,"Mask"}</definedName>
    <definedName name="ssdasd" hidden="1">{"'Section1'!$A$1:$AN$53","'Section1'!$A$1:$AO$59"}</definedName>
    <definedName name="SSDD" hidden="1">#REF!</definedName>
    <definedName name="ssh" hidden="1">{"avrev",#N/A,FALSE,"AVREV";"rates",#N/A,FALSE,"AVREV"}</definedName>
    <definedName name="sss" hidden="1">{#N/A,#N/A,FALSE,"Balance SPS";#N/A,#N/A,FALSE,"P&amp;L_SPS"}</definedName>
    <definedName name="ssscf" hidden="1">#REF!</definedName>
    <definedName name="ss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ss" hidden="1">{#N/A,#N/A,FALSE,"Profit Status";#N/A,#N/A,FALSE,"Invest";#N/A,#N/A,FALSE,"Revenue";#N/A,#N/A,FALSE,"Variable Cost";#N/A,#N/A,FALSE,"Options &amp; Series"}</definedName>
    <definedName name="ssssss" hidden="1">{"avrev",#N/A,FALSE,"AVREV";"rates",#N/A,FALSE,"AVREV"}</definedName>
    <definedName name="sssssss" hidden="1">{"Fiesta Facer Page",#N/A,FALSE,"Q_C_S";"Fiesta Main Page",#N/A,FALSE,"V_L";"Fiesta 95BP Struct",#N/A,FALSE,"StructBP";"Fiesta Post 95BP Struct",#N/A,FALSE,"AdjStructBP"}</definedName>
    <definedName name="ssssssss" hidden="1">{#N/A,#N/A,FALSE,"Cover";#N/A,#N/A,FALSE,"Profits";#N/A,#N/A,FALSE,"ABS";#N/A,#N/A,FALSE,"TFLE Detail";#N/A,#N/A,FALSE,"TFLE Walk";#N/A,#N/A,FALSE,"Variable Cost";#N/A,#N/A,FALSE,"V.C. Walk"}</definedName>
    <definedName name="ssssssssss" hidden="1">{#N/A,#N/A,FALSE,"Title - E";#N/A,#N/A,FALSE,"Insert";#N/A,#N/A,FALSE,"Rpt-98-E PG_1";#N/A,#N/A,FALSE,"Rpt-98-E PG_2f";#N/A,#N/A,FALSE,"Rpt-98-E PG_2";#N/A,#N/A,FALSE,"Insert";#N/A,#N/A,FALSE,"Rpt-98-E PG_3 "}</definedName>
    <definedName name="ssssssssssss">#REF!</definedName>
    <definedName name="SSY" hidden="1">{#N/A,#N/A,FALSE,"Assumptions";#N/A,#N/A,FALSE,"Volumes";#N/A,#N/A,FALSE,"Pricing";#N/A,#N/A,FALSE,"Variable Cost";#N/A,#N/A,FALSE,"Investment";#N/A,#N/A,FALSE,"Profitability";#N/A,#N/A,FALSE,"Business Comparison"}</definedName>
    <definedName name="ST">#REF!</definedName>
    <definedName name="sta">0.1</definedName>
    <definedName name="stabsreptest" hidden="1">{#N/A,#N/A,FALSE,"GRAFIK";#N/A,#N/A,FALSE,"TOP30MEM"}</definedName>
    <definedName name="Staff_Salary_Permanent_Expat">#REF!</definedName>
    <definedName name="Staff_Salary_Permanent_local">#REF!</definedName>
    <definedName name="stamp03bp" hidden="1">{"Revenue",#N/A,FALSE,"Series";"Ecprofit",#N/A,FALSE,"Series"}</definedName>
    <definedName name="start" hidden="1">{#N/A,#N/A,FALSE,"Assumptions";#N/A,#N/A,FALSE,"Volumes";#N/A,#N/A,FALSE,"Pricing";#N/A,#N/A,FALSE,"Variable Cost";#N/A,#N/A,FALSE,"Investment";#N/A,#N/A,FALSE,"Profitability";#N/A,#N/A,FALSE,"Business Comparison"}</definedName>
    <definedName name="startDates">#REF!</definedName>
    <definedName name="StartYear">#REF!</definedName>
    <definedName name="State">#REF!</definedName>
    <definedName name="status" hidden="1">#N/A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 hidden="1">{#N/A,#N/A,FALSE,"Title-W";#N/A,#N/A,FALSE,"Insert";#N/A,#N/A,FALSE,"Rpt-98-W PG_1";#N/A,#N/A,FALSE,"Rpt-98-W PG_2f";#N/A,#N/A,FALSE,"Rpt-98-W  PG_2";#N/A,#N/A,FALSE,"Insert";#N/A,#N/A,FALSE,"Rpt-98-W PG_3"}</definedName>
    <definedName name="STDDCM">#REF!</definedName>
    <definedName name="STDDCT">#REF!</definedName>
    <definedName name="stop" hidden="1">{#N/A,#N/A,FALSE,"Graphs_Retail";#N/A,#N/A,FALSE,"Physicals_Graphs"}</definedName>
    <definedName name="Strategy" hidden="1">{#N/A,#N/A,FALSE,"Profit Status";#N/A,#N/A,FALSE,"Invest";#N/A,#N/A,FALSE,"Revenue";#N/A,#N/A,FALSE,"Variable Cost";#N/A,#N/A,FALSE,"Options &amp; Series"}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RUCTUR">#REF!</definedName>
    <definedName name="stu" hidden="1">{"Presentation",#N/A,FALSE,"Feb96 - ALL"}</definedName>
    <definedName name="stuff" hidden="1">{#N/A,#N/A,FALSE,"Profit Status";#N/A,#N/A,FALSE,"Invest";#N/A,#N/A,FALSE,"Revenue";#N/A,#N/A,FALSE,"Variable Cost";#N/A,#N/A,FALSE,"Options &amp; Series"}</definedName>
    <definedName name="stuff2" hidden="1">{#N/A,#N/A,FALSE,"Assumptions";#N/A,#N/A,FALSE,"Volumes";#N/A,#N/A,FALSE,"Pricing";#N/A,#N/A,FALSE,"Variable Cost";#N/A,#N/A,FALSE,"Investment";#N/A,#N/A,FALSE,"Profitability";#N/A,#N/A,FALSE,"Business Comparison"}</definedName>
    <definedName name="stupid" hidden="1">{"Summary View",#N/A,TRUE,"Summary";"Exception Analysis",#N/A,TRUE,"Summary"}</definedName>
    <definedName name="STUS" hidden="1">{#N/A,#N/A,FALSE,"Cover";#N/A,#N/A,FALSE,"Profits";#N/A,#N/A,FALSE,"ABS";#N/A,#N/A,FALSE,"TFLE Detail";#N/A,#N/A,FALSE,"TFLE Walk";#N/A,#N/A,FALSE,"Variable Cost";#N/A,#N/A,FALSE,"V.C. Walk"}</definedName>
    <definedName name="subgroup" hidden="1">#REF!</definedName>
    <definedName name="suc">#REF!</definedName>
    <definedName name="sucx">#REF!</definedName>
    <definedName name="su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mary" hidden="1">{"'Highlights'!$A$1:$M$123"}</definedName>
    <definedName name="summary1" hidden="1">{"'Highlights'!$A$1:$M$123"}</definedName>
    <definedName name="Summary2" hidden="1">{"A_Summary",#N/A,FALSE,"Arg_Summ";"B_Summary",#N/A,FALSE,"Brz_Summ"}</definedName>
    <definedName name="summary3" hidden="1">{"'Highlights'!$A$1:$M$123"}</definedName>
    <definedName name="summary4" hidden="1">{"'Highlights'!$A$1:$M$123"}</definedName>
    <definedName name="summary5" hidden="1">{"'Highlights'!$A$1:$M$123"}</definedName>
    <definedName name="summary6" hidden="1">{"'Highlights'!$A$1:$M$123"}</definedName>
    <definedName name="summarylm" hidden="1">{"avrev",#N/A,FALSE,"AVREV";"rates",#N/A,FALSE,"AVREV"}</definedName>
    <definedName name="sumry" hidden="1">{#N/A,#N/A,FALSE,"TRANSNEW"}</definedName>
    <definedName name="Supavut_2" localSheetId="5">[0]!go_PRJ</definedName>
    <definedName name="Supavut_2" localSheetId="8">[0]!go_PRJ</definedName>
    <definedName name="Supavut_2" localSheetId="6">[0]!go_PRJ</definedName>
    <definedName name="Supavut_2" localSheetId="13">[0]!go_PRJ</definedName>
    <definedName name="Supavut_2" localSheetId="14">[0]!go_PRJ</definedName>
    <definedName name="Supavut_2" localSheetId="12">[0]!go_PRJ</definedName>
    <definedName name="Supavut_2" localSheetId="4">[0]!go_PRJ</definedName>
    <definedName name="Supavut_2" localSheetId="10">[0]!go_PRJ</definedName>
    <definedName name="Supavut_2" localSheetId="9">[0]!go_PRJ</definedName>
    <definedName name="Supavut_2">[0]!go_PRJ</definedName>
    <definedName name="SUPLIST">#REF!</definedName>
    <definedName name="SUPPLIER">#REF!</definedName>
    <definedName name="Supplier_Code">#REF!</definedName>
    <definedName name="Supplier_List">#REF!</definedName>
    <definedName name="SUPPS">#REF!</definedName>
    <definedName name="Surcôte">#REF!</definedName>
    <definedName name="SVA" hidden="1">{#N/A,#N/A,FALSE,"Title-W";#N/A,#N/A,FALSE,"Insert";#N/A,#N/A,FALSE,"Rpt-98-W PG_1";#N/A,#N/A,FALSE,"Rpt-98-W PG_2f";#N/A,#N/A,FALSE,"Rpt-98-W  PG_2";#N/A,#N/A,FALSE,"Insert";#N/A,#N/A,FALSE,"Rpt-98-W PG_3"}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QEF" hidden="1">{#N/A,#N/A,FALSE,"GRAFIK";#N/A,#N/A,FALSE,"TOP30MEM"}</definedName>
    <definedName name="SW">#REF!</definedName>
    <definedName name="ＳＷＡＴ" hidden="1">{#N/A,"VA",FALSE,"output";#N/A,"VB",FALSE,"output";#N/A,"VS",FALSE,"output";#N/A,"VC",FALSE,"output";#N/A,"VG",FALSE,"output";#N/A,"J1",FALSE,"output";#N/A,"J2",FALSE,"output";#N/A,"PT",FALSE,"output"}</definedName>
    <definedName name="SWAT2" hidden="1">{#N/A,"VA",FALSE,"output";#N/A,"VB",FALSE,"output";#N/A,"VS",FALSE,"output";#N/A,"VC",FALSE,"output";#N/A,"VG",FALSE,"output";#N/A,"J1",FALSE,"output";#N/A,"J2",FALSE,"output";#N/A,"PT",FALSE,"output"}</definedName>
    <definedName name="Sweden">#REF!</definedName>
    <definedName name="Switch_to_MENU">#N/A</definedName>
    <definedName name="SWITZ">#REF!</definedName>
    <definedName name="Switzerland">#REF!</definedName>
    <definedName name="Swvu.devshifts." hidden="1">#N/A</definedName>
    <definedName name="Swvu.durashifts." hidden="1">#N/A</definedName>
    <definedName name="Swvu.expense." hidden="1">#N/A</definedName>
    <definedName name="Swvu.progexpense." hidden="1">#N/A</definedName>
    <definedName name="Swvu.prototypes." hidden="1">#N/A</definedName>
    <definedName name="Swvu.staffing." hidden="1">#N/A</definedName>
    <definedName name="Swvu.totalshifts." hidden="1">#N/A</definedName>
    <definedName name="t" hidden="1">{#N/A,#N/A,FALSE,"Profit Status";#N/A,#N/A,FALSE,"Invest";#N/A,#N/A,FALSE,"Revenue";#N/A,#N/A,FALSE,"Variable Cost";#N/A,#N/A,FALSE,"Options &amp; Series"}</definedName>
    <definedName name="T_BSS_ITEM_LIST">#REF!</definedName>
    <definedName name="T_PARTS_LIST">#REF!</definedName>
    <definedName name="TABadj">#REF!</definedName>
    <definedName name="TABbs">#REF!</definedName>
    <definedName name="tabel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la_Precios">#REF!</definedName>
    <definedName name="table">#REF!</definedName>
    <definedName name="Table1">#REF!</definedName>
    <definedName name="Table2">#REF!</definedName>
    <definedName name="TABpl">#REF!</definedName>
    <definedName name="taken" hidden="1">{"rates",#N/A,FALSE,"tavg4a";"rev",#N/A,FALSE,"tavg4a"}</definedName>
    <definedName name="target">#N/A</definedName>
    <definedName name="targets">#N/A</definedName>
    <definedName name="Task_Table">#REF!</definedName>
    <definedName name="TaskTable">#REF!</definedName>
    <definedName name="tauxn">#REF!</definedName>
    <definedName name="tav" hidden="1">{"rates",#N/A,FALSE,"tavg4a";"rev",#N/A,FALSE,"tavg4a"}</definedName>
    <definedName name="Tax">#REF!</definedName>
    <definedName name="TaxRate">#REF!</definedName>
    <definedName name="taxregime">#REF!</definedName>
    <definedName name="TaxTV">10%</definedName>
    <definedName name="TaxXL">5%</definedName>
    <definedName name="TB09.09">#REF!</definedName>
    <definedName name="tbl_ProdInfo" hidden="1">#REF!</definedName>
    <definedName name="Tbv_Monatsabfrage_C211_Sitzanlage_JSI_VPM2004_">#REF!</definedName>
    <definedName name="tc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_NO.">#REF!</definedName>
    <definedName name="TCD0">#REF!</definedName>
    <definedName name="TCDataAsOfDate">#REF!</definedName>
    <definedName name="TCNot">#REF!</definedName>
    <definedName name="tc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">#REF!</definedName>
    <definedName name="te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lma" hidden="1">#REF!</definedName>
    <definedName name="temp" hidden="1">{"'和文'!$Q$45:$AP$71"}</definedName>
    <definedName name="temp_SharedTech" hidden="1">{"'??'!$Q$45:$AP$71"}</definedName>
    <definedName name="temp_ST" hidden="1">{"'??'!$Q$45:$AP$71"}</definedName>
    <definedName name="temp1" hidden="1">{"salaried",#N/A,FALSE,"VLD View (2)"}</definedName>
    <definedName name="temp2" hidden="1">{#N/A,#N/A,FALSE,"Assumptions";#N/A,#N/A,FALSE,"Volumes";#N/A,#N/A,FALSE,"Pricing";#N/A,#N/A,FALSE,"Variable Cost";#N/A,#N/A,FALSE,"Investment";#N/A,#N/A,FALSE,"Profitability";#N/A,#N/A,FALSE,"Business Comparison"}</definedName>
    <definedName name="temp3" hidden="1">{#N/A,#N/A,FALSE,"Cover";#N/A,#N/A,FALSE,"Profits";#N/A,#N/A,FALSE,"ABS";#N/A,#N/A,FALSE,"TFLE Detail";#N/A,#N/A,FALSE,"TFLE Walk";#N/A,#N/A,FALSE,"Variable Cost";#N/A,#N/A,FALSE,"V.C. Walk"}</definedName>
    <definedName name="temp4" hidden="1">{#N/A,#N/A,FALSE,"Cover";#N/A,#N/A,FALSE,"Profits";#N/A,#N/A,FALSE,"ABS";#N/A,#N/A,FALSE,"TFLE Detail";#N/A,#N/A,FALSE,"TFLE Walk";#N/A,#N/A,FALSE,"Variable Cost";#N/A,#N/A,FALSE,"V.C. Walk"}</definedName>
    <definedName name="temp5" hidden="1">{#N/A,#N/A,FALSE,"Profit Status";#N/A,#N/A,FALSE,"Invest";#N/A,#N/A,FALSE,"Revenue";#N/A,#N/A,FALSE,"Variable Cost";#N/A,#N/A,FALSE,"Options &amp; Series"}</definedName>
    <definedName name="temp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mporary" hidden="1">{"Presentation",#N/A,FALSE,"Feb96 - ALL"}</definedName>
    <definedName name="TEMPP" hidden="1">{#N/A,#N/A,FALSE,"TR_OUT1"}</definedName>
    <definedName name="temppp" hidden="1">{"salaried",#N/A,FALSE,"VLD View (2)"}</definedName>
    <definedName name="ten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o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Q" hidden="1">{#N/A,#N/A,FALSE,"expense";#N/A,#N/A,FALSE,"heads"}</definedName>
    <definedName name="ter" hidden="1">{#N/A,#N/A,FALSE,"2001 CBG";#N/A,#N/A,FALSE,"2002 CBG";#N/A,#N/A,FALSE,"2003 CBG";#N/A,#N/A,FALSE,"2004 CBG";#N/A,#N/A,FALSE,"2005 CBG";#N/A,#N/A,FALSE,"2006 CBG ";#N/A,#N/A,FALSE,"2007 CBG";#N/A,#N/A,FALSE,"2008 CBG"}</definedName>
    <definedName name="Terminal">#REF!</definedName>
    <definedName name="tes" hidden="1">{#N/A,#N/A,FALSE,"Assumptions";#N/A,#N/A,FALSE,"Volumes";#N/A,#N/A,FALSE,"Pricing";#N/A,#N/A,FALSE,"Variable Cost";#N/A,#N/A,FALSE,"Investment";#N/A,#N/A,FALSE,"Profitability";#N/A,#N/A,FALSE,"Business Comparison"}</definedName>
    <definedName name="tesr" hidden="1">{#N/A,#N/A,FALSE,"GRAFIK";#N/A,#N/A,FALSE,"TOP30MEM"}</definedName>
    <definedName name="test" hidden="1">{"pep204a",#N/A,FALSE,"tpepsum4a";"pep205a",#N/A,FALSE,"tpepsum4a";"wpep204a",#N/A,FALSE,"tpepsum4a";"wpep205a",#N/A,FALSE,"tpepsum4a"}</definedName>
    <definedName name="TEST0">#REF!</definedName>
    <definedName name="test1" hidden="1">{#N/A,#N/A,FALSE,"Cover";#N/A,#N/A,FALSE,"Profits";#N/A,#N/A,FALSE,"ABS";#N/A,#N/A,FALSE,"TFLE Detail";#N/A,#N/A,FALSE,"TFLE Walk";#N/A,#N/A,FALSE,"Variable Cost";#N/A,#N/A,FALSE,"V.C. Walk"}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4" hidden="1">{#N/A,#N/A,FALSE,"Profit Status";#N/A,#N/A,FALSE,"Invest";#N/A,#N/A,FALSE,"Revenue";#N/A,#N/A,FALSE,"Variable Cost";#N/A,#N/A,FALSE,"Options &amp; Series"}</definedName>
    <definedName name="test4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5" hidden="1">{"COMPARISON",#N/A,FALSE,"Sheet1"}</definedName>
    <definedName name="teste" hidden="1">{#N/A,#N/A,FALSE,"Profit Status";#N/A,#N/A,FALSE,"Invest";#N/A,#N/A,FALSE,"Revenue";#N/A,#N/A,FALSE,"Variable Cost";#N/A,#N/A,FALSE,"Options &amp; Series"}</definedName>
    <definedName name="teste1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8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9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2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3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4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HKEY">#REF!</definedName>
    <definedName name="TESTKEYS">#REF!</definedName>
    <definedName name="Testng123" hidden="1">{#N/A,#N/A,TRUE,"Engine";#N/A,#N/A,TRUE,"Trans 5R55N";#N/A,#N/A,TRUE,"Manual Trans";#N/A,#N/A,TRUE,"DS and Axle";#N/A,#N/A,TRUE,"PTSSE";#N/A,#N/A,TRUE,"Summary"}</definedName>
    <definedName name="TestRunNumber" hidden="1">3</definedName>
    <definedName name="TESTT" hidden="1">{"salaried",#N/A,FALSE,"VLD View (2)"}</definedName>
    <definedName name="testttt" hidden="1">{"salaried",#N/A,FALSE,"VLD View (2)"}</definedName>
    <definedName name="TESTVKEY">#REF!</definedName>
    <definedName name="TE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xtname">"Text 26"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RangeCount" hidden="1">6</definedName>
    <definedName name="tf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TFB1_3M">#REF!</definedName>
    <definedName name="TFB1M">SUM(#REF!)</definedName>
    <definedName name="TFB1Y">SUM(#REF!)</definedName>
    <definedName name="TFB2M">SUM(#REF!)</definedName>
    <definedName name="TFB3M">SUM(#REF!)</definedName>
    <definedName name="TFB6M">SUM(#REF!)</definedName>
    <definedName name="TFBST">SUM(#REF!)</definedName>
    <definedName name="tg" hidden="1">{"'Highlights'!$A$1:$M$123"}</definedName>
    <definedName name="THAI_TOHKEN_THERMO_CO._LTD.">#REF!</definedName>
    <definedName name="ThangXuLy">#REF!</definedName>
    <definedName name="that" hidden="1">{#N/A,#N/A,FALSE,"Cover";#N/A,#N/A,FALSE,"Profits";#N/A,#N/A,FALSE,"ABS";#N/A,#N/A,FALSE,"TFLE Detail";#N/A,#N/A,FALSE,"TFLE Walk";#N/A,#N/A,FALSE,"Variable Cost";#N/A,#N/A,FALSE,"V.C. Walk"}</definedName>
    <definedName name="thb">#REF!</definedName>
    <definedName name="theurpbt">#REF!</definedName>
    <definedName name="theurstat">#REF!</definedName>
    <definedName name="thi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napbt">#REF!</definedName>
    <definedName name="thnastat">#REF!</definedName>
    <definedName name="Tien">#REF!</definedName>
    <definedName name="TienX">#REF!</definedName>
    <definedName name="tiew">OFFSET(_Ref1,0,Wk,29,1)</definedName>
    <definedName name="tiew1">OFFSET(_Ref1,0,Wk,29,1)</definedName>
    <definedName name="TIEW1973">OFFSET(_Ref1,0,Wk,29,1)</definedName>
    <definedName name="tiew2">OFFSET(_Ref1,0,Wk,29,1)</definedName>
    <definedName name="tiew2516">OFFSET(RefN,0,Wk,10,1)</definedName>
    <definedName name="tiewadmin">OFFSET(RefDef,0,Wk,10,1)</definedName>
    <definedName name="tiewmat">OFFSET(_Ref1,0,Wk,29,1)</definedName>
    <definedName name="time" hidden="1">{#N/A,#N/A,FALSE,"Profit Status";#N/A,#N/A,FALSE,"Invest";#N/A,#N/A,FALSE,"Revenue";#N/A,#N/A,FALSE,"Variable Cost";#N/A,#N/A,FALSE,"Options &amp; Series"}</definedName>
    <definedName name="time_fsm" hidden="1">#REF!</definedName>
    <definedName name="Tires">OFFSET(#REF!,0,0,COUNTA(#REF!),1)</definedName>
    <definedName name="Titl">#REF!</definedName>
    <definedName name="Title">#REF!</definedName>
    <definedName name="Title1">#REF!</definedName>
    <definedName name="TJ" hidden="1">{"Revenue",#N/A,FALSE,"Series";"Ecprofit",#N/A,FALSE,"Series"}</definedName>
    <definedName name="TK_Co">#REF!</definedName>
    <definedName name="TK_No">#REF!</definedName>
    <definedName name="TM1REBUILDOPTION">1</definedName>
    <definedName name="Tmings" hidden="1">{"rev",#N/A,FALSE,"ppepsum";"vcost",#N/A,FALSE,"ppepsum";"ecprof",#N/A,FALSE,"ppepsum"}</definedName>
    <definedName name="TMT_N6_SUMMARY">#REF!</definedName>
    <definedName name="to" hidden="1">{"Presentation",#N/A,FALSE,"Feb96 - ALL"}</definedName>
    <definedName name="Tolerance_Range">#REF!</definedName>
    <definedName name="Tools" hidden="1">{"EXPORT",#N/A,FALSE,"A8CONTENT"}</definedName>
    <definedName name="toomuch" hidden="1">{"2001-02 Summary",#N/A,TRUE,"Summary";"2001-06 Summary",#N/A,TRUE,"Summary"}</definedName>
    <definedName name="TOP" hidden="1">{#N/A,#N/A,FALSE,"Sheet1"}</definedName>
    <definedName name="tosave" hidden="1">{#N/A,#N/A,FALSE,"TRANSNEW"}</definedName>
    <definedName name="TOT">#REF!</definedName>
    <definedName name="Total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otal_Interest">#REF!</definedName>
    <definedName name="Total_Pay">#REF!</definedName>
    <definedName name="Total_Payment" localSheetId="5">Scheduled_Payment+Extra_Payment</definedName>
    <definedName name="Total_Payment" localSheetId="8">Scheduled_Payment+Extra_Payment</definedName>
    <definedName name="Total_Payment" localSheetId="6">Scheduled_Payment+Extra_Payment</definedName>
    <definedName name="Total_Payment" localSheetId="13">Scheduled_Payment+Extra_Payment</definedName>
    <definedName name="Total_Payment" localSheetId="14">Scheduled_Payment+Extra_Payment</definedName>
    <definedName name="Total_Payment" localSheetId="12">Scheduled_Payment+Extra_Payment</definedName>
    <definedName name="Total_Payment" localSheetId="4">Scheduled_Payment+Extra_Payment</definedName>
    <definedName name="Total_Payment" localSheetId="10">Scheduled_Payment+Extra_Payment</definedName>
    <definedName name="Total_Payment" localSheetId="9">Scheduled_Payment+Extra_Payment</definedName>
    <definedName name="Total_Payment">Scheduled_Payment+Extra_Payment</definedName>
    <definedName name="TotalCA">#REF!</definedName>
    <definedName name="totalepi">#REF!</definedName>
    <definedName name="TotalIBA">#REF!</definedName>
    <definedName name="TOTALS">#REF!</definedName>
    <definedName name="tottbl">#REF!</definedName>
    <definedName name="toui" hidden="1">{#N/A,#N/A,FALSE,"Graphs_Retail_Historical_US";#N/A,#N/A,FALSE,"Graphs_RCL_Historical_US";#N/A,#N/A,FALSE,"Graphs_WHSL_Historical_US";#N/A,#N/A,FALSE,"Graphs_ComLend_Historical_US";#N/A,#N/A,FALSE,"Graphs_Intra_Historical_US"}</definedName>
    <definedName name="TP_Footer_Path">"S:\08474\06GCG\Budget 2007\Templates\"</definedName>
    <definedName name="TP_Footer_User">"Jonas Corona"</definedName>
    <definedName name="TP_Footer_Version">"v3.00"</definedName>
    <definedName name="tpds0409_RAW_DATA_0318_List">#REF!</definedName>
    <definedName name="tpepe" hidden="1">{0,#N/A,FALSE,0;0,#N/A,FALSE,0;0,#N/A,FALSE,0;0,#N/A,FALSE,0}</definedName>
    <definedName name="TPM" hidden="1">{#N/A,#N/A,FALSE,"Sheet1"}</definedName>
    <definedName name="TQ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要望Graf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r" hidden="1">{"showroom",#N/A,FALSE,"99 Model Low";"equipment",#N/A,FALSE,"99 Model Low"}</definedName>
    <definedName name="Trade_Debtors_Breakdown">#REF!</definedName>
    <definedName name="Trader">#REF!</definedName>
    <definedName name="TRANDATE">#REF!</definedName>
    <definedName name="TRANFILE">#REF!</definedName>
    <definedName name="trans" hidden="1">{#N/A,#N/A,FALSE,"Summary Page";#N/A,#N/A,FALSE,"Backup Factory Order Request";#N/A,#N/A,FALSE,"Mix Updated to Include V227";#N/A,#N/A,FALSE,"2000 Bus Plan Status"}</definedName>
    <definedName name="trans_loss">#REF!</definedName>
    <definedName name="Transmission" hidden="1">#REF!</definedName>
    <definedName name="TRANSREF">#REF!</definedName>
    <definedName name="TREND">#REF!</definedName>
    <definedName name="Trend_Rates">#REF!</definedName>
    <definedName name="tr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evor" hidden="1">{#N/A,#N/A,FALSE,"Assumptions";#N/A,#N/A,FALSE,"Volumes";#N/A,#N/A,FALSE,"Pricing";#N/A,#N/A,FALSE,"Variable Cost";#N/A,#N/A,FALSE,"Investment";#N/A,#N/A,FALSE,"Profitability";#N/A,#N/A,FALSE,"Business Comparison"}</definedName>
    <definedName name="trey" hidden="1">{#N/A,#N/A,FALSE,"UW152PPL"}</definedName>
    <definedName name="TRF">#REF!</definedName>
    <definedName name="Trial">#REF!</definedName>
    <definedName name="Trial_balance">#REF!</definedName>
    <definedName name="TRK">#REF!</definedName>
    <definedName name="troubelca" hidden="1">{"Presentation",#N/A,FALSE,"Feb96 - ALL"}</definedName>
    <definedName name="trouble2" hidden="1">{"Presentation",#N/A,FALSE,"Feb96 - ALL"}</definedName>
    <definedName name="trouble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4" hidden="1">{"Fiesta Facer Page",#N/A,FALSE,"Q_C_S";"Fiesta Main Page",#N/A,FALSE,"V_L";"Fiesta 95BP Struct",#N/A,FALSE,"StructBP";"Fiesta Post 95BP Struct",#N/A,FALSE,"AdjStructBP"}</definedName>
    <definedName name="trouble5" hidden="1">{"Presentation",#N/A,FALSE,"Feb96 - ALL"}</definedName>
    <definedName name="trouble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c" hidden="1">{"Fiesta Facer Page",#N/A,FALSE,"Q_C_S";"Fiesta Main Page",#N/A,FALSE,"V_L";"Fiesta 95BP Struct",#N/A,FALSE,"StructBP";"Fiesta Post 95BP Struct",#N/A,FALSE,"AdjStructBP"}</definedName>
    <definedName name="troublecd" hidden="1">{"Presentation",#N/A,FALSE,"Feb96 - ALL"}</definedName>
    <definedName name="troublecd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32" hidden="1">{"Presentation",#N/A,FALSE,"Feb96 - ALL"}</definedName>
    <definedName name="trouble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z" hidden="1">{"Fiesta Facer Page",#N/A,FALSE,"Q_C_S";"Fiesta Main Page",#N/A,FALSE,"V_L";"Fiesta 95BP Struct",#N/A,FALSE,"StructBP";"Fiesta Post 95BP Struct",#N/A,FALSE,"AdjStructBP"}</definedName>
    <definedName name="trqre" hidden="1">{0,0,0,0;0,0,0,0;0,0,0,0;0,0,0,0}</definedName>
    <definedName name="trt" hidden="1">{#N/A,#N/A,FALSE,"Title - E";#N/A,#N/A,FALSE,"Insert";#N/A,#N/A,FALSE,"Rpt-98-E PG_1";#N/A,#N/A,FALSE,"Rpt-98-E PG_2f";#N/A,#N/A,FALSE,"Rpt-98-E PG_2";#N/A,#N/A,FALSE,"Insert";#N/A,#N/A,FALSE,"Rpt-98-E PG_3 "}</definedName>
    <definedName name="TRTY" hidden="1">#REF!</definedName>
    <definedName name="Truck">#REF!</definedName>
    <definedName name="TRWH" hidden="1">{#N/A,#N/A,FALSE,"expense";#N/A,#N/A,FALSE,"heads"}</definedName>
    <definedName name="try" hidden="1">{#N/A,#N/A,FALSE,"Profit Status";#N/A,#N/A,FALSE,"Invest";#N/A,#N/A,FALSE,"Revenue";#N/A,#N/A,FALSE,"Variable Cost";#N/A,#N/A,FALSE,"Options &amp; Series"}</definedName>
    <definedName name="TS" hidden="1">{0,0,0,0;0,0,0,0;0,0,0,0;0,0,TRUE,0}</definedName>
    <definedName name="TSM">#REF!</definedName>
    <definedName name="TST" hidden="1">{"rates",#N/A,FALSE,"tavg4a";"rev",#N/A,FALSE,"tavg4a"}</definedName>
    <definedName name="tt" hidden="1">{#N/A,#N/A,FALSE,"Plant Tot. Record";#N/A,#N/A,FALSE,"BT Tot. Record";#N/A,#N/A,FALSE,"Plant Lost Days";#N/A,#N/A,FALSE,"Top 5 Record";#N/A,#N/A,FALSE,"BT Lost Days";#N/A,#N/A,FALSE,"BT Top 5 Lost Days"}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">#REF!</definedName>
    <definedName name="ttta">#N/A</definedName>
    <definedName name="tttt" hidden="1">{#N/A,#N/A,FALSE,"GRAFIK";#N/A,#N/A,FALSE,"TOP30MEM"}</definedName>
    <definedName name="TTTTT" hidden="1">#REF!</definedName>
    <definedName name="tttttt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tttttttt" hidden="1">{#N/A,#N/A,FALSE,"GRAFIK";#N/A,#N/A,FALSE,"TOP30MEM"}</definedName>
    <definedName name="tttttttttt" hidden="1">{#N/A,#N/A,FALSE,"GRAFIK";#N/A,#N/A,FALSE,"TOP30MEM"}</definedName>
    <definedName name="ttttttttttttttt" hidden="1">{"Leq97",#N/A,FALSE,"97 L Model";"Low97",#N/A,FALSE,"97 L Model"}</definedName>
    <definedName name="tuzutzu" hidden="1">{#N/A,#N/A,FALSE,"TOP10";#N/A,#N/A,FALSE,"Cover";#N/A,#N/A,FALSE,"MOGRAPH"}</definedName>
    <definedName name="TVM" hidden="1">{"Presentation",#N/A,FALSE,"Feb96 - ALL"}</definedName>
    <definedName name="tw" hidden="1">{#N/A,#N/A,FALSE,"TOP10";#N/A,#N/A,FALSE,"Cover";#N/A,#N/A,FALSE,"MOGRAPH"}</definedName>
    <definedName name="ty" hidden="1">#REF!</definedName>
    <definedName name="TYDD" hidden="1">{#N/A,#N/A,FALSE,"Assumptions";#N/A,#N/A,FALSE,"Volumes";#N/A,#N/A,FALSE,"Pricing";#N/A,#N/A,FALSE,"Variable Cost";#N/A,#N/A,FALSE,"Investment";#N/A,#N/A,FALSE,"Profitability";#N/A,#N/A,FALSE,"Business Comparison"}</definedName>
    <definedName name="tyjd" hidden="1">{0,0,#VALUE!,0}</definedName>
    <definedName name="Type">#REF!</definedName>
    <definedName name="TYRHRD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yt" hidden="1">{#N/A,#N/A,FALSE,"GRAFIK";#N/A,#N/A,FALSE,"TOP30MEM"}</definedName>
    <definedName name="ty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i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tyuu" hidden="1">{#N/A,#N/A,FALSE,"GRAFIK";#N/A,#N/A,FALSE,"TOP30MEM"}</definedName>
    <definedName name="tyyii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tz" hidden="1">{#N/A,#N/A,FALSE,"TOP10";#N/A,#N/A,FALSE,"Cover";#N/A,#N/A,FALSE,"MOGRAPH"}</definedName>
    <definedName name="TZE" hidden="1">{"Presentation",#N/A,FALSE,"Feb96 - ALL"}</definedName>
    <definedName name="tzui" hidden="1">{#N/A,#N/A,FALSE,"GRAFIK";#N/A,#N/A,FALSE,"TOP30MEM"}</definedName>
    <definedName name="u" hidden="1">{#N/A,#N/A,FALSE,"Cover";#N/A,#N/A,FALSE,"Profits";#N/A,#N/A,FALSE,"ABS";#N/A,#N/A,FALSE,"TFLE Detail";#N/A,#N/A,FALSE,"TFLE Walk";#N/A,#N/A,FALSE,"Variable Cost";#N/A,#N/A,FALSE,"V.C. Walk"}</definedName>
    <definedName name="uhygvb" hidden="1">{"avrev",#N/A,FALSE,"AVREV";"rates",#N/A,FALSE,"AVREV"}</definedName>
    <definedName name="ui" hidden="1">{#N/A,#N/A,FALSE,"TOP10";#N/A,#N/A,FALSE,"Cover";#N/A,#N/A,FALSE,"MOGRAPH"}</definedName>
    <definedName name="uihj" hidden="1">{"avrev",#N/A,FALSE,"AVREV";"rates",#N/A,FALSE,"AVREV"}</definedName>
    <definedName name="uiii" hidden="1">{#N/A,#N/A,FALSE,"TOP10";#N/A,#N/A,FALSE,"Cover";#N/A,#N/A,FALSE,"MOGRAPH"}</definedName>
    <definedName name="uio" hidden="1">#REF!</definedName>
    <definedName name="UIO49X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tuo" hidden="1">{"2001-02 Summary",#N/A,TRUE,"Summary";"2001-06 Summary",#N/A,TRUE,"Summary"}</definedName>
    <definedName name="UITY" hidden="1">{#N/A,#N/A,FALSE,"Cover";#N/A,#N/A,FALSE,"Profits";#N/A,#N/A,FALSE,"ABS";#N/A,#N/A,FALSE,"TFLE Detail";#N/A,#N/A,FALSE,"TFLE Walk";#N/A,#N/A,FALSE,"Variable Cost";#N/A,#N/A,FALSE,"V.C. Walk"}</definedName>
    <definedName name="uiu" hidden="1">{#N/A,#N/A,FALSE,"Chart";#N/A,#N/A,FALSE,"Overview";#N/A,#N/A,FALSE,"Overview_Acty";#N/A,#N/A,FALSE,"Inc97D";#N/A,#N/A,FALSE,"Rel_Inc97TD";#N/A,#N/A,FALSE,"Rel_Inc_97_NTD";#N/A,#N/A,FALSE,"Marketing";#N/A,#N/A,FALSE,"Pot_97"}</definedName>
    <definedName name="UIYKLK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uj" hidden="1">{"Presentation",#N/A,FALSE,"Feb96 - ALL"}</definedName>
    <definedName name="ujhgr" hidden="1">{#N/A,#N/A,FALSE,"Cover";#N/A,#N/A,FALSE,"Profits";#N/A,#N/A,FALSE,"ABS";#N/A,#N/A,FALSE,"TFLE Detail";#N/A,#N/A,FALSE,"TFLE Walk";#N/A,#N/A,FALSE,"Variable Cost";#N/A,#N/A,FALSE,"V.C. Walk"}</definedName>
    <definedName name="uji" localSheetId="5">[0]!All_Cancel</definedName>
    <definedName name="uji" localSheetId="8">[0]!All_Cancel</definedName>
    <definedName name="uji" localSheetId="6">[0]!All_Cancel</definedName>
    <definedName name="uji" localSheetId="13">[0]!All_Cancel</definedName>
    <definedName name="uji" localSheetId="14">[0]!All_Cancel</definedName>
    <definedName name="uji" localSheetId="12">[0]!All_Cancel</definedName>
    <definedName name="uji" localSheetId="4">[0]!All_Cancel</definedName>
    <definedName name="uji" localSheetId="10">[0]!All_Cancel</definedName>
    <definedName name="uji" localSheetId="9">[0]!All_Cancel</definedName>
    <definedName name="uji">[0]!All_Cancel</definedName>
    <definedName name="ukyukf" hidden="1">{"REVISED",#N/A,FALSE,"Sheet1"}</definedName>
    <definedName name="um" hidden="1">{"'Highlights'!$A$1:$M$123"}</definedName>
    <definedName name="Unit">#REF!</definedName>
    <definedName name="unité">#REF!</definedName>
    <definedName name="UnitHead">#REF!</definedName>
    <definedName name="unupindicator">OFFSET(#REF!,0,0,COUNTA(#REF!),1)</definedName>
    <definedName name="UOB1_3M">#REF!</definedName>
    <definedName name="uoipt" hidden="1">{#N/A,#N/A,FALSE,"TOP10";#N/A,#N/A,FALSE,"Cover";#N/A,#N/A,FALSE,"MOGRAPH"}</definedName>
    <definedName name="Update" hidden="1">{#N/A,#N/A,FALSE,"Cover";#N/A,#N/A,FALSE,"Profits";#N/A,#N/A,FALSE,"ABS";#N/A,#N/A,FALSE,"TFLE Detail";#N/A,#N/A,FALSE,"TFLE Walk";#N/A,#N/A,FALSE,"Variable Cost";#N/A,#N/A,FALSE,"V.C. Walk"}</definedName>
    <definedName name="US">25.29</definedName>
    <definedName name="USD">#REF!</definedName>
    <definedName name="userid_entry_Change">#N/A</definedName>
    <definedName name="utip" hidden="1">{#N/A,#N/A,FALSE,"TOP10";#N/A,#N/A,FALSE,"Cover";#N/A,#N/A,FALSE,"MOGRAPH"}</definedName>
    <definedName name="UUUU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uuuuuu" hidden="1">{"avrev",#N/A,FALSE,"AVREV";"rates",#N/A,FALSE,"AVREV"}</definedName>
    <definedName name="uuuyyy" hidden="1">{#N/A,#N/A,TRUE,"Frame&amp;Body-All";#N/A,#N/A,TRUE,"Powrplant Mnts-5.4l_4.6l";#N/A,#N/A,TRUE,"Powerplant-5.4l_4.6l";#N/A,#N/A,TRUE,"Exhaust-5.4l_4.6l";#N/A,#N/A,TRUE,"Induction-5.4l"}</definedName>
    <definedName name="ux">#REF!</definedName>
    <definedName name="uy" hidden="1">{0,0,0,0;0,0,0,0;0,0.015,0,0;0,0,0,0;0,0,0,0;0,0,0,0;0,0,0,0}</definedName>
    <definedName name="UYKY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yt" hidden="1">{"avrev",#N/A,FALSE,"AVREV";"rates",#N/A,FALSE,"AVREV"}</definedName>
    <definedName name="uytkk" hidden="1">{"Revenue",#N/A,FALSE,"Series";"Ecprofit",#N/A,FALSE,"Series"}</definedName>
    <definedName name="uyuk" hidden="1">{"REVISED",#N/A,FALSE,"Sheet1"}</definedName>
    <definedName name="v" hidden="1">{#N/A,#N/A,FALSE,"Profit Status";#N/A,#N/A,FALSE,"Invest";#N/A,#N/A,FALSE,"Revenue";#N/A,#N/A,FALSE,"Variable Cost";#N/A,#N/A,FALSE,"Options &amp; Series"}</definedName>
    <definedName name="V200_CDI_V_Class">#REF!</definedName>
    <definedName name="va">#REF!</definedName>
    <definedName name="va_shipmentunits_pp">#REF!</definedName>
    <definedName name="vaa">#REF!</definedName>
    <definedName name="vad" hidden="1">{#VALUE!,#N/A,FALSE,0;#N/A,#N/A,FALSE,0;#N/A,#N/A,FALSE,0;#N/A,#N/A,FALSE,0;#N/A,#N/A,FALSE,0;#N/A,#N/A,FALSE,0;#N/A,#N/A,FALSE,0;#N/A,#N/A,FALSE,0}</definedName>
    <definedName name="Valid_Show">#REF!</definedName>
    <definedName name="Valid_Tags">#REF!</definedName>
    <definedName name="VALID01234">#REF!,#REF!</definedName>
    <definedName name="VALID1234">#REF!,#REF!</definedName>
    <definedName name="Values_Entered">IF(Loan_Amount*Interest_Rate*Loan_Years*Loan_Start&gt;0,1,0)</definedName>
    <definedName name="valuevx">42.314159</definedName>
    <definedName name="vapoapbt">#REF!</definedName>
    <definedName name="vapoastat">#REF!</definedName>
    <definedName name="VAR_CAT" localSheetId="5">VARIANCE _CAT</definedName>
    <definedName name="VAR_CAT" localSheetId="8">VARIANCE _CAT</definedName>
    <definedName name="VAR_CAT" localSheetId="6">VARIANCE _CAT</definedName>
    <definedName name="VAR_CAT" localSheetId="13">VARIANCE _CAT</definedName>
    <definedName name="VAR_CAT" localSheetId="14">VARIANCE _CAT</definedName>
    <definedName name="VAR_CAT" localSheetId="12">VARIANCE _CAT</definedName>
    <definedName name="VAR_CAT" localSheetId="4">VARIANCE _CAT</definedName>
    <definedName name="VAR_CAT" localSheetId="10">VARIANCE _CAT</definedName>
    <definedName name="VAR_CAT" localSheetId="9">VARIANCE _CAT</definedName>
    <definedName name="VAR_CAT">VARIANCE _CAT</definedName>
    <definedName name="VAR_CAT_05" localSheetId="5">VARIANCE_05 CAT_05</definedName>
    <definedName name="VAR_CAT_05" localSheetId="8">VARIANCE_05 CAT_05</definedName>
    <definedName name="VAR_CAT_05" localSheetId="6">VARIANCE_05 CAT_05</definedName>
    <definedName name="VAR_CAT_05" localSheetId="13">VARIANCE_05 CAT_05</definedName>
    <definedName name="VAR_CAT_05" localSheetId="14">VARIANCE_05 CAT_05</definedName>
    <definedName name="VAR_CAT_05" localSheetId="12">VARIANCE_05 CAT_05</definedName>
    <definedName name="VAR_CAT_05" localSheetId="4">VARIANCE_05 CAT_05</definedName>
    <definedName name="VAR_CAT_05" localSheetId="10">VARIANCE_05 CAT_05</definedName>
    <definedName name="VAR_CAT_05" localSheetId="9">VARIANCE_05 CAT_05</definedName>
    <definedName name="VAR_CAT_05">VARIANCE_05 CAT_05</definedName>
    <definedName name="VAR_CAT_06" localSheetId="5">VARIANCE_06 CAT_06</definedName>
    <definedName name="VAR_CAT_06" localSheetId="8">VARIANCE_06 CAT_06</definedName>
    <definedName name="VAR_CAT_06" localSheetId="6">VARIANCE_06 CAT_06</definedName>
    <definedName name="VAR_CAT_06" localSheetId="13">VARIANCE_06 CAT_06</definedName>
    <definedName name="VAR_CAT_06" localSheetId="14">VARIANCE_06 CAT_06</definedName>
    <definedName name="VAR_CAT_06" localSheetId="12">VARIANCE_06 CAT_06</definedName>
    <definedName name="VAR_CAT_06" localSheetId="4">VARIANCE_06 CAT_06</definedName>
    <definedName name="VAR_CAT_06" localSheetId="10">VARIANCE_06 CAT_06</definedName>
    <definedName name="VAR_CAT_06" localSheetId="9">VARIANCE_06 CAT_06</definedName>
    <definedName name="VAR_CAT_06">VARIANCE_06 CAT_06</definedName>
    <definedName name="VAR_Q1_05" localSheetId="5">VARIANCE_05 _Q1_05</definedName>
    <definedName name="VAR_Q1_05" localSheetId="8">VARIANCE_05 _Q1_05</definedName>
    <definedName name="VAR_Q1_05" localSheetId="6">VARIANCE_05 _Q1_05</definedName>
    <definedName name="VAR_Q1_05" localSheetId="13">VARIANCE_05 _Q1_05</definedName>
    <definedName name="VAR_Q1_05" localSheetId="14">VARIANCE_05 _Q1_05</definedName>
    <definedName name="VAR_Q1_05" localSheetId="12">VARIANCE_05 _Q1_05</definedName>
    <definedName name="VAR_Q1_05" localSheetId="4">VARIANCE_05 _Q1_05</definedName>
    <definedName name="VAR_Q1_05" localSheetId="10">VARIANCE_05 _Q1_05</definedName>
    <definedName name="VAR_Q1_05" localSheetId="9">VARIANCE_05 _Q1_05</definedName>
    <definedName name="VAR_Q1_05">VARIANCE_05 _Q1_05</definedName>
    <definedName name="VAR_Q1_06" localSheetId="5">VARIANCE_06 _Q1_06</definedName>
    <definedName name="VAR_Q1_06" localSheetId="8">VARIANCE_06 _Q1_06</definedName>
    <definedName name="VAR_Q1_06" localSheetId="6">VARIANCE_06 _Q1_06</definedName>
    <definedName name="VAR_Q1_06" localSheetId="13">VARIANCE_06 _Q1_06</definedName>
    <definedName name="VAR_Q1_06" localSheetId="14">VARIANCE_06 _Q1_06</definedName>
    <definedName name="VAR_Q1_06" localSheetId="12">VARIANCE_06 _Q1_06</definedName>
    <definedName name="VAR_Q1_06" localSheetId="4">VARIANCE_06 _Q1_06</definedName>
    <definedName name="VAR_Q1_06" localSheetId="10">VARIANCE_06 _Q1_06</definedName>
    <definedName name="VAR_Q1_06" localSheetId="9">VARIANCE_06 _Q1_06</definedName>
    <definedName name="VAR_Q1_06">VARIANCE_06 _Q1_06</definedName>
    <definedName name="VAR_Q2_05" localSheetId="5">VARIANCE_05 _Q2_05</definedName>
    <definedName name="VAR_Q2_05" localSheetId="8">VARIANCE_05 _Q2_05</definedName>
    <definedName name="VAR_Q2_05" localSheetId="6">VARIANCE_05 _Q2_05</definedName>
    <definedName name="VAR_Q2_05" localSheetId="13">VARIANCE_05 _Q2_05</definedName>
    <definedName name="VAR_Q2_05" localSheetId="14">VARIANCE_05 _Q2_05</definedName>
    <definedName name="VAR_Q2_05" localSheetId="12">VARIANCE_05 _Q2_05</definedName>
    <definedName name="VAR_Q2_05" localSheetId="4">VARIANCE_05 _Q2_05</definedName>
    <definedName name="VAR_Q2_05" localSheetId="10">VARIANCE_05 _Q2_05</definedName>
    <definedName name="VAR_Q2_05" localSheetId="9">VARIANCE_05 _Q2_05</definedName>
    <definedName name="VAR_Q2_05">VARIANCE_05 _Q2_05</definedName>
    <definedName name="VAR_Q2_06" localSheetId="5">VARIANCE_06 _Q2_06</definedName>
    <definedName name="VAR_Q2_06" localSheetId="8">VARIANCE_06 _Q2_06</definedName>
    <definedName name="VAR_Q2_06" localSheetId="6">VARIANCE_06 _Q2_06</definedName>
    <definedName name="VAR_Q2_06" localSheetId="13">VARIANCE_06 _Q2_06</definedName>
    <definedName name="VAR_Q2_06" localSheetId="14">VARIANCE_06 _Q2_06</definedName>
    <definedName name="VAR_Q2_06" localSheetId="12">VARIANCE_06 _Q2_06</definedName>
    <definedName name="VAR_Q2_06" localSheetId="4">VARIANCE_06 _Q2_06</definedName>
    <definedName name="VAR_Q2_06" localSheetId="10">VARIANCE_06 _Q2_06</definedName>
    <definedName name="VAR_Q2_06" localSheetId="9">VARIANCE_06 _Q2_06</definedName>
    <definedName name="VAR_Q2_06">VARIANCE_06 _Q2_06</definedName>
    <definedName name="VAR_Q3_05" localSheetId="5">VARIANCE_05 _Q3_05</definedName>
    <definedName name="VAR_Q3_05" localSheetId="8">VARIANCE_05 _Q3_05</definedName>
    <definedName name="VAR_Q3_05" localSheetId="6">VARIANCE_05 _Q3_05</definedName>
    <definedName name="VAR_Q3_05" localSheetId="13">VARIANCE_05 _Q3_05</definedName>
    <definedName name="VAR_Q3_05" localSheetId="14">VARIANCE_05 _Q3_05</definedName>
    <definedName name="VAR_Q3_05" localSheetId="12">VARIANCE_05 _Q3_05</definedName>
    <definedName name="VAR_Q3_05" localSheetId="4">VARIANCE_05 _Q3_05</definedName>
    <definedName name="VAR_Q3_05" localSheetId="10">VARIANCE_05 _Q3_05</definedName>
    <definedName name="VAR_Q3_05" localSheetId="9">VARIANCE_05 _Q3_05</definedName>
    <definedName name="VAR_Q3_05">VARIANCE_05 _Q3_05</definedName>
    <definedName name="VAR_Q3_06" localSheetId="5">VARIANCE_06 _Q3_06</definedName>
    <definedName name="VAR_Q3_06" localSheetId="8">VARIANCE_06 _Q3_06</definedName>
    <definedName name="VAR_Q3_06" localSheetId="6">VARIANCE_06 _Q3_06</definedName>
    <definedName name="VAR_Q3_06" localSheetId="13">VARIANCE_06 _Q3_06</definedName>
    <definedName name="VAR_Q3_06" localSheetId="14">VARIANCE_06 _Q3_06</definedName>
    <definedName name="VAR_Q3_06" localSheetId="12">VARIANCE_06 _Q3_06</definedName>
    <definedName name="VAR_Q3_06" localSheetId="4">VARIANCE_06 _Q3_06</definedName>
    <definedName name="VAR_Q3_06" localSheetId="10">VARIANCE_06 _Q3_06</definedName>
    <definedName name="VAR_Q3_06" localSheetId="9">VARIANCE_06 _Q3_06</definedName>
    <definedName name="VAR_Q3_06">VARIANCE_06 _Q3_06</definedName>
    <definedName name="VAR_Q4_05" localSheetId="5">VARIANCE_05 _Q4_05</definedName>
    <definedName name="VAR_Q4_05" localSheetId="8">VARIANCE_05 _Q4_05</definedName>
    <definedName name="VAR_Q4_05" localSheetId="6">VARIANCE_05 _Q4_05</definedName>
    <definedName name="VAR_Q4_05" localSheetId="13">VARIANCE_05 _Q4_05</definedName>
    <definedName name="VAR_Q4_05" localSheetId="14">VARIANCE_05 _Q4_05</definedName>
    <definedName name="VAR_Q4_05" localSheetId="12">VARIANCE_05 _Q4_05</definedName>
    <definedName name="VAR_Q4_05" localSheetId="4">VARIANCE_05 _Q4_05</definedName>
    <definedName name="VAR_Q4_05" localSheetId="10">VARIANCE_05 _Q4_05</definedName>
    <definedName name="VAR_Q4_05" localSheetId="9">VARIANCE_05 _Q4_05</definedName>
    <definedName name="VAR_Q4_05">VARIANCE_05 _Q4_05</definedName>
    <definedName name="VAR_Q4_06" localSheetId="5">VARIANCE_06 _Q4_06</definedName>
    <definedName name="VAR_Q4_06" localSheetId="8">VARIANCE_06 _Q4_06</definedName>
    <definedName name="VAR_Q4_06" localSheetId="6">VARIANCE_06 _Q4_06</definedName>
    <definedName name="VAR_Q4_06" localSheetId="13">VARIANCE_06 _Q4_06</definedName>
    <definedName name="VAR_Q4_06" localSheetId="14">VARIANCE_06 _Q4_06</definedName>
    <definedName name="VAR_Q4_06" localSheetId="12">VARIANCE_06 _Q4_06</definedName>
    <definedName name="VAR_Q4_06" localSheetId="4">VARIANCE_06 _Q4_06</definedName>
    <definedName name="VAR_Q4_06" localSheetId="10">VARIANCE_06 _Q4_06</definedName>
    <definedName name="VAR_Q4_06" localSheetId="9">VARIANCE_06 _Q4_06</definedName>
    <definedName name="VAR_Q4_06">VARIANCE_06 _Q4_06</definedName>
    <definedName name="varraicne" hidden="1">{"2001-02 Summary",#N/A,TRUE,"Summary";"2001-06 Summary",#N/A,TRUE,"Summary"}</definedName>
    <definedName name="vas">#REF!</definedName>
    <definedName name="VBJ" hidden="1">{#N/A,#N/A,FALSE,"TOP10";#N/A,#N/A,FALSE,"Cover";#N/A,#N/A,FALSE,"MOGRAPH"}</definedName>
    <definedName name="vc">"$A$72"</definedName>
    <definedName name="vcc" hidden="1">{#N/A,#N/A,FALSE,"Cover";#N/A,#N/A,FALSE,"Profits";#N/A,#N/A,FALSE,"ABS";#N/A,#N/A,FALSE,"TFLE Detail";#N/A,#N/A,FALSE,"TFLE Walk";#N/A,#N/A,FALSE,"Variable Cost";#N/A,#N/A,FALSE,"V.C. Walk"}</definedName>
    <definedName name="vcv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cvc" hidden="1">{#N/A,#N/A,FALSE,"Profit Status";#N/A,#N/A,FALSE,"Invest";#N/A,#N/A,FALSE,"Revenue";#N/A,#N/A,FALSE,"Variable Cost";#N/A,#N/A,FALSE,"Options &amp; Series"}</definedName>
    <definedName name="vdyce" hidden="1">{#N/A,#N/A,FALSE,"TOP10";#N/A,#N/A,FALSE,"Cover";#N/A,#N/A,FALSE,"MOGRAPH"}</definedName>
    <definedName name="vee" hidden="1">{#N/A,#N/A,FALSE,"Summary Page";#N/A,#N/A,FALSE,"Backup Factory Order Request";#N/A,#N/A,FALSE,"Mix Updated to Include V227";#N/A,#N/A,FALSE,"2000 Bus Plan Status"}</definedName>
    <definedName name="veh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hicle">#REF!</definedName>
    <definedName name="VEHICLE_YEAR">#REF!</definedName>
    <definedName name="VELHO" hidden="1">{#N/A,#N/A,FALSE,"Assumptions";#N/A,#N/A,FALSE,"Volumes";#N/A,#N/A,FALSE,"Pricing";#N/A,#N/A,FALSE,"Variable Cost";#N/A,#N/A,FALSE,"Investment";#N/A,#N/A,FALSE,"Profitability";#N/A,#N/A,FALSE,"Business Comparison"}</definedName>
    <definedName name="Vendor_Summary">#REF!</definedName>
    <definedName name="VEP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rsion">#REF!</definedName>
    <definedName name="vertex42_copyright" hidden="1">"© 2017 Vertex42 LLC"</definedName>
    <definedName name="vertex42_id" hidden="1">"construction-schedule.xlsx"</definedName>
    <definedName name="vertex42_title" hidden="1">"Construction Schedule Template"</definedName>
    <definedName name="veurpbt">#REF!</definedName>
    <definedName name="veurstat">#REF!</definedName>
    <definedName name="vjkz">#REF!</definedName>
    <definedName name="VKL" hidden="1">{#N/A,#N/A,FALSE,"Sheet1"}</definedName>
    <definedName name="vnapbt">#REF!</definedName>
    <definedName name="vnastat">#REF!</definedName>
    <definedName name="vnn" hidden="1">{"Revenue",#N/A,FALSE,"Series";"Ecprofit",#N/A,FALSE,"Series"}</definedName>
    <definedName name="vol">#REF!</definedName>
    <definedName name="volume1" hidden="1">{"Avg_Arg_NoAc",#N/A,FALSE,"Wk_Arg_NoAc";"Avg_Arg_Act",#N/A,FALSE,"Wk_Arg_Act";"Avg_Brz_NoAct",#N/A,FALSE,"Wk_Brz_NoAc";"Avg_Brz_Act",#N/A,FALSE,"Wk_Brz_Act"}</definedName>
    <definedName name="volume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Volumes">#REF!</definedName>
    <definedName name="volumes1" hidden="1">{"Fiesta Facer Page",#N/A,FALSE,"Q_C_S";"Fiesta Main Page",#N/A,FALSE,"V_L";"Fiesta 95BP Struct",#N/A,FALSE,"StructBP";"Fiesta Post 95BP Struct",#N/A,FALSE,"AdjStructBP"}</definedName>
    <definedName name="vs">#REF!</definedName>
    <definedName name="vs_budget" hidden="1">{#N/A,#N/A,FALSE,"BalCash"}</definedName>
    <definedName name="vsapbt">#REF!</definedName>
    <definedName name="vsastat">#REF!</definedName>
    <definedName name="vsdm">#REF!</definedName>
    <definedName name="vsm" hidden="1">{#N/A,#N/A,FALSE,"TEST HOURS MONTHLY REPORT"}</definedName>
    <definedName name="vv" hidden="1">{#VALUE!,#N/A,FALSE,0;#N/A,#N/A,FALSE,0;#N/A,#N/A,FALSE,0;#N/A,#N/A,FALSE,0}</definedName>
    <definedName name="vvcds" hidden="1">{"Presentation",#N/A,FALSE,"Feb96 - ALL"}</definedName>
    <definedName name="vvv" hidden="1">#REF!</definedName>
    <definedName name="vvvvvvvvvvvvv" hidden="1">{#N/A,#N/A,FALSE,"SumMonth";#N/A,#N/A,FALSE,"SumMonth"}</definedName>
    <definedName name="vw" hidden="1">{"Presentation",#N/A,FALSE,"Feb96 - ALL"}</definedName>
    <definedName name="vxcbb" hidden="1">{0,0,0,0;0,0,0,0;0,0,0,0;0,0,0,0;0,0,0,0;0,0,0,0;0,TRUE,0,0;0,0,0,0}</definedName>
    <definedName name="vzl">#REF!</definedName>
    <definedName name="vzr">#REF!</definedName>
    <definedName name="W" hidden="1">{"'Highlights'!$A$1:$M$123"}</definedName>
    <definedName name="wa">#REF!</definedName>
    <definedName name="waefa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lter" hidden="1">{"Fiesta Facer Page",#N/A,FALSE,"Q_C_S";"Fiesta Main Page",#N/A,FALSE,"V_L";"Fiesta 95BP Struct",#N/A,FALSE,"StructBP";"Fiesta Post 95BP Struct",#N/A,FALSE,"AdjStructBP"}</definedName>
    <definedName name="warn1">#REF!</definedName>
    <definedName name="warn2">#REF!</definedName>
    <definedName name="WARR" hidden="1">#REF!</definedName>
    <definedName name="waste" hidden="1">{#N/A,#N/A,FALSE,"Graphs_Retail_Historical_US";#N/A,#N/A,FALSE,"Graphs_RCL_Historical_US";#N/A,#N/A,FALSE,"Graphs_WHSL_Historical_US";#N/A,#N/A,FALSE,"Graphs_ComLend_Historical_US";#N/A,#N/A,FALSE,"Graphs_Intra_Historical_US"}</definedName>
    <definedName name="way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aytoomuch" hidden="1">{"2001-02 Summary",#N/A,TRUE,"Summary";"2001-06 Summary",#N/A,TRUE,"Summary"}</definedName>
    <definedName name="WCF_Index">#REF!</definedName>
    <definedName name="WCF_SGaA_P2">#REF!</definedName>
    <definedName name="WCF_WCF_P2">#REF!</definedName>
    <definedName name="wcm3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" hidden="1">{"'Highlights'!$A$1:$M$123"}</definedName>
    <definedName name="WeekDay">{1,2,3,4,5,6,7}</definedName>
    <definedName name="WeekNo">{1;2;3;4;5;6}</definedName>
    <definedName name="wef" hidden="1">{0,0,0,0}</definedName>
    <definedName name="wef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gewgegw" hidden="1">{0,0,0,0;0,0,0,0;0,0,0,#VALUE!;TRUE,0,TRUE,0;0,0,0,0;0,0,0,0;0,0,0,0;0,TRUE,0,0}</definedName>
    <definedName name="WEM" hidden="1">{"rates",#N/A,FALSE,"tavg4a";"rev",#N/A,FALSE,"tavg4a"}</definedName>
    <definedName name="wer" hidden="1">{#N/A,#N/A,FALSE,"Title - E";#N/A,#N/A,FALSE,"Insert";#N/A,#N/A,FALSE,"Rpt-98-E PG_1";#N/A,#N/A,FALSE,"Rpt-98-E PG_2f";#N/A,#N/A,FALSE,"Rpt-98-E PG_2";#N/A,#N/A,FALSE,"Insert";#N/A,#N/A,FALSE,"Rpt-98-E PG_3 "}</definedName>
    <definedName name="wer.asd_modde" hidden="1">{"Avg_Arg_NoAc",#N/A,FALSE,"Wk_Arg_NoAc";"Avg_Arg_Act",#N/A,FALSE,"Wk_Arg_Act";"Avg_Brz_NoAct",#N/A,FALSE,"Wk_Brz_NoAc";"Avg_Brz_Act",#N/A,FALSE,"Wk_Brz_Act"}</definedName>
    <definedName name="wer.rfyf" hidden="1">{"MaskProfCalc",#N/A,FALSE,"Mask";"MaskTrade",#N/A,FALSE,"Mask"}</definedName>
    <definedName name="wer6wte" hidden="1">{"Presentation",#N/A,FALSE,"Feb96 - ALL"}</definedName>
    <definedName name="werf" hidden="1">{#N/A,#N/A,FALSE,"Title - E";#N/A,#N/A,FALSE,"Insert";#N/A,#N/A,FALSE,"Rpt-98-E PG_1";#N/A,#N/A,FALSE,"Rpt-98-E PG_2f";#N/A,#N/A,FALSE,"Rpt-98-E PG_2";#N/A,#N/A,FALSE,"Insert";#N/A,#N/A,FALSE,"Rpt-98-E PG_3 "}</definedName>
    <definedName name="werfdbv" hidden="1">{"Avg_Arg_NoAc",#N/A,FALSE,"Wk_Arg_NoAc";"Avg_Arg_Act",#N/A,FALSE,"Wk_Arg_Act";"Avg_Brz_NoAct",#N/A,FALSE,"Wk_Brz_NoAc";"Avg_Brz_Act",#N/A,FALSE,"Wk_Brz_Act"}</definedName>
    <definedName name="wert" hidden="1">{#N/A,#N/A,FALSE,"Cover";#N/A,#N/A,FALSE,"Profits";#N/A,#N/A,FALSE,"ABS";#N/A,#N/A,FALSE,"TFLE Detail";#N/A,#N/A,FALSE,"TFLE Walk";#N/A,#N/A,FALSE,"Variable Cost";#N/A,#N/A,FALSE,"V.C. Walk"}</definedName>
    <definedName name="werterty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er" hidden="1">{#N/A,#N/A,FALSE,"Cover";#N/A,#N/A,FALSE,"Profits";#N/A,#N/A,FALSE,"ABS";#N/A,#N/A,FALSE,"TFLE Detail";#N/A,#N/A,FALSE,"TFLE Walk";#N/A,#N/A,FALSE,"Variable Cost";#N/A,#N/A,FALSE,"V.C. Walk"}</definedName>
    <definedName name="werwer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r" hidden="1">{"REVISED",#N/A,FALSE,"Sheet1"}</definedName>
    <definedName name="west" hidden="1">{#N/A,#N/A,FALSE,"Title - E";#N/A,#N/A,FALSE,"Insert";#N/A,#N/A,FALSE,"Rpt-98-E PG_1";#N/A,#N/A,FALSE,"Rpt-98-E PG_2f";#N/A,#N/A,FALSE,"Rpt-98-E PG_2";#N/A,#N/A,FALSE,"Insert";#N/A,#N/A,FALSE,"Rpt-98-E PG_3 "}</definedName>
    <definedName name="weweg" hidden="1">{0,0,0,0;0,0,0,0;0,0,0,0;0,0,0,0}</definedName>
    <definedName name="wewew">#REF!</definedName>
    <definedName name="wewewe" hidden="1">{"2001-02 Summary",#N/A,TRUE,"Summary";"2001-06 Summary",#N/A,TRUE,"Summary"}</definedName>
    <definedName name="wewwt" hidden="1">{#N/A,#N/A,FALSE,"Assumptions";#N/A,#N/A,FALSE,"Volumes";#N/A,#N/A,FALSE,"Pricing";#N/A,#N/A,FALSE,"Variable Cost";#N/A,#N/A,FALSE,"Investment";#N/A,#N/A,FALSE,"Profitability";#N/A,#N/A,FALSE,"Business Comparison"}</definedName>
    <definedName name="wf" hidden="1">{#N/A,#N/A,FALSE,"GRAFIK";#N/A,#N/A,FALSE,"TOP30MEM"}</definedName>
    <definedName name="wfew" hidden="1">{"REVISED",#N/A,FALSE,"Sheet1"}</definedName>
    <definedName name="wha" hidden="1">{#N/A,#N/A,FALSE,"Cover";#N/A,#N/A,FALSE,"Profits";#N/A,#N/A,FALSE,"ABS";#N/A,#N/A,FALSE,"TFLE Detail";#N/A,#N/A,FALSE,"TFLE Walk";#N/A,#N/A,FALSE,"Variable Cost";#N/A,#N/A,FALSE,"V.C. Walk"}</definedName>
    <definedName name="what" hidden="1">{#N/A,#N/A,FALSE,"expense";#N/A,#N/A,FALSE,"heads"}</definedName>
    <definedName name="whatisthis" hidden="1">{#N/A,#N/A,FALSE,"expense";#N/A,#N/A,FALSE,"heads"}</definedName>
    <definedName name="Wheels">OFFSET(#REF!,0,0,COUNTA(#REF!),1)</definedName>
    <definedName name="why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il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hidden="1">{"forecast",#N/A,FALSE,"PL";"FCST YTD",#N/A,FALSE,"PL";"new bud adj",#N/A,FALSE,"PL";"new budget",#N/A,FALSE,"PL";"qtr",#N/A,FALSE,"PL";"bal sheet",#N/A,FALSE,"MONTHLY BALANCE SHEET";"fcst w head depre cap",#N/A,FALSE,"PL"}</definedName>
    <definedName name="wires">#REF!</definedName>
    <definedName name="wiress">#REF!</definedName>
    <definedName name="Wk">#REF!</definedName>
    <definedName name="wl" hidden="1">{0,#N/A,FALSE,0;0,#N/A,FALSE,0}</definedName>
    <definedName name="WLG">#REF!</definedName>
    <definedName name="wm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ork" hidden="1">{"COMPARISON",#N/A,FALSE,"Sheet1"}</definedName>
    <definedName name="Workplan" hidden="1">{#N/A,#N/A,FALSE,"626 DX";#N/A,#N/A,FALSE,"626 LX";#N/A,#N/A,FALSE,"626 LX-V6";#N/A,#N/A,FALSE,"626 ES-V6"}</definedName>
    <definedName name="wqe" hidden="1">{"REVISED",#N/A,FALSE,"Sheet1"}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r" hidden="1">{#N/A,#N/A,FALSE,"Title-W";#N/A,#N/A,FALSE,"Insert";#N/A,#N/A,FALSE,"Rpt-98-W PG_1";#N/A,#N/A,FALSE,"Rpt-98-W PG_2f";#N/A,#N/A,FALSE,"Rpt-98-W  PG_2";#N/A,#N/A,FALSE,"Insert";#N/A,#N/A,FALSE,"Rpt-98-W PG_3"}</definedName>
    <definedName name="wqqw" hidden="1">{"rates",#N/A,FALSE,"tavg4a";"rev",#N/A,FALSE,"tavg4a"}</definedName>
    <definedName name="wqw" hidden="1">{#N/A,#N/A,FALSE,"Cover";#N/A,#N/A,FALSE,"Profits";#N/A,#N/A,FALSE,"ABS";#N/A,#N/A,FALSE,"TFLE Detail";#N/A,#N/A,FALSE,"TFLE Walk";#N/A,#N/A,FALSE,"Variable Cost";#N/A,#N/A,FALSE,"V.C. Walk"}</definedName>
    <definedName name="wr" hidden="1">{#N/A,#N/A,FALSE,"TOP10";#N/A,#N/A,FALSE,"Cover";#N/A,#N/A,FALSE,"MOGRAPH"}</definedName>
    <definedName name="wrgtrgr" hidden="1">{"2001-02 Summary",#N/A,TRUE,"Summary";"2001-06 Summary",#N/A,TRUE,"Summary"}</definedName>
    <definedName name="wrn" hidden="1">{#N/A,#N/A,FALSE,"Balance SPS";#N/A,#N/A,FALSE,"P&amp;L_SPS"}</definedName>
    <definedName name="wrn.01_All_Package.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2_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3_Corporate." hidden="1">{#N/A,#N/A,FALSE,"BS_CORPORATE"}</definedName>
    <definedName name="wrn.03_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4_ESG." hidden="1">{#N/A,#N/A,FALSE,"BS_ESG ";#N/A,#N/A,FALSE,"P&amp;L_ESG"}</definedName>
    <definedName name="wrn.05_SPS." hidden="1">{#N/A,#N/A,FALSE,"Balance SPS";#N/A,#N/A,FALSE,"P&amp;L_SPS"}</definedName>
    <definedName name="wrn.1_Complete._.Package._.less._.Backup.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2_PCS.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3_CIG.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4_iDEN.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5_Total._.Back._.Up." hidden="1">{#N/A,#N/A,FALSE,"BACK UP CIG";#N/A,#N/A,FALSE,"BACK UP Balance FDM";#N/A,#N/A,FALSE,"BACK UP ASP nsad";#N/A,#N/A,FALSE,"BACK UP CORPORATE"}</definedName>
    <definedName name="wrn.97._.Model." hidden="1">{"showrm",#N/A,FALSE,"97 Model";"equipment",#N/A,FALSE,"97 Model"}</definedName>
    <definedName name="wrn.97_.Model.2" hidden="1">{"showrm",#N/A,FALSE,"97 Model";"equipment",#N/A,FALSE,"97 Model"}</definedName>
    <definedName name="wrn.98._.High._.Series." hidden="1">{"showroom",#N/A,FALSE,"98 Model";"equipment",#N/A,FALSE,"98 Model"}</definedName>
    <definedName name="wrn.98._.Low._.Series." hidden="1">{"showroom",#N/A,FALSE,"98 L Model";"equipment",#N/A,FALSE,"98 L Model"}</definedName>
    <definedName name="wrn.98._.VALUE._.ANALYSES." hidden="1">{#VALUE!,#N/A,FALSE,0;#N/A,#N/A,FALSE,0;#N/A,#N/A,FALSE,0;#N/A,#N/A,FALSE,0}</definedName>
    <definedName name="wrn.99._.Model._.High." hidden="1">{"showroom",#N/A,FALSE,"99 Model High";"equipment",#N/A,FALSE,"99 Model High"}</definedName>
    <definedName name="wrn.99._.Model._.Low." hidden="1">{"showroom",#N/A,FALSE,"99 Model Low";"equipment",#N/A,FALSE,"99 Model Low"}</definedName>
    <definedName name="wrn.99_.Model._Low.2" hidden="1">{"showroom",#N/A,FALSE,"99 Model Low";"equipment",#N/A,FALSE,"99 Model Low"}</definedName>
    <definedName name="wrn.aaa." hidden="1">{#N/A,#N/A,FALSE,"Hot !!"}</definedName>
    <definedName name="wrn.Advertising._.Report." hidden="1">{"All Advertising",#N/A,FALSE,"All Car Lines";"Protege Advertising",#N/A,FALSE,"Protege";"626 Advertising",#N/A,FALSE,"626";"Millenia Advertising",#N/A,FALSE,"Millenia";"MPV Advertising",#N/A,FALSE,"MPV";"Miata Advertising",#N/A,FALSE,"Miata";"B-Series Advertising",#N/A,FALSE,"B-Series";"SUV Advertising",#N/A,FALSE,"SUV";"N Sports Advertising",#N/A,FALSE,"N Sports"}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." hidden="1">{#N/A,#N/A,TRUE,"dew_x200";#N/A,#N/A,TRUE,"cvgm_twncr_must";#N/A,#N/A,TRUE,"x100_x300_falcn";#N/A,#N/A,TRUE,"t_mark_scorp";#N/A,#N/A,TRUE,"VC3GRAF"}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._.pages\all._.plantsx." hidden="1">{"All Pages",#N/A,FALSE,"Plant 1 Exp";"All Pages",#N/A,FALSE,"Plant 2 Exp";"All Pages",#N/A,FALSE,"Plant 3 Exp";"All Pages",#N/A,FALSE,"Plant 4 Exp";"All Pages",#N/A,FALSE,"Total Vehicle"}</definedName>
    <definedName name="wrn.All._1" hidden="1">{"Fiesta Facer Page",#N/A,FALSE,"Q_C_S";"Fiesta Main Page",#N/A,FALSE,"V_L";"Fiesta 95BP Struct",#N/A,FALSE,"StructBP";"Fiesta Post 95BP Struct",#N/A,FALSE,"AdjStructBP"}</definedName>
    <definedName name="wrn.all.b" hidden="1">{#N/A,#N/A,TRUE,"new model";#N/A,#N/A,TRUE,"facilities";#N/A,#N/A,TRUE,"total"}</definedName>
    <definedName name="wrn.all.x" hidden="1">{"Fiesta Facer Page",#N/A,FALSE,"Q_C_S";"Fiesta Main Page",#N/A,FALSE,"V_L";"Fiesta 95BP Struct",#N/A,FALSE,"StructBP";"Fiesta Post 95BP Struct",#N/A,FALSE,"AdjStructBP"}</definedName>
    <definedName name="wrn.All_data." hidden="1">{#N/A,#N/A,TRUE,"Other";#N/A,#N/A,TRUE,"Lease";#N/A,#N/A,TRUE,"Retail";#N/A,#N/A,TRUE,"Wholesale";#N/A,#N/A,TRUE,"Insurance"}</definedName>
    <definedName name="wrn.All_Package.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1" hidden="1">{"Fiesta Facer Page",#N/A,FALSE,"Q_C_S";"Fiesta Main Page",#N/A,FALSE,"V_L";"Fiesta 95BP Struct",#N/A,FALSE,"StructBP";"Fiesta Post 95BP Struct",#N/A,FALSE,"AdjStructBP"}</definedName>
    <definedName name="wrn.AUS._.Total._.Function." hidden="1">{"AUS",#N/A,FALSE,"Full Year By Funct"}</definedName>
    <definedName name="wrn.Avg_Model." hidden="1">{"Avg_Arg_NoAc",#N/A,FALSE,"Wk_Arg_NoAc";"Avg_Arg_Act",#N/A,FALSE,"Wk_Arg_Act";"Avg_Brz_NoAct",#N/A,FALSE,"Wk_Brz_NoAc";"Avg_Brz_Act",#N/A,FALSE,"Wk_Brz_Act"}</definedName>
    <definedName name="wrn.Avrev." hidden="1">{"avrev",#N/A,FALSE,"AVREV";"rates",#N/A,FALSE,"AVREV"}</definedName>
    <definedName name="wrn.Avrev._1" hidden="1">{"avrev",#N/A,FALSE,"AVREV";"rates",#N/A,FALSE,"AVREV"}</definedName>
    <definedName name="wrn.Avrev.a" hidden="1">{"avrev",#N/A,FALSE,"AVREV";"rates",#N/A,FALSE,"AVREV"}</definedName>
    <definedName name="wrn.avrevv" hidden="1">{"avrev",#N/A,FALSE,"AVREV";"rates",#N/A,FALSE,"AVREV"}</definedName>
    <definedName name="wrn.avrevv_1" hidden="1">{"avrev",#N/A,FALSE,"AVREV";"rates",#N/A,FALSE,"AVREV"}</definedName>
    <definedName name="wrn.avrevvv" hidden="1">{"avrev",#N/A,FALSE,"AVREV";"rates",#N/A,FALSE,"AVREV"}</definedName>
    <definedName name="wrn.avrevvv_1" hidden="1">{"avrev",#N/A,FALSE,"AVREV";"rates",#N/A,FALSE,"AVREV"}</definedName>
    <definedName name="wrn.B_Sumary." hidden="1">{"A_Summary",#N/A,FALSE,"Arg_Summ";"B_Summary",#N/A,FALSE,"Brz_Summ"}</definedName>
    <definedName name="wrn.backup." hidden="1">{#N/A,#N/A,FALSE,"BackUp";#N/A,#N/A,FALSE,"FOps-Cal";#N/A,#N/A,FALSE,"COps-Cal";#N/A,#N/A,FALSE,"GPM-Cal";#N/A,#N/A,FALSE,"ITO-Cal";#N/A,#N/A,FALSE,"ITO (2)"}</definedName>
    <definedName name="wrn.Backup._.Corporate." hidden="1">{#N/A,#N/A,FALSE,"BACK UP CORPORATE"}</definedName>
    <definedName name="wrn.BackupPackage.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_1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lsheet." hidden="1">{#N/A,#N/A,FALSE,"BalCash"}</definedName>
    <definedName name="wrn.BandU." hidden="1">{"Specification Sheet",#N/A,FALSE,"SOHC B&amp;U";"BandU Sheet",#N/A,FALSE,"SOHC B&amp;U"}</definedName>
    <definedName name="wrn.Bases." hidden="1">{"B_Bases",#N/A,FALSE,"Wk_Brz_Act";"A_Base",#N/A,FALSE,"Wk_Arg_Act"}</definedName>
    <definedName name="wrn.BATCH." hidden="1">{#N/A,#N/A,FALSE,"V-NOTCH FLOW"}</definedName>
    <definedName name="wrn.Big._.Four._.Countries." hidden="1">{#N/A,#N/A,FALSE,"Japan";#N/A,#N/A,FALSE,"Taiwan";#N/A,#N/A,FALSE,"Thailand";#N/A,#N/A,FALSE,"Australia"}</definedName>
    <definedName name="wrn.Both._.Regular._.and._.Historical._.Graphs.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rn.bpPage1." hidden="1">{"bpPage1",#N/A,FALSE,"BP DIV MARKETING EQUATION"}</definedName>
    <definedName name="wrn.bpPage1._1" hidden="1">{"bpPage1",#N/A,FALSE,"BP DIV MARKETING EQUATION"}</definedName>
    <definedName name="wrn.bpPage2." hidden="1">{"bpPage2",#N/A,FALSE,"BP DIV MARKETING EQUATION"}</definedName>
    <definedName name="wrn.bpPage2._1" hidden="1">{"bpPage2",#N/A,FALSE,"BP DIV MARKETING EQUATION"}</definedName>
    <definedName name="wrn.Britain._.Agency." hidden="1">{#N/A,#N/A,FALSE,"Cost Centre Detail"}</definedName>
    <definedName name="wrn.BS_SCHEDULE.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ud" hidden="1">{"forecast",#N/A,FALSE,"PL";"FCST YTD",#N/A,FALSE,"PL";"new bud adj",#N/A,FALSE,"PL";"new budget",#N/A,FALSE,"PL";"qtr",#N/A,FALSE,"PL";"bal sheet",#N/A,FALSE,"MONTHLY BALANCE SHEET";"fcst w head depre cap",#N/A,FALSE,"PL"}</definedName>
    <definedName name="wrn.c" hidden="1">{"COMPARISON",#N/A,FALSE,"Sheet1"}</definedName>
    <definedName name="wrn.Calc." hidden="1">{#N/A,#N/A,FALSE,"Calcs- Preliminary";#N/A,#N/A,FALSE,"Calcs- Assets";#N/A,#N/A,FALSE,"Calcs-Prepayment";#N/A,#N/A,FALSE,"Calcs- Tracking";#N/A,#N/A,FALSE,"Calcs- Unrecog. Gains &amp; Losses";#N/A,#N/A,FALSE,"Calcs- PBO";#N/A,#N/A,FALSE,"Calcs-Net Periodic Pension Cost";#N/A,#N/A,FALSE,"Calcs - Unfunded ABO";#N/A,#N/A,FALSE,"Calcs - Funded status"}</definedName>
    <definedName name="wrn.casubont." hidden="1">{#N/A,#N/A,FALSE,"expense";#N/A,#N/A,FALSE,"heads"}</definedName>
    <definedName name="wrn.casubont._1" hidden="1">{#N/A,#N/A,FALSE,"expense";#N/A,#N/A,FALSE,"heads"}</definedName>
    <definedName name="wrn.Central." hidden="1">{"Central",#N/A,TRUE,"Sheet1"}</definedName>
    <definedName name="wrn.Central._.Detail." hidden="1">{"Central - Detail",#N/A,TRUE,"Sheet1"}</definedName>
    <definedName name="wrn.Chassis._.study.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IG.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_.Back._.up._.Files." hidden="1">{#N/A,#N/A,FALSE,"BACK UP CIG"}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KD._.Price._.Build._.Up." hidden="1">{#N/A,#N/A,FALSE,"CKD Price Build Up"}</definedName>
    <definedName name="wrn.comp" hidden="1">{"COMPARISON",#N/A,FALSE,"Sheet1"}</definedName>
    <definedName name="wrn.COMPARISON." hidden="1">{"COMPARISON",#N/A,FALSE,"Sheet1"}</definedName>
    <definedName name="wrn.comparison1." hidden="1">{"COMPARISON",#N/A,FALSE,"Sheet1"}</definedName>
    <definedName name="wrn.Complete_Package.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mplete_PrePack.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_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NT." hidden="1">{#N/A,#N/A,FALSE,"V-NOTCH FLOW"}</definedName>
    <definedName name="wrn.Contribution._.Margin." hidden="1">{#N/A,#N/A,FALSE,"Contr. Margin"}</definedName>
    <definedName name="wrn.Cost._.Reduction._.Report.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v._.An._.Cash." hidden="1">{"Cover1",#N/A,FALSE,"COVER1";"Cover2",#N/A,FALSE,"COVER2";"An.Review",#N/A,FALSE,"COST";"Cash Flow",#N/A,FALSE,"CASH"}</definedName>
    <definedName name="wrn.cover." hidden="1">{"cover",#N/A,FALSE,"TAPMOD.XLS";"cover",#N/A,FALSE,"TAPMOD.XLS"}</definedName>
    <definedName name="wrn.CSS_1." hidden="1">{#N/A,#N/A,FALSE,"G-Van List";#N/A,#N/A,FALSE,"Gvan#9";#N/A,#N/A,FALSE,"Chinabus";#N/A,#N/A,FALSE,"Ch#1";#N/A,#N/A,FALSE,"Ch#2";#N/A,#N/A,FALSE,"Ch#3";#N/A,#N/A,FALSE,"Ch#4";#N/A,#N/A,FALSE,"Ch#6";#N/A,#N/A,FALSE,"Meduty";#N/A,#N/A,FALSE,"GMT-560-1";#N/A,#N/A,FALSE,"MD#2";#N/A,#N/A,FALSE,"GMT-560-2";#N/A,#N/A,FALSE,"Ptrk#3"}</definedName>
    <definedName name="wrn.Curt." hidden="1">{#N/A,#N/A,FALSE,"Curtailment - Calcs";#N/A,#N/A,FALSE,"Curtailment - Funded Status"}</definedName>
    <definedName name="wrn.Dagenham._.Database." hidden="1">{#N/A,#N/A,FALSE,"prerolls";#N/A,#N/A,FALSE,"prepats";#N/A,#N/A,FALSE,"rolls";#N/A,#N/A,FALSE,"postrolls";#N/A,#N/A,FALSE,"prebce";#N/A,#N/A,FALSE,"postbce"}</definedName>
    <definedName name="wrn.Dagenham._.FACTS." hidden="1">{#N/A,#N/A,TRUE,"prerolls";#N/A,#N/A,TRUE,"prepats";#N/A,#N/A,TRUE,"ecs";#N/A,#N/A,TRUE,"rolls";#N/A,#N/A,TRUE,"bce";#N/A,#N/A,TRUE,"postrolls"}</definedName>
    <definedName name="wrn.DAI._.E46.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E53.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ta." hidden="1">{#N/A,#N/A,FALSE,"Data- Previous Report";#N/A,#N/A,FALSE,"Data- Accounts";#N/A,#N/A,FALSE,"Data- For Calculations";#N/A,#N/A,FALSE,"Data - Curtailment";#N/A,#N/A,FALSE,"Data - Settlement"}</definedName>
    <definedName name="wrn.dave." hidden="1">{"salaried",#N/A,FALSE,"VLD View (2)"}</definedName>
    <definedName name="wrn.dave._1" hidden="1">{"salaried",#N/A,FALSE,"VLD View (2)"}</definedName>
    <definedName name="wrn.davee." hidden="1">{"salaried",#N/A,FALSE,"VLD View (2)"}</definedName>
    <definedName name="wrn.daveeeee" hidden="1">{"salaried",#N/A,FALSE,"VLD View (2)"}</definedName>
    <definedName name="wrn.dcarheq." hidden="1">{"sum1",#N/A,FALSE,"dcarheq";"sum2",#N/A,FALSE,"dcarheq";"detail",#N/A,FALSE,"dcarheq"}</definedName>
    <definedName name="wrn.dcarheq._1" hidden="1">{"sum1",#N/A,FALSE,"dcarheq";"sum2",#N/A,FALSE,"dcarheq";"detail",#N/A,FALSE,"dcarheq"}</definedName>
    <definedName name="wrn.dcarleq." hidden="1">{"sum",#N/A,FALSE,"dcarleq";"eas",#N/A,FALSE,"dcarleq"}</definedName>
    <definedName name="wrn.dcarleq._1" hidden="1">{"sum",#N/A,FALSE,"dcarleq";"eas",#N/A,FALSE,"dcarleq"}</definedName>
    <definedName name="wrn.dcarmeq." hidden="1">{"sum1",#N/A,FALSE,"DCARMEQ";"sum2",#N/A,FALSE,"DCARMEQ";"detail",#N/A,FALSE,"DCARMEQ"}</definedName>
    <definedName name="wrn.dcarmeq._1" hidden="1">{"sum1",#N/A,FALSE,"DCARMEQ";"sum2",#N/A,FALSE,"DCARMEQ";"detail",#N/A,FALSE,"DCARMEQ"}</definedName>
    <definedName name="wrn.DDEC_GPH.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deposits." hidden="1">{#N/A,#N/A,FALSE,"Sheet1";"current deposit",#N/A,FALSE,"Sheet1";"current deposit",#N/A,FALSE,"Sheet1"}</definedName>
    <definedName name="wrn.detail." hidden="1">{"detail",#N/A,FALSE,"96STD7TP"}</definedName>
    <definedName name="wrn.Details." hidden="1">{"Detail",#N/A,TRUE,"Personnel";"Detail",#N/A,TRUE,"Non-Personnel";"Detail",#N/A,TRUE,"Total"}</definedName>
    <definedName name="wrn.Details._.And._.Summary." hidden="1">{"EOP Summary",#N/A,TRUE,"Summary";"Average Summary",#N/A,TRUE,"Summary";#N/A,#N/A,TRUE,"Data"}</definedName>
    <definedName name="wrn.dnet_avg00." hidden="1">{#N/A,#N/A,FALSE,"00 INTRO "}</definedName>
    <definedName name="wrn.dnet_avg99." hidden="1">{#N/A,#N/A,FALSE,"99 INTRO"}</definedName>
    <definedName name="wrn.dnet00." hidden="1">{#N/A,#N/A,FALSE,"00 INTRO "}</definedName>
    <definedName name="wrn.dnet99." hidden="1">{#N/A,#N/A,FALSE,"99 INTRO"}</definedName>
    <definedName name="wrn.DOM." hidden="1">{"DOM",#N/A,FALSE,"A8CONTENT"}</definedName>
    <definedName name="wrn.EAST." hidden="1">{#N/A,#N/A,FALSE,"Title - E";#N/A,#N/A,FALSE,"Insert";#N/A,#N/A,FALSE,"Rpt-98-E PG_1";#N/A,#N/A,FALSE,"Rpt-98-E PG_2f";#N/A,#N/A,FALSE,"Rpt-98-E PG_2";#N/A,#N/A,FALSE,"Insert";#N/A,#N/A,FALSE,"Rpt-98-E PG_3 "}</definedName>
    <definedName name="wrn.ednalt1." hidden="1">{#N/A,#N/A,FALSE,"Assumptions";#N/A,#N/A,FALSE,"CH2 &amp; CH3 Study Input"}</definedName>
    <definedName name="wrn.Eq.Adj.GLGS98." hidden="1">{"MSRPeq.adj.GLGS98",#N/A,FALSE,"Contour GL-Mystique GS";"WSDeq.adj.GLGS98",#N/A,FALSE,"Contour GL-Mystique GS";"Eq.Adj.GLGS98",#N/A,FALSE,"Contour GL-Mystique GS"}</definedName>
    <definedName name="wrn.Eq.Adj.LXLS98." hidden="1">{"MSRPeq.adj.LXLS98",#N/A,FALSE,"Contour LX-Mystique LS";"WSDeq.adj.GLGS98",#N/A,FALSE,"Contour LX-Mystique LS";"Eq.Adj.LXLS98",#N/A,FALSE,"Contour LX-Mystique LS"}</definedName>
    <definedName name="wrn.EqAdjGLGS98.5." hidden="1">{"MSRPeq.adj.GLGS98.5",#N/A,FALSE,"Contour GL-Mystique GS 98.5";"WSDeq.adj.GLGS98.5",#N/A,FALSE,"Contour GL-Mystique GS 98.5";"eq.adj.GLGS98.5",#N/A,FALSE,"Contour GL-Mystique GS 98.5"}</definedName>
    <definedName name="wrn.EqAdjLXLS98.5." hidden="1">{"MSRPeq.adjLXLS98.5",#N/A,FALSE,"Contour LX-Mystique LS 98.5";"WSDeq.adj.LXLS98.5",#N/A,FALSE,"Contour LX-Mystique LS 98.5";"Eq.Adj.LXLS98.5",#N/A,FALSE,"Contour LX-Mystique LS 98.5"}</definedName>
    <definedName name="wrn.Error._.Check." hidden="1">{"Error Check",#N/A,TRUE,"Personnel";"Error Check",#N/A,TRUE,"Non-Personnel";"Error Check",#N/A,TRUE,"Total"}</definedName>
    <definedName name="wrn.euna." hidden="1">{"euna",#N/A,FALSE,"SUBSDET.XLS"}</definedName>
    <definedName name="wrn.EXPORT." hidden="1">{"EXPORT",#N/A,FALSE,"A8CONTENT"}</definedName>
    <definedName name="wrn.F.S.." hidden="1">{#N/A,#N/A,TRUE,"COVER";#N/A,#N/A,TRUE,"DIR";#N/A,#N/A,TRUE,"AUDIT"}</definedName>
    <definedName name="wrn.FA." hidden="1">{#N/A,#N/A,FALSE,"a-f&amp;e";#N/A,#N/A,FALSE,"a-land";#N/A,#N/A,FALSE,"pl-deprec";#N/A,#N/A,FALSE,"pl-fa-disposals"}</definedName>
    <definedName name="wrn.fases" hidden="1">{"B_Bases",#N/A,FALSE,"Wk_Brz_Act";"A_Base",#N/A,FALSE,"Wk_Arg_Act"}</definedName>
    <definedName name="wrn.fcst.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._.Summary.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prior" hidden="1">{#N/A,#N/A,FALSE,"IS_FCST";#N/A,#N/A,FALSE,"BS_FCST";#N/A,#N/A,FALSE,"CF_FCST"}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inal.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1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ORECAST." hidden="1">{#N/A,#N/A,TRUE,"F-XRATE.XLS"}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Full._.quote." hidden="1">{#N/A,#N/A,TRUE,"Prototype Cost Estimates";#N/A,#N/A,TRUE,"Volume BreakDown - Europe";#N/A,#N/A,TRUE,"Investment - Ford, Mazda";#N/A,#N/A,TRUE,"Investment - Volvo";#N/A,#N/A,TRUE,"EU VRVT 2100 LH Solid ";#N/A,#N/A,TRUE,"EU VRVT 2100 RH Solid ";#N/A,#N/A,TRUE,"EU VRVT 2100 RH Tube";#N/A,#N/A,TRUE,"EU VRVT 2100 LH Tube";#N/A,#N/A,TRUE,"EU VRVT 2400 LH Solid";#N/A,#N/A,TRUE,"EU VRVT 2400 RH Solid ";#N/A,#N/A,TRUE,"EU VRVT 2400 LH Tube";#N/A,#N/A,TRUE,"EU VRVT 2400 RH Tube";#N/A,#N/A,TRUE,"EU VRVT 2700 LH Solid";#N/A,#N/A,TRUE,"EU VRVT 2700 RH Solid";#N/A,#N/A,TRUE,"EU VRVT 2700 LH Tube";#N/A,#N/A,TRUE,"EU VRVT 2700 RH Tube";#N/A,#N/A,TRUE,"EU VRVT 3300 LH Solid";#N/A,#N/A,TRUE,"EU VRVT 3300 RH Solid ";#N/A,#N/A,TRUE,"EU VRVCG 3300 LH";#N/A,#N/A,TRUE,"EU VRVCG 3300 RH";#N/A,#N/A,TRUE,"EU VRVAST3300 LH ";#N/A,#N/A,TRUE,"EU VRVAST3300 RH";#N/A,#N/A,TRUE,"Billable Tooling Estimates";#N/A,#N/A,TRUE,"Assumptions";#N/A,#N/A,TRUE,"Assumptions (2)";#N/A,#N/A,TRUE,"Assumptions (3)";#N/A,#N/A,TRUE,"Financials"}</definedName>
    <definedName name="wrn.Functional._.Average._.Annual." hidden="1">{"Functional Average Annual",#N/A,FALSE,"Total NAC Functional Summary"}</definedName>
    <definedName name="wrn.gh." hidden="1">{#N/A,#N/A,FALSE,"F.F.+D.L.";#N/A,#N/A,FALSE,"P.C.+S.F.";#N/A,#N/A,FALSE,"G.H.";#N/A,#N/A,FALSE,"F.L.+S.C.";#N/A,#N/A,FALSE,"M.M.";#N/A,#N/A,FALSE,"J.M.T."}</definedName>
    <definedName name="wrn.Headcount." hidden="1">{#N/A,#N/A,FALSE,"Headcount_PCS ";#N/A,#N/A,FALSE,"Headcount CIG";#N/A,#N/A,FALSE,"Headcount iDEN";#N/A,#N/A,FALSE,"JAG PLANT TREND"}</definedName>
    <definedName name="wrn.high." hidden="1">{"msrp",#N/A,FALSE,"SW High";"wsd",#N/A,FALSE,"SW High";"equipment",#N/A,FALSE,"SW High"}</definedName>
    <definedName name="wrn.Historical._.Graphs." hidden="1">{#N/A,#N/A,FALSE,"Graphs_Retail_Historical_US";#N/A,#N/A,FALSE,"Graphs_RCL_Historical_US";#N/A,#N/A,FALSE,"Graphs_WHSL_Historical_US";#N/A,#N/A,FALSE,"Graphs_ComLend_Historical_US";#N/A,#N/A,FALSE,"Graphs_Intra_Historical_US"}</definedName>
    <definedName name="wrn.IDEN.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_.Back._.up._.Files." hidden="1">{#N/A,#N/A,FALSE,"BACK UP Balance FDM";#N/A,#N/A,FALSE,"BACK UP ASP nsad"}</definedName>
    <definedName name="wrn.iiipage3" hidden="1">{"iiPage2",#N/A,FALSE,"II DIV MARKETING EQUATION"}</definedName>
    <definedName name="wrn.iiPage1." hidden="1">{"iiPage1",#N/A,FALSE,"II DIV MARKETING EQUATION"}</definedName>
    <definedName name="wrn.iiPage1._1" hidden="1">{"iiPage1",#N/A,FALSE,"II DIV MARKETING EQUATION"}</definedName>
    <definedName name="wrn.iiPage2." hidden="1">{"iiPage2",#N/A,FALSE,"II DIV MARKETING EQUATION"}</definedName>
    <definedName name="wrn.iiPage2._1" hidden="1">{"iiPage2",#N/A,FALSE,"II DIV MARKETING EQUATION"}</definedName>
    <definedName name="wrn.Incentive._.Report." hidden="1">{"All Incentives",#N/A,TRUE,"All Car Lines";"Protege Incentives",#N/A,TRUE,"Protege";"626 Incentives",#N/A,TRUE,"626";"Millenia Incentives",#N/A,TRUE,"Millenia";"Miata Incentives",#N/A,TRUE,"Miata";"MPV Incentives",#N/A,TRUE,"MPV";"B-Series Incentives",#N/A,TRUE,"B-Series";"SUV Incentives",#N/A,TRUE,"SUV";"N Sports Incentive",#N/A,TRUE,"N Sports";"NWC Incentive",#N/A,TRUE,"J48 NWC";"CTU Incentive",#N/A,TRUE,"J20 CTU"}</definedName>
    <definedName name="wrn.income._.statement." hidden="1">{"income statement",#N/A,FALSE,"ATLAS-A"}</definedName>
    <definedName name="wrn.india." hidden="1">{#N/A,#N/A,FALSE,"India - 3f";#N/A,#N/A,FALSE,"India - 3";#N/A,#N/A,FALSE,"India - 4f";#N/A,#N/A,FALSE,"India - 4";#N/A,#N/A,FALSE,"Retail Spider"}</definedName>
    <definedName name="wrn.Introduction." hidden="1">{#N/A,#N/A,TRUE,"Title-page";#N/A,#N/A,TRUE,"B1"}</definedName>
    <definedName name="wrn.inv_fcast." hidden="1">{#N/A,#N/A,FALSE,"Chart";#N/A,#N/A,FALSE,"Chart"}</definedName>
    <definedName name="wrn.inv_fcast._1" hidden="1">{#N/A,#N/A,FALSE,"Chart";#N/A,#N/A,FALSE,"Chart"}</definedName>
    <definedName name="wrn.Issue_to_issue_All_markets." hidden="1">{#N/A,#N/A,FALSE,"NA";#N/A,#N/A,FALSE,"US";#N/A,#N/A,FALSE,"CANADA";#N/A,#N/A,FALSE,"MEXICO";#N/A,#N/A,FALSE,"OUTSIDE";#N/A,#N/A,FALSE,"EXPORTS"}</definedName>
    <definedName name="wrn.Issue_to_issue_All_markets._1" hidden="1">{#N/A,#N/A,FALSE,"NA";#N/A,#N/A,FALSE,"US";#N/A,#N/A,FALSE,"CANADA";#N/A,#N/A,FALSE,"MEXICO";#N/A,#N/A,FALSE,"OUTSIDE";#N/A,#N/A,FALSE,"EXPORTS"}</definedName>
    <definedName name="wrn.JSUMM." hidden="1">{#N/A,#N/A,FALSE,"Cost Centre Detail"}</definedName>
    <definedName name="WRN.KIM" hidden="1">{"salaried",#N/A,FALSE,"VLD View (2)"}</definedName>
    <definedName name="WRN.KIM_1" hidden="1">{"salaried",#N/A,FALSE,"VLD View (2)"}</definedName>
    <definedName name="wrn.kk._.review.1" hidden="1">{#N/A,#N/A,FALSE,"Cover";#N/A,#N/A,FALSE,"Profits";#N/A,#N/A,FALSE,"ABS";#N/A,#N/A,FALSE,"TFLE Detail";#N/A,#N/A,FALSE,"TFLE Walk";#N/A,#N/A,FALSE,"Variable Cost";#N/A,#N/A,FALSE,"V.C. Walk"}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._.Review._1" hidden="1">{#N/A,#N/A,FALSE,"Cover";#N/A,#N/A,FALSE,"Profits";#N/A,#N/A,FALSE,"ABS";#N/A,#N/A,FALSE,"TFLE Detail";#N/A,#N/A,FALSE,"TFLE Walk";#N/A,#N/A,FALSE,"Variable Cost";#N/A,#N/A,FALSE,"V.C. Walk"}</definedName>
    <definedName name="wrn.kkk1" hidden="1">{#N/A,#N/A,FALSE,"Cover";#N/A,#N/A,FALSE,"Profits";#N/A,#N/A,FALSE,"ABS";#N/A,#N/A,FALSE,"TFLE Detail";#N/A,#N/A,FALSE,"TFLE Walk";#N/A,#N/A,FALSE,"Variable Cost";#N/A,#N/A,FALSE,"V.C. Walk"}</definedName>
    <definedName name="wrn.Location." hidden="1">{"Location",#N/A,TRUE,"Sheet1"}</definedName>
    <definedName name="wrn.Low." hidden="1">{"msrp",#N/A,FALSE,"SW Low";"wsd",#N/A,FALSE,"SW Low";"equipment",#N/A,FALSE,"SW Low"}</definedName>
    <definedName name="wrn.Low97." hidden="1">{"Leq97",#N/A,FALSE,"97 L Model";"Low97",#N/A,FALSE,"97 L Model"}</definedName>
    <definedName name="wrn.lsb2." hidden="1">{"view2",#N/A,TRUE,"PDB Version 9.2"}</definedName>
    <definedName name="wrn.lsb234." hidden="1">{"view2",#N/A,TRUE,"PDB Version 9.2";"view3",#N/A,TRUE,"PDB Version 9.2";"view4",#N/A,TRUE,"PDB Version 9.2"}</definedName>
    <definedName name="wrn.lsb24." hidden="1">{"view2",#N/A,FALSE,"PDB Version 9.2";"view4",#N/A,FALSE,"PDB Version 9.2"}</definedName>
    <definedName name="wrn.lsb3." hidden="1">{"view3",#N/A,TRUE,"PDB Version 9.2"}</definedName>
    <definedName name="wrn.lsb4." hidden="1">{"view4",#N/A,TRUE,"PDB Version 9.2"}</definedName>
    <definedName name="wrn.Main._.Report." hidden="1">{"Summary View",#N/A,TRUE,"Summary";"Exception Analysis",#N/A,TRUE,"Summary"}</definedName>
    <definedName name="wrn.Mask." hidden="1">{"MaskProfCalc",#N/A,FALSE,"Mask";"MaskTrade",#N/A,FALSE,"Mask"}</definedName>
    <definedName name="wrn.MBRS." hidden="1">{#N/A,#N/A,FALSE,"MBR PCS";#N/A,#N/A,FALSE,"MBR CIG";#N/A,#N/A,FALSE,"MBR iDEN";#N/A,#N/A,FALSE,"MBR_FWT";#N/A,#N/A,FALSE,"MBR TOTAL"}</definedName>
    <definedName name="wrn.MET._.CLAIMS." hidden="1">{#N/A,#N/A,FALSE,"Met"}</definedName>
    <definedName name="wrn.Mikes._.Report." hidden="1">{"DPSU",#N/A,FALSE,"2001 Runout";"CUSA Retirees",#N/A,FALSE,"2001 Runout"}</definedName>
    <definedName name="wrn.MikesReport." hidden="1">{"DPSU",#N/A,FALSE,"2001 Runout";"CUSA Retirees",#N/A,FALSE,"2001 Runout"}</definedName>
    <definedName name="wrn.MONATSREPORT." hidden="1">{#N/A,#N/A,FALSE,"TOP10";#N/A,#N/A,FALSE,"Cover";#N/A,#N/A,FALSE,"MOGRAPH"}</definedName>
    <definedName name="wrn.monthly" hidden="1">{#N/A,#N/A,FALSE,"SumMonth"}</definedName>
    <definedName name="wrn.Monthly._.Actuals." hidden="1">{#N/A,#N/A,FALSE,"98ACTUALS"}</definedName>
    <definedName name="wrn.monthly._.productivity." hidden="1">{#N/A,#N/A,FALSE,"TEST HOURS MONTHLY REPORT"}</definedName>
    <definedName name="wrn.monthly_1" hidden="1">{#N/A,#N/A,FALSE,"SumMonth"}</definedName>
    <definedName name="wrn.Mothly._.Percentages._.Summary." hidden="1">{#N/A,#N/A,FALSE,"SumMonth"}</definedName>
    <definedName name="wrn.Mothly._.Percentages._.Summary._1" hidden="1">{#N/A,#N/A,FALSE,"SumMonth"}</definedName>
    <definedName name="wrn.Moving._.Ave.._.Graphs." hidden="1">{#N/A,#N/A,FALSE,"Graphs_Retail (2)";#N/A,#N/A,FALSE,"Graphs_RCL (2)";#N/A,#N/A,FALSE,"Graphs_WHSL (2)"}</definedName>
    <definedName name="wrn.MPLTC." hidden="1">{#N/A,#N/A,FALSE,"Sheet1"}</definedName>
    <definedName name="wrn.msrp_avg." hidden="1">{#N/A,#N/A,FALSE,"99 INTRO"}</definedName>
    <definedName name="wrn.msrp_avg00." hidden="1">{#N/A,#N/A,FALSE,"00 INTRO "}</definedName>
    <definedName name="wrn.msrp00." hidden="1">{#N/A,#N/A,FALSE,"00 INTRO "}</definedName>
    <definedName name="wrn.msrp99." hidden="1">{#N/A,#N/A,FALSE,"99 INTRO"}</definedName>
    <definedName name="wrn.MyEngines." hidden="1">{#N/A,#N/A,FALSE,"ABSREN14";#N/A,#N/A,FALSE,"EN14GRAF";#N/A,#N/A,FALSE,"ABSRFN16";#N/A,#N/A,FALSE,"FN16GRAF";#N/A,#N/A,FALSE,"ABSRFN10";#N/A,#N/A,FALSE,"FN10GRAF"}</definedName>
    <definedName name="wrn.NAC._.Functional._.Monthly.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ew._.RPH._.Review.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_1" hidden="1">{#N/A,#N/A,FALSE,"Cover";#N/A,#N/A,FALSE,"VarCost Graph";#N/A,#N/A,FALSE,"VarCost Sum";#N/A,#N/A,FALSE,"Roadmap_Sum";#N/A,#N/A,FALSE,"VarCost";#N/A,#N/A,FALSE,"i-to-i, 06-01-98 [All_CMs]";#N/A,#N/A,FALSE,"VarCost I-2-I"}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ML." hidden="1">{#N/A,#N/A,FALSE,"97TCDBOX";#N/A,#N/A,FALSE,"97MYBOX";#N/A,#N/A,FALSE,"SVPTOBOX";#N/A,#N/A,FALSE,"SVPHEBOX";#N/A,#N/A,FALSE,"CASVPBOX"}</definedName>
    <definedName name="wrn.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P_CHRT1." hidden="1">{#N/A,#N/A,TRUE,"GPH_OVERALL";#N/A,#N/A,TRUE,"GPH_SUPPLR";#N/A,#N/A,TRUE,"GPH_RTNS"}</definedName>
    <definedName name="wrn.Output." hidden="1">{#N/A,#N/A,TRUE,"Output - Analysis of psn costs";#N/A,#N/A,TRUE,"Output - PBO changes";#N/A,#N/A,TRUE,"Output - Asset changes";#N/A,#N/A,TRUE,"Output - Unrec. gains losses";#N/A,#N/A,TRUE,"Output - NPPC and PSC";#N/A,#N/A,TRUE,"Output - changes in tran&amp;prepay";#N/A,#N/A,TRUE,"Output -Funded status ";#N/A,#N/A,TRUE,"Output - NPPC next year";#N/A,#N/A,TRUE,"Output -Funded status - proj"}</definedName>
    <definedName name="wrn.Package." hidden="1">{"Summary",#N/A,FALSE,"Sumary";"Att.1",#N/A,FALSE,"Attach.I";"Att.2",#N/A,FALSE,"Attach.2";"Att.3",#N/A,FALSE,"Attach.3";"Att.4",#N/A,FALSE,"Attach.4";"Walk",#N/A,FALSE,"Walk"}</definedName>
    <definedName name="wrn.Packet.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wrn.page2." hidden="1">{#N/A,#N/A,FALSE,"TR_OUT1"}</definedName>
    <definedName name="wrn.paper." hidden="1">{#N/A,#N/A,FALSE,"Panel Sum";#N/A,#N/A,FALSE,"PANEL18 ";#N/A,#N/A,FALSE,"Panel15 ";#N/A,#N/A,FALSE,"Panel17 ";#N/A,#N/A,FALSE,"PANEL18B"}</definedName>
    <definedName name="wrn.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_CSG_PPG.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eugot." hidden="1">{#N/A,#N/A,FALSE,"Assumptions";#N/A,#N/A,FALSE,"Financials";#N/A,#N/A,FALSE,"Aggressive investment"}</definedName>
    <definedName name="wrn.PL_SCHEDULE.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an." hidden="1">{"2001 actual",#N/A,FALSE,"Raw Data month";"2002actual",#N/A,FALSE,"Raw Data month";"2002 plan",#N/A,FALSE,"Raw Data month"}</definedName>
    <definedName name="wrn.ppepsum." hidden="1">{"rev",#N/A,FALSE,"ppepsum";"vcost",#N/A,FALSE,"ppepsum";"ecprof",#N/A,FALSE,"ppepsum"}</definedName>
    <definedName name="wrn.ppepsum._1" hidden="1">{"rev",#N/A,FALSE,"ppepsum";"vcost",#N/A,FALSE,"ppepsum";"ecprof",#N/A,FALSE,"ppepsum"}</definedName>
    <definedName name="wrn.Presentation." hidden="1">{"Presentation",#N/A,FALSE,"Feb96 - ALL"}</definedName>
    <definedName name="wrn.Presentation2" hidden="1">{"Presentation",#N/A,FALSE,"Feb96 - ALL"}</definedName>
    <definedName name="wrn.print.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_.all." hidden="1">{#N/A,#N/A,TRUE,"Frame&amp;Body-All";#N/A,#N/A,TRUE,"Powrplant Mnts-5.4l_4.6l";#N/A,#N/A,TRUE,"Powerplant-5.4l_4.6l";#N/A,#N/A,TRUE,"Exhaust-5.4l_4.6l";#N/A,#N/A,TRUE,"Induction-5.4l"}</definedName>
    <definedName name="wrn.Print._.All._.Summary._.Views." hidden="1">{"2001-02 Summary",#N/A,TRUE,"Summary";"2001-06 Summary",#N/A,TRUE,"Summary"}</definedName>
    <definedName name="wrn.Print._.Full._.Report.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intout." hidden="1">{"cover",#N/A,FALSE,"RMP0524";"page1",#N/A,FALSE,"RMP0524"}</definedName>
    <definedName name="wrn.Production._.Report." hidden="1">{"Production",#N/A,FALSE,"1+11";"Production Mix",#N/A,FALSE,"1+11"}</definedName>
    <definedName name="wrn.profit" hidden="1">{#N/A,#N/A,FALSE,"Profit Status";#N/A,#N/A,FALSE,"Invest";#N/A,#N/A,FALSE,"Revenue";#N/A,#N/A,FALSE,"Variable Cost";#N/A,#N/A,FALSE,"Options &amp; Series"}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Analysis._1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fit._.Forecast._1" hidden="1">{#N/A,#N/A,FALSE,"Cover Page";#N/A,#N/A,FALSE,"Facing Page";#N/A,#N/A,FALSE,"Main Page";#N/A,#N/A,FALSE,"Risk-Adjusted";#N/A,#N/A,FALSE,"Profit Improvement"}</definedName>
    <definedName name="wrn.Profitab." hidden="1">{"Calendar",#N/A,FALSE,"Calendar";"Profitab",#N/A,FALSE,"Summary";"Cashflow",#N/A,FALSE,"Cashflow";"ROS",#N/A,FALSE,"Summary"}</definedName>
    <definedName name="wrn.Proj." hidden="1">{#N/A,#N/A,FALSE,"Proj- Net Periodic Pension Cost";#N/A,#N/A,FALSE,"Proj- Funded Status";#N/A,#N/A,FALSE,"Proj- Background Calcs"}</definedName>
    <definedName name="wrn.Projection." hidden="1">{"Pj_assump",#N/A,FALSE,"Pj_Assump";"Pj_Arg_NoAc",#N/A,FALSE,"Pj_Arg_NoAc";"Pj_Arg_Act",#N/A,FALSE,"Pj_Arg_Act";"Pj_Brz_NoAc",#N/A,FALSE,"Pj_Brz_NoAc";"Pj_Brz_Act",#N/A,FALSE,"Pj_Brz_Act"}</definedName>
    <definedName name="wrn.Projections.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yecto._.Total." hidden="1">{"Titles",#N/A,FALSE,"Titles";"Carat Project",#N/A,FALSE,"Carat";"Cover1",#N/A,FALSE,"Cover1";"An.Review",#N/A,FALSE,"An.Review";"Cash Flow",#N/A,FALSE,"Cash Flow";"Carat Detail",#N/A,FALSE,"Carat";"Detail",#N/A,FALSE,"Detail";"Carat Attach",#N/A,FALSE,"Carat"}</definedName>
    <definedName name="wrn.Qcard." hidden="1">{#N/A,#N/A,FALSE,"Profit Card Title Page";#N/A,#N/A,FALSE,"Qcard -- Page 1";#N/A,#N/A,FALSE,"Qcard -- Page 2";#N/A,#N/A,FALSE,"Qcard -- Page 3";#N/A,#N/A,FALSE,"Qcard -- Page 4"}</definedName>
    <definedName name="wrn.Qcard._1" hidden="1">{#N/A,#N/A,FALSE,"Profit Card Title Page";#N/A,#N/A,FALSE,"Qcard -- Page 1";#N/A,#N/A,FALSE,"Qcard -- Page 2";#N/A,#N/A,FALSE,"Qcard -- Page 3";#N/A,#N/A,FALSE,"Qcard -- Page 4"}</definedName>
    <definedName name="wrn.QRAM._.Status._.RYG." hidden="1">{#N/A,#N/A,FALSE,"QS9000";#N/A,#N/A,FALSE,"Initial APQP Timing"}</definedName>
    <definedName name="wrn.Quarter._.end." hidden="1">{#N/A,#N/A,FALSE,"98ACTUALS"}</definedName>
    <definedName name="wrn.Quarterly._.Percentages._.Summary." hidden="1">{#N/A,#N/A,FALSE,"SumMonth";#N/A,#N/A,FALSE,"SumMonth"}</definedName>
    <definedName name="wrn.Quarterly._.Percentages._.Summary._1" hidden="1">{#N/A,#N/A,FALSE,"SumMonth";#N/A,#N/A,FALSE,"SumMonth"}</definedName>
    <definedName name="wrn.Quotes." hidden="1">{#N/A,#N/A,FALSE,"Assumptions";#N/A,#N/A,FALSE,"Financials"}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cap." hidden="1">{"recap",#N/A,FALSE,"96STD7TP"}</definedName>
    <definedName name="wrn.Regular._.Graphs." hidden="1">{#N/A,#N/A,FALSE,"Graphs_Retail_US";#N/A,#N/A,FALSE,"Graphs_RCL_US";#N/A,#N/A,FALSE,"Graphs_WSHL_US";#N/A,#N/A,FALSE,"Graphs_ComLend_US";#N/A,#N/A,FALSE,"Graphs_Intra_US"}</definedName>
    <definedName name="wrn.Relatório._.Completo.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ywholesale" hidden="1">{"Wholesale",#N/A,FALSE,"1+11";"wholesale Mix",#N/A,FALSE,"1+11"}</definedName>
    <definedName name="wrn.rep1." hidden="1">{"CpCpk Graph",#N/A,FALSE,"CpCpk Data #1"}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tail._.Graphs._.incl.._.Inputs." hidden="1">{#N/A,#N/A,FALSE,"Graphs_Retail";#N/A,#N/A,FALSE,"Physicals_Graphs"}</definedName>
    <definedName name="wrn.rev" hidden="1">{"REVISED",#N/A,FALSE,"Sheet1"}</definedName>
    <definedName name="wrn.REVISED." hidden="1">{"REVISED",#N/A,FALSE,"Sheet1"}</definedName>
    <definedName name="wrn.revised1." hidden="1">{"REVISED",#N/A,FALSE,"Sheet1"}</definedName>
    <definedName name="wrn.revised2." hidden="1">{"REVISED",#N/A,FALSE,"Sheet1"}</definedName>
    <definedName name="wrn.RPH._.BackUp." hidden="1">{#N/A,#N/A,FALSE,"Back-Up Cover";#N/A,#N/A,FALSE,"CM1";#N/A,#N/A,FALSE,"CM3";#N/A,#N/A,FALSE,"CM4"}</definedName>
    <definedName name="wrn.RPH._.BackUp._1" hidden="1">{#N/A,#N/A,FALSE,"Back-Up Cover";#N/A,#N/A,FALSE,"CM1";#N/A,#N/A,FALSE,"CM3";#N/A,#N/A,FALSE,"CM4"}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afety._.Performance." hidden="1">{"accident",#N/A,FALSE,"Sheet1";"lost",#N/A,FALSE,"Sheet2";"text",#N/A,FALSE,"Sheet3"}</definedName>
    <definedName name="wrn.saltavg." hidden="1">{"rates",#N/A,FALSE,"saltavg";"rev",#N/A,FALSE,"saltavg"}</definedName>
    <definedName name="wrn.Sample._.Safety._.Charts._.All." hidden="1">{#N/A,#N/A,FALSE,"Plant Tot. Record";#N/A,#N/A,FALSE,"BT Tot. Record";#N/A,#N/A,FALSE,"Plant Lost Days";#N/A,#N/A,FALSE,"Top 5 Record";#N/A,#N/A,FALSE,"BT Lost Days";#N/A,#N/A,FALSE,"BT Top 5 Lost Days"}</definedName>
    <definedName name="wrn.SAV._.SCENARIOS." hidden="1">{"SAV 07-06-99 -- Summary",#N/A,FALSE,"SAV 07-06-99";"SAV 07-06-99 -- Detail",#N/A,FALSE,"SAV 07-06-99";"SAV 07-06-99 -- Detail ""AND""",#N/A,FALSE,"SAV 07-06-99";"SAV 07-06-99 -- Detail ""AND"" #2",#N/A,FALSE,"SAV 07-06-99";"SAV 07-06-99 -- Summary ""AND""",#N/A,FALSE,"SAV 07-06-99";"SAV 07-06-99 -- Summary ""AND"" #2",#N/A,FALSE,"SAV 07-06-99"}</definedName>
    <definedName name="wrn.Series." hidden="1">{"Revenue",#N/A,FALSE,"Series";"Ecprofit",#N/A,FALSE,"Series"}</definedName>
    <definedName name="wrn.Series._1" hidden="1">{"Revenue",#N/A,FALSE,"Series";"Ecprofit",#N/A,FALSE,"Series"}</definedName>
    <definedName name="wrn.seriess" hidden="1">{"Revenue",#N/A,FALSE,"Series";"Ecprofit",#N/A,FALSE,"Series"}</definedName>
    <definedName name="wrn.seriess_1" hidden="1">{"Revenue",#N/A,FALSE,"Series";"Ecprofit",#N/A,FALSE,"Series"}</definedName>
    <definedName name="wrn.Settlement." hidden="1">{#N/A,#N/A,FALSE,"Settlement - Calcs";#N/A,#N/A,FALSE,"Settlement - Funded Status"}</definedName>
    <definedName name="wrn.spepalt." hidden="1">{"sedan",#N/A,FALSE,"spepalt";"wgs",#N/A,FALSE,"spepalt"}</definedName>
    <definedName name="wrn.Spiders." hidden="1">{"lowsp",#N/A,FALSE,"Spiders";"highsp",#N/A,FALSE,"Spiders"}</definedName>
    <definedName name="wrn.stabsrep.xls." hidden="1">{#N/A,#N/A,FALSE,"GRAFIK";#N/A,#N/A,FALSE,"TOP30MEM"}</definedName>
    <definedName name="wrn.Status._.Report.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b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ubmissionPackage." hidden="1">{#N/A,#N/A,FALSE,"COVER SHEET";#N/A,#N/A,FALSE,"iisumary"}</definedName>
    <definedName name="wrn.SubmissionPackage._1" hidden="1">{#N/A,#N/A,FALSE,"COVER SHEET";#N/A,#N/A,FALSE,"iisumary"}</definedName>
    <definedName name="wrn.subsys." hidden="1">{"subsys",#N/A,FALSE,"TAPMOD.XLS"}</definedName>
    <definedName name="wrn.sum." hidden="1">{#N/A,#N/A,FALSE,"2001 CBG";#N/A,#N/A,FALSE,"2002 CBG";#N/A,#N/A,FALSE,"2003 CBG";#N/A,#N/A,FALSE,"2004 CBG";#N/A,#N/A,FALSE,"2005 CBG";#N/A,#N/A,FALSE,"2006 CBG ";#N/A,#N/A,FALSE,"2007 CBG";#N/A,#N/A,FALSE,"2008 CBG"}</definedName>
    <definedName name="wrn.sum._1" hidden="1">{#N/A,#N/A,FALSE,"2001 CBG";#N/A,#N/A,FALSE,"2002 CBG";#N/A,#N/A,FALSE,"2003 CBG";#N/A,#N/A,FALSE,"2004 CBG";#N/A,#N/A,FALSE,"2005 CBG";#N/A,#N/A,FALSE,"2006 CBG ";#N/A,#N/A,FALSE,"2007 CBG";#N/A,#N/A,FALSE,"2008 CBG"}</definedName>
    <definedName name="wrn.sum1" hidden="1">{#N/A,#N/A,FALSE,"2001 CBG";#N/A,#N/A,FALSE,"2002 CBG";#N/A,#N/A,FALSE,"2003 CBG";#N/A,#N/A,FALSE,"2004 CBG";#N/A,#N/A,FALSE,"2005 CBG";#N/A,#N/A,FALSE,"2006 CBG ";#N/A,#N/A,FALSE,"2007 CBG";#N/A,#N/A,FALSE,"2008 CBG"}</definedName>
    <definedName name="wrn.sum1_1" hidden="1">{#N/A,#N/A,FALSE,"2001 CBG";#N/A,#N/A,FALSE,"2002 CBG";#N/A,#N/A,FALSE,"2003 CBG";#N/A,#N/A,FALSE,"2004 CBG";#N/A,#N/A,FALSE,"2005 CBG";#N/A,#N/A,FALSE,"2006 CBG ";#N/A,#N/A,FALSE,"2007 CBG";#N/A,#N/A,FALSE,"2008 CBG"}</definedName>
    <definedName name="wrn.Summary." hidden="1">{"A_Sum_95",#N/A,FALSE,"Arg_Summ";"A_Sum_Avg",#N/A,FALSE,"Arg_Summ"}</definedName>
    <definedName name="wrn.summary._.deposit." hidden="1">{"current deposit",#N/A,FALSE,"Sheet1"}</definedName>
    <definedName name="wrn.Summary1." hidden="1">{"Summary1",#N/A,TRUE,"Sheet1"}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NRev." hidden="1">{#N/A,#N/A,FALSE,"Weight Summary";#N/A,#N/A,FALSE,"Revision_Log"}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" hidden="1">{#N/A,#N/A,TRUE,"RIDE";#N/A,#N/A,TRUE,"STEERING";#N/A,#N/A,TRUE,"HANDLING";#N/A,#N/A,TRUE,"BRAKING"}</definedName>
    <definedName name="wrn.tavg4a." hidden="1">{"rates",#N/A,FALSE,"tavg4a";"rev",#N/A,FALSE,"tavg4a"}</definedName>
    <definedName name="wrn.tavg4a._1" hidden="1">{"rates",#N/A,FALSE,"tavg4a";"rev",#N/A,FALSE,"tavg4a"}</definedName>
    <definedName name="wrn.TAVGCS2." hidden="1">{"rates",#N/A,FALSE,"tavgcs#2";"rev",#N/A,FALSE,"tavgcs#2"}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odos.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tal." hidden="1">{"fcst w head depre cap",#N/A,FALSE,"PL";"new bud adj",#N/A,FALSE,"PL";"qtr",#N/A,FALSE,"PL";"quick",#N/A,FALSE,"PL";"bal sheet",#N/A,FALSE,"PL";"fixed assets",#N/A,FALSE,"PL"}</definedName>
    <definedName name="wrn.Total._.Headcount." hidden="1">{"Total Headcount",#N/A,FALSE,"FCE EOP"}</definedName>
    <definedName name="wrn.total.bud" hidden="1">{"fcst w head depre cap",#N/A,FALSE,"PL";"new bud adj",#N/A,FALSE,"PL";"qtr",#N/A,FALSE,"PL";"quick",#N/A,FALSE,"PL";"bal sheet",#N/A,FALSE,"PL";"fixed assets",#N/A,FALSE,"PL"}</definedName>
    <definedName name="wrn.total1." hidden="1">{#N/A,#N/A,FALSE,"LVC Final";#N/A,#N/A,FALSE,"TVC Final";#N/A,#N/A,FALSE,"PTO Final";#N/A,#N/A,FALSE,"RVT Final";#N/A,#N/A,FALSE,"CD Final"}</definedName>
    <definedName name="wrn.tpepsum4a." hidden="1">{"pep204a",#N/A,FALSE,"tpepsum4a";"pep205a",#N/A,FALSE,"tpepsum4a";"wpep204a",#N/A,FALSE,"tpepsum4a";"wpep205a",#N/A,FALSE,"tpepsum4a"}</definedName>
    <definedName name="wrn.tpepsum4a._1" hidden="1">{"pep204a",#N/A,FALSE,"tpepsum4a";"pep205a",#N/A,FALSE,"tpepsum4a";"wpep204a",#N/A,FALSE,"tpepsum4a";"wpep205a",#N/A,FALSE,"tpepsum4a"}</definedName>
    <definedName name="wrn.Trade." hidden="1">{"T_NA_Dom",#N/A,FALSE,"TB_NoAc";"TB_Summ",#N/A,FALSE,"TB_Action";"T_NA_Exp",#N/A,FALSE,"TB_NoAc";"T_Ac_Dom",#N/A,FALSE,"TB_Action";"TB_Ac_Exp",#N/A,FALSE,"TB_Action"}</definedName>
    <definedName name="wrn.trans." hidden="1">{#N/A,#N/A,FALSE,"TRANSNEW"}</definedName>
    <definedName name="wrn.ui2." hidden="1">{#N/A,#N/A,FALSE,"Sheet1";#N/A,#N/A,FALSE,"Sheet1"}</definedName>
    <definedName name="wrn.uis." hidden="1">{#N/A,#N/A,FALSE,"Sheet1";#N/A,#N/A,FALSE,"Sheet1"}</definedName>
    <definedName name="wrn.US._.Forecast._.Mth.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ForecastQtr.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wrn.USOutyearForecast.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w137ch." hidden="1">{#N/A,#N/A,FALSE,"3F";#N/A,#N/A,FALSE,"VII";#N/A,#N/A,FALSE,"2F";#N/A,#N/A,FALSE,"4F";#N/A,#N/A,FALSE,"7F";#N/A,#N/A,FALSE,"II";#N/A,#N/A,FALSE,"II(2)";#N/A,#N/A,FALSE,"VI";#N/A,#N/A,FALSE,"VIII"}</definedName>
    <definedName name="wrn.v3" hidden="1">{"2001-02 Summary",#N/A,TRUE,"Summary";"2001-06 Summary",#N/A,TRUE,"Summary"}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._.Review.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_.Graphs." hidden="1">{#N/A,#N/A,FALSE,"FN16GRAF (2)";#N/A,#N/A,FALSE,"EN14GRAF (2)";#N/A,#N/A,FALSE,"FN10GRAF (2)";#N/A,#N/A,FALSE,"MN12GRAF";#N/A,#N/A,FALSE,"SN95GRAF"}</definedName>
    <definedName name="wrn.view1" hidden="1">{"2001-02 Summary",#N/A,TRUE,"Summary";"2001-06 Summary",#N/A,TRUE,"Summary"}</definedName>
    <definedName name="wrn.Volume._.Report." hidden="1">{"All Volume",#N/A,FALSE,"All Car Lines";"Protege Volume",#N/A,FALSE,"Protege";"626 Volume",#N/A,FALSE,"626";"Millenia Volume",#N/A,FALSE,"Millenia";"MPV Volume",#N/A,FALSE,"MPV";"Miata Volume",#N/A,FALSE,"Miata";"B-Series Volume",#N/A,FALSE,"B-Series";"SUV Volume",#N/A,FALSE,"SUV";"N Sports Volume",#N/A,FALSE,"N Sports";"EV Volume",#N/A,FALSE,"EV"}</definedName>
    <definedName name="wrn.Walks." hidden="1">{"Wk_A_NoAc",#N/A,FALSE,"Wk_Arg_NoAc";"WK_Arg_Act",#N/A,FALSE,"Wk_Arg_Act";"WK_Brz_NoAc",#N/A,FALSE,"Wk_Brz_NoAc";"Wk_Brz_Act",#N/A,FALSE,"Wk_Brz_Act";"Wk_Avg",#N/A,FALSE,"Wk_Arg_Act"}</definedName>
    <definedName name="wrn.weekly._.status." hidden="1">{#N/A,#N/A,FALSE,"Test Weights";#N/A,#N/A,FALSE,"ETW'S"}</definedName>
    <definedName name="wrn.Weight." hidden="1">{#N/A,#N/A,FALSE,"UW152PPL"}</definedName>
    <definedName name="wrn.WEST." hidden="1">{#N/A,#N/A,FALSE,"Title-W";#N/A,#N/A,FALSE,"Insert";#N/A,#N/A,FALSE,"Rpt-98-W PG_1";#N/A,#N/A,FALSE,"Rpt-98-W PG_2f";#N/A,#N/A,FALSE,"Rpt-98-W  PG_2";#N/A,#N/A,FALSE,"Insert";#N/A,#N/A,FALSE,"Rpt-98-W PG_3"}</definedName>
    <definedName name="wrn.Whole._.TandD." hidden="1">{"Summary Sheet",#N/A,FALSE,"T&amp;D Summary Sheet";"Specification Sheet",#N/A,FALSE,"SOHC B&amp;U";"BandU Sheet",#N/A,FALSE,"SOHC B&amp;U"}</definedName>
    <definedName name="wrn.wholesale" hidden="1">{"Wholesale",#N/A,FALSE,"1+11";"wholesale Mix",#N/A,FALSE,"1+11"}</definedName>
    <definedName name="wrn.Wholesale._.Report." hidden="1">{"Wholesale",#N/A,FALSE,"1+11";"wholesale Mix",#N/A,FALSE,"1+11"}</definedName>
    <definedName name="wrn.wholesale1" hidden="1">{"Wholesale",#N/A,FALSE,"1+11";"wholesale Mix",#N/A,FALSE,"1+11"}</definedName>
    <definedName name="wrn.Workings." hidden="1">{#N/A,#N/A,TRUE,"MetFinStat";#N/A,#N/A,TRUE,"BalSht";#N/A,#N/A,TRUE,"ConSchedBal";#N/A,#N/A,TRUE,"IncStat";#N/A,#N/A,TRUE,"ConSchedInc"}</definedName>
    <definedName name="wrn1.All" hidden="1">{"Fiesta Facer Page",#N/A,FALSE,"Q_C_S";"Fiesta Main Page",#N/A,FALSE,"V_L";"Fiesta 95BP Struct",#N/A,FALSE,"StructBP";"Fiesta Post 95BP Struct",#N/A,FALSE,"AdjStructBP"}</definedName>
    <definedName name="wrn1.comparison" hidden="1">{"COMPARISON",#N/A,FALSE,"Sheet1"}</definedName>
    <definedName name="wrn1.india" hidden="1">{#N/A,#N/A,FALSE,"India - 3f";#N/A,#N/A,FALSE,"India - 3";#N/A,#N/A,FALSE,"India - 4f";#N/A,#N/A,FALSE,"India - 4";#N/A,#N/A,FALSE,"Retail Spider"}</definedName>
    <definedName name="wrn1.total.bud" hidden="1">{"fcst w head depre cap",#N/A,FALSE,"PL";"new bud adj",#N/A,FALSE,"PL";"qtr",#N/A,FALSE,"PL";"quick",#N/A,FALSE,"PL";"bal sheet",#N/A,FALSE,"PL";"fixed assets",#N/A,FALSE,"PL"}</definedName>
    <definedName name="wrn2.dave" hidden="1">{"salaried",#N/A,FALSE,"VLD View (2)"}</definedName>
    <definedName name="wrn2.tavg4a" hidden="1">{"rates",#N/A,FALSE,"tavg4a";"rev",#N/A,FALSE,"tavg4a"}</definedName>
    <definedName name="wrn2.tpepsum4a" hidden="1">{"pep204a",#N/A,FALSE,"tpepsum4a";"pep205a",#N/A,FALSE,"tpepsum4a";"wpep204a",#N/A,FALSE,"tpepsum4a";"wpep205a",#N/A,FALSE,"tpepsum4a"}</definedName>
    <definedName name="wrn2ppepsum" hidden="1">{"rev",#N/A,FALSE,"ppepsum";"vcost",#N/A,FALSE,"ppepsum";"ecprof",#N/A,FALSE,"ppepsum"}</definedName>
    <definedName name="wrna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a.dave" hidden="1">{"salaried",#N/A,FALSE,"VLD View (2)"}</definedName>
    <definedName name="wrna.dave_1" hidden="1">{"salaried",#N/A,FALSE,"VLD View (2)"}</definedName>
    <definedName name="wrnc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e" hidden="1">{#N/A,#N/A,FALSE,"Headcount_PCS ";#N/A,#N/A,FALSE,"Headcount CIG";#N/A,#N/A,FALSE,"Headcount iDEN";#N/A,#N/A,FALSE,"JAG PLANT TREND"}</definedName>
    <definedName name="wrnn.avrev" hidden="1">{"avrev",#N/A,FALSE,"AVREV";"rates",#N/A,FALSE,"AVREV"}</definedName>
    <definedName name="wrnn.avrev_1" hidden="1">{"avrev",#N/A,FALSE,"AVREV";"rates",#N/A,FALSE,"AVREV"}</definedName>
    <definedName name="wrnn.pri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._.Full._.Repo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series" hidden="1">{"Revenue",#N/A,FALSE,"Series";"Ecprofit",#N/A,FALSE,"Series"}</definedName>
    <definedName name="wrnn.series_1" hidden="1">{"Revenue",#N/A,FALSE,"Series";"Ecprofit",#N/A,FALSE,"Series"}</definedName>
    <definedName name="wrnnn.series" hidden="1">{"Revenue",#N/A,FALSE,"Series";"Ecprofit",#N/A,FALSE,"Series"}</definedName>
    <definedName name="wrnnn.series_1" hidden="1">{"Revenue",#N/A,FALSE,"Series";"Ecprofit",#N/A,FALSE,"Series"}</definedName>
    <definedName name="WRT" hidden="1">{#N/A,#N/A,TRUE,"RIDE";#N/A,#N/A,TRUE,"STEERING";#N/A,#N/A,TRUE,"HANDLING";#N/A,#N/A,TRUE,"BRAKING"}</definedName>
    <definedName name="WS" hidden="1">{"Wholesale",#N/A,FALSE,"1+11";"wholesale Mix",#N/A,FALSE,"1+11"}</definedName>
    <definedName name="wsM">#N/A</definedName>
    <definedName name="WSR" hidden="1">{#N/A,#N/A,FALSE,"TOP10";#N/A,#N/A,FALSE,"Cover";#N/A,#N/A,FALSE,"MOGRAPH"}</definedName>
    <definedName name="wtwt" hidden="1">{#N/A,#N/A,FALSE,"TOP10";#N/A,#N/A,FALSE,"Cover";#N/A,#N/A,FALSE,"MOGRAPH"}</definedName>
    <definedName name="wvu.devshifts." hidden="1">{TRUE,TRUE,-2.75,-17,604.5,345.75,FALSE,TRUE,TRUE,TRUE,0,1,#N/A,1,#N/A,54.7045454545455,26.6666666666667,1,FALSE,FALSE,3,TRUE,1,FALSE,100,"Swvu.devshifts.","ACwvu.devshifts.",#N/A,FALSE,FALSE,0.35,0.25,0.35,0.25,1,"","",FALSE,FALSE,FALSE,FALSE,1,100,#N/A,#N/A,"=C1:C53","=C1:C5,R1:R9","Rwvu.devshifts.",#N/A,FALSE,FALSE,TRUE,1,600,600,FALSE,FALSE,TRUE,TRUE,TRUE}</definedName>
    <definedName name="wvu.durashifts." hidden="1">{TRUE,TRUE,-2.75,-17,604.5,345.75,FALSE,TRUE,TRUE,TRUE,0,1,#N/A,1,#N/A,70.7045454545455,26.6666666666667,1,FALSE,FALSE,3,TRUE,1,FALSE,100,"Swvu.durashifts.","ACwvu.durashifts.",#N/A,FALSE,FALSE,0.35,0.25,0.35,0.25,1,"","",FALSE,FALSE,FALSE,FALSE,1,100,#N/A,#N/A,"=C1:C69","=C1:C5,R1:R9","Rwvu.durashifts.",#N/A,FALSE,FALSE,TRUE,1,600,600,FALSE,FALSE,TRUE,TRUE,TRUE}</definedName>
    <definedName name="wvu.Pro00_01.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1999.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2000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gexpense.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1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totypes.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1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staffing.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1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ummary._.US.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Total.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totalshifts.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1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w" hidden="1">{"salaried",#N/A,FALSE,"VLD View (2)"}</definedName>
    <definedName name="wwk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WR" hidden="1">{#N/A,#N/A,FALSE,"Cover Page";#N/A,#N/A,FALSE,"Facing Page";#N/A,#N/A,FALSE,"Main Page";#N/A,#N/A,FALSE,"Risk-Adjusted";#N/A,#N/A,FALSE,"Profit Improvement"}</definedName>
    <definedName name="wwr_1" hidden="1">{#N/A,#N/A,FALSE,"Assumptions";#N/A,#N/A,FALSE,"Volumes";#N/A,#N/A,FALSE,"Pricing";#N/A,#N/A,FALSE,"Variable Cost";#N/A,#N/A,FALSE,"Investment";#N/A,#N/A,FALSE,"Profitability";#N/A,#N/A,FALSE,"Business Comparison"}</definedName>
    <definedName name="www" hidden="1">{#N/A,#N/A,TRUE,"Engine";#N/A,#N/A,TRUE,"Trans 5R55N";#N/A,#N/A,TRUE,"Manual Trans";#N/A,#N/A,TRUE,"DS and Axle";#N/A,#N/A,TRUE,"PTSSE";#N/A,#N/A,TRUE,"Summary"}</definedName>
    <definedName name="wwww" hidden="1">{#N/A,#N/A,FALSE,"Cover";#N/A,#N/A,FALSE,"Profits";#N/A,#N/A,FALSE,"ABS";#N/A,#N/A,FALSE,"TFLE Detail";#N/A,#N/A,FALSE,"TFLE Walk";#N/A,#N/A,FALSE,"Variable Cost";#N/A,#N/A,FALSE,"V.C. Walk"}</definedName>
    <definedName name="wwwww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wwwww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wwwwwwww" hidden="1">{"REVISED",#N/A,FALSE,"Sheet1"}</definedName>
    <definedName name="wwwwwwwwwwwwwwwwwww" hidden="1">{"Fiesta Facer Page",#N/A,FALSE,"Q_C_S";"Fiesta Main Page",#N/A,FALSE,"V_L";"Fiesta 95BP Struct",#N/A,FALSE,"StructBP";"Fiesta Post 95BP Struct",#N/A,FALSE,"AdjStructBP"}</definedName>
    <definedName name="wwwwwwwwwwwwwwwwwwwwwwwwwww" hidden="1">{"Fiesta Facer Page",#N/A,FALSE,"Q_C_S";"Fiesta Main Page",#N/A,FALSE,"V_L";"Fiesta 95BP Struct",#N/A,FALSE,"StructBP";"Fiesta Post 95BP Struct",#N/A,FALSE,"AdjStructBP"}</definedName>
    <definedName name="wyriyt" hidden="1">{0,0,0,#VALUE!;7.4993119266055,0,0,0;#VALUE!,0.93945652173913,0,0;0,#VALUE!,0.39,0;0,0,0,2.46782608695652}</definedName>
    <definedName name="X" hidden="1">{"COMPARISON",#N/A,FALSE,"Sheet1"}</definedName>
    <definedName name="X_PE_VL">#N/A</definedName>
    <definedName name="X1_CE_W">INDIRECT("'"&amp;#REF!&amp;"Distances'!$A$4:$J$65000")</definedName>
    <definedName name="X2_CE_AA2">MATCH(#REF!,#REF!,0)+1</definedName>
    <definedName name="X202_prior" hidden="1">{"salaried",#N/A,FALSE,"VLD View (2)"}</definedName>
    <definedName name="X3_CE_AB2">MATCH(#REF!,#REF!,0)+1</definedName>
    <definedName name="xaxis" hidden="1">#REF!</definedName>
    <definedName name="xb" hidden="1">#REF!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v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xcvcxv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xcxcxcxc" hidden="1">{0,0,0,0;0,0,0,0;0,0,0,0;0,0,0,0;0,0,#VALUE!,0;0,FALSE,0,0;0,0,2.52782862608606E-08,1.43355118123874E-09;0,0,0,TRUE}</definedName>
    <definedName name="xfgh" hidden="1">{#N/A,#N/A,FALSE,"Cover";#N/A,#N/A,FALSE,"Profits";#N/A,#N/A,FALSE,"ABS";#N/A,#N/A,FALSE,"TFLE Detail";#N/A,#N/A,FALSE,"TFLE Walk";#N/A,#N/A,FALSE,"Variable Cost";#N/A,#N/A,FALSE,"V.C. Walk"}</definedName>
    <definedName name="xg">#N/A</definedName>
    <definedName name="xlqCom">"OK"</definedName>
    <definedName name="xm" hidden="1">#REF!</definedName>
    <definedName name="xn" hidden="1">#REF!</definedName>
    <definedName name="xnbnxb" hidden="1">{0,#N/A,FALSE,0}</definedName>
    <definedName name="xncxcvn" hidden="1">{0,#N/A,FALSE,0;0,#N/A,FALSE,0;0,#N/A,FALSE,0;0,#N/A,FALSE,0}</definedName>
    <definedName name="xqw" hidden="1">#REF!</definedName>
    <definedName name="XR" hidden="1">{"Avg_Arg_NoAc",#N/A,FALSE,"Wk_Arg_NoAc";"Avg_Arg_Act",#N/A,FALSE,"Wk_Arg_Act";"Avg_Brz_NoAct",#N/A,FALSE,"Wk_Brz_NoAc";"Avg_Brz_Act",#N/A,FALSE,"Wk_Brz_Act"}</definedName>
    <definedName name="xrate_list">#REF!</definedName>
    <definedName name="XREF_COLUMN_1" hidden="1">#REF!</definedName>
    <definedName name="XRefColumnsCount" hidden="1">7</definedName>
    <definedName name="XRefCopy1Row" hidden="1">#REF!</definedName>
    <definedName name="XRefCopy2" hidden="1">#REF!</definedName>
    <definedName name="XRefCopy2Row" hidden="1">#REF!</definedName>
    <definedName name="XRefCopy3Row" hidden="1">#REF!</definedName>
    <definedName name="XRefCopy5Row" hidden="1">#REF!</definedName>
    <definedName name="XRefCopyRangeCount" hidden="1">5</definedName>
    <definedName name="XRefPaste1Row" hidden="1">#REF!</definedName>
    <definedName name="XRefPaste7Row" hidden="1">#REF!</definedName>
    <definedName name="XRefPasteRangeCount" hidden="1">7</definedName>
    <definedName name="XS" hidden="1">{#N/A,#N/A,FALSE,"Title - E";#N/A,#N/A,FALSE,"Insert";#N/A,#N/A,FALSE,"Rpt-98-E PG_1";#N/A,#N/A,FALSE,"Rpt-98-E PG_2f";#N/A,#N/A,FALSE,"Rpt-98-E PG_2";#N/A,#N/A,FALSE,"Insert";#N/A,#N/A,FALSE,"Rpt-98-E PG_3 "}</definedName>
    <definedName name="XSW" hidden="1">{"Revenue",#N/A,FALSE,"Series";"Ecprofit",#N/A,FALSE,"Series"}</definedName>
    <definedName name="XSX" hidden="1">{#N/A,#N/A,FALSE,"Chart";#N/A,#N/A,FALSE,"Chart"}</definedName>
    <definedName name="XSXX" hidden="1">{"Revenue",#N/A,FALSE,"Series";"Ecprofit",#N/A,FALSE,"Series"}</definedName>
    <definedName name="XUAT">#REF!</definedName>
    <definedName name="xuus">#REF!</definedName>
    <definedName name="xv" hidden="1">#REF!</definedName>
    <definedName name="xvcbvb" hidden="1">{"avrev",#N/A,FALSE,"AVREV";"rates",#N/A,FALSE,"AVREV"}</definedName>
    <definedName name="xx" hidden="1">{#N/A,#N/A,FALSE,"Assumptions";#N/A,#N/A,FALSE,"Volumes";#N/A,#N/A,FALSE,"Pricing";#N/A,#N/A,FALSE,"Variable Cost";#N/A,#N/A,FALSE,"Investment";#N/A,#N/A,FALSE,"Profitability";#N/A,#N/A,FALSE,"Business Comparison"}</definedName>
    <definedName name="xxx" hidden="1">{#N/A,#N/A,TRUE,"dew_x200";#N/A,#N/A,TRUE,"cvgm_twncr_must";#N/A,#N/A,TRUE,"x100_x300_falcn";#N/A,#N/A,TRUE,"t_mark_scorp";#N/A,#N/A,TRUE,"VC3GRAF"}</definedName>
    <definedName name="xxxx">#REF!</definedName>
    <definedName name="xxxxx" hidden="1">{#N/A,#N/A,FALSE,"TEST HOURS MONTHLY REPORT"}</definedName>
    <definedName name="XXXXXX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xxxxxxx" hidden="1">{#N/A,#N/A,FALSE,"00 INTRO "}</definedName>
    <definedName name="xxxxxxxx" hidden="1">{#N/A,#N/A,FALSE,"Cover";#N/A,#N/A,FALSE,"Profits";#N/A,#N/A,FALSE,"ABS";#N/A,#N/A,FALSE,"TFLE Detail";#N/A,#N/A,FALSE,"TFLE Walk";#N/A,#N/A,FALSE,"Variable Cost";#N/A,#N/A,FALSE,"V.C. Walk"}</definedName>
    <definedName name="xxxxxxxxxxx" hidden="1">{"forecast",#N/A,FALSE,"PL";"FCST YTD",#N/A,FALSE,"PL";"new bud adj",#N/A,FALSE,"PL";"new budget",#N/A,FALSE,"PL";"qtr",#N/A,FALSE,"PL";"bal sheet",#N/A,FALSE,"MONTHLY BALANCE SHEET";"fcst w head depre cap",#N/A,FALSE,"PL"}</definedName>
    <definedName name="xxxxxxxxxxxxxxxxxxxxx" hidden="1">{"Presentation",#N/A,FALSE,"Feb96 - ALL"}</definedName>
    <definedName name="xxxxxxxxxxxxxxxxxxxxxx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xyz" hidden="1">{"Fiesta Facer Page",#N/A,FALSE,"Q_C_S";"Fiesta Main Page",#N/A,FALSE,"V_L";"Fiesta 95BP Struct",#N/A,FALSE,"StructBP";"Fiesta Post 95BP Struct",#N/A,FALSE,"AdjStructBP"}</definedName>
    <definedName name="xyz_1" hidden="1">{#N/A,#N/A,FALSE,"Cover Page";#N/A,#N/A,FALSE,"Facing Page";#N/A,#N/A,FALSE,"Main Page";#N/A,#N/A,FALSE,"Risk-Adjusted";#N/A,#N/A,FALSE,"Profit Improvement"}</definedName>
    <definedName name="xzcv" hidden="1">{#N/A,#N/A,FALSE,"Title-W";#N/A,#N/A,FALSE,"Insert";#N/A,#N/A,FALSE,"Rpt-98-W PG_1";#N/A,#N/A,FALSE,"Rpt-98-W PG_2f";#N/A,#N/A,FALSE,"Rpt-98-W  PG_2";#N/A,#N/A,FALSE,"Insert";#N/A,#N/A,FALSE,"Rpt-98-W PG_3"}</definedName>
    <definedName name="xzy" hidden="1">{"Presentation",#N/A,FALSE,"Feb96 - ALL"}</definedName>
    <definedName name="Ｙ">#N/A</definedName>
    <definedName name="y7i" hidden="1">{#N/A,#N/A,FALSE,"Cover";#N/A,#N/A,FALSE,"Profits";#N/A,#N/A,FALSE,"ABS";#N/A,#N/A,FALSE,"TFLE Detail";#N/A,#N/A,FALSE,"TFLE Walk";#N/A,#N/A,FALSE,"Variable Cost";#N/A,#N/A,FALSE,"V.C. Walk"}</definedName>
    <definedName name="YA">#REF!</definedName>
    <definedName name="YA_of_Tranferor">#REF!</definedName>
    <definedName name="YA_of_Transferor">#REF!</definedName>
    <definedName name="YA_transferred_in">#REF!</definedName>
    <definedName name="Ye">#REF!</definedName>
    <definedName name="Year">#REF!</definedName>
    <definedName name="Year1">#REF!</definedName>
    <definedName name="Year2">#REF!</definedName>
    <definedName name="YearCell">#REF!</definedName>
    <definedName name="YEN">99.7</definedName>
    <definedName name="YES" hidden="1">{"Revenue",#N/A,FALSE,"Series";"Ecprofit",#N/A,FALSE,"Series"}</definedName>
    <definedName name="YES_1" hidden="1">{"Revenue",#N/A,FALSE,"Series";"Ecprofit",#N/A,FALSE,"Series"}</definedName>
    <definedName name="yet" hidden="1">{"pep204a",#N/A,FALSE,"tpepsum4a";"pep205a",#N/A,FALSE,"tpepsum4a";"wpep204a",#N/A,FALSE,"tpepsum4a";"wpep205a",#N/A,FALSE,"tpepsum4a"}</definedName>
    <definedName name="yguyt">#REF!</definedName>
    <definedName name="yh" hidden="1">{"'Highlights'!$A$1:$M$123"}</definedName>
    <definedName name="yhio" hidden="1">{"Revenue",#N/A,FALSE,"Series";"Ecprofit",#N/A,FALSE,"Series"}</definedName>
    <definedName name="yht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yhut" hidden="1">{0,0,0,0;0,0,0,0;0,0,0,0;0,0,0,0;0,0,0,0;0,0,0,0;#N/A,#N/A,FALSE,0;#N/A,#N/A,FALSE,0}</definedName>
    <definedName name="yi" hidden="1">{#N/A,#N/A,FALSE,"Cover";#N/A,#N/A,FALSE,"Profits";#N/A,#N/A,FALSE,"ABS";#N/A,#N/A,FALSE,"TFLE Detail";#N/A,#N/A,FALSE,"TFLE Walk";#N/A,#N/A,FALSE,"Variable Cost";#N/A,#N/A,FALSE,"V.C. Walk"}</definedName>
    <definedName name="yioy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j" hidden="1">{#N/A,#N/A,FALSE,"Profit Status";#N/A,#N/A,FALSE,"Invest";#N/A,#N/A,FALSE,"Revenue";#N/A,#N/A,FALSE,"Variable Cost";#N/A,#N/A,FALSE,"Options &amp; Series"}</definedName>
    <definedName name="YK" hidden="1">{0,0,FALSE,0}</definedName>
    <definedName name="ykyu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YM" hidden="1">{"Revenue",#N/A,FALSE,"Series";"Ecprofit",#N/A,FALSE,"Series"}</definedName>
    <definedName name="you">#REF!</definedName>
    <definedName name="YQRY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ry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t" hidden="1">{0,0,0,TRUE;0,#VALUE!,0,FALSE;0,0,0,0;0,0,0,0;0,0,0,0;0,10.806201,0,0;0,0,0,0;0,0,0,0}</definedName>
    <definedName name="YTDCOST1">#REF!</definedName>
    <definedName name="YTDCOST2">#REF!</definedName>
    <definedName name="YTDCOST23">#REF!</definedName>
    <definedName name="YTDCOST3">#REF!</definedName>
    <definedName name="YTDCOST4">#REF!</definedName>
    <definedName name="YTDRY01">#REF!</definedName>
    <definedName name="YTDRY02">#REF!</definedName>
    <definedName name="YTDRY03">#REF!</definedName>
    <definedName name="YTDRY04">#REF!</definedName>
    <definedName name="ytr" hidden="1">{0,0,0,0;0,0,0,FALSE;0,#NULL!,0,0;0,0,0,0;0,0,0,#VALUE!;0,0,0,0;0,0,0,0;0,0,0,0;0,0,0,0}</definedName>
    <definedName name="ytu" hidden="1">{#N/A,#N/A,FALSE,"TOP10";#N/A,#N/A,FALSE,"Cover";#N/A,#N/A,FALSE,"MOGRAPH"}</definedName>
    <definedName name="yty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YU" hidden="1">{0,0,0,0;0,0,0,0;0,0,0,0;0,0,0,0;0,0,0,0;0,0,0,0;0,0,0,0;0,0,0,0}</definedName>
    <definedName name="YUD" hidden="1">{#N/A,#N/A,FALSE,"Profit Status";#N/A,#N/A,FALSE,"Invest";#N/A,#N/A,FALSE,"Revenue";#N/A,#N/A,FALSE,"Variable Cost";#N/A,#N/A,FALSE,"Options &amp; Series"}</definedName>
    <definedName name="yu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ul" hidden="1">{"'Highlights'!$A$1:$M$123"}</definedName>
    <definedName name="yuy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y" hidden="1">{#N/A,#N/A,FALSE,"TOP10";#N/A,#N/A,FALSE,"Cover";#N/A,#N/A,FALSE,"MOGRAPH"}</definedName>
    <definedName name="yws" hidden="1">{#N/A,#N/A,FALSE,"Cover Page";#N/A,#N/A,FALSE,"Facing Page";#N/A,#N/A,FALSE,"Main Page";#N/A,#N/A,FALSE,"Risk-Adjusted";#N/A,#N/A,FALSE,"Profit Improvement"}</definedName>
    <definedName name="yx" hidden="1">{#N/A,#N/A,FALSE,"Profit Status";#N/A,#N/A,FALSE,"Invest";#N/A,#N/A,FALSE,"Revenue";#N/A,#N/A,FALSE,"Variable Cost";#N/A,#N/A,FALSE,"Options &amp; Series"}</definedName>
    <definedName name="yy" hidden="1">{#N/A,#N/A,FALSE,"Assumptions";#N/A,#N/A,FALSE,"Volumes";#N/A,#N/A,FALSE,"Pricing";#N/A,#N/A,FALSE,"Variable Cost";#N/A,#N/A,FALSE,"Investment";#N/A,#N/A,FALSE,"Profitability";#N/A,#N/A,FALSE,"Business Comparison"}</definedName>
    <definedName name="yyy" hidden="1">{"Fiesta Facer Page",#N/A,FALSE,"Q_C_S";"Fiesta Main Page",#N/A,FALSE,"V_L";"Fiesta 95BP Struct",#N/A,FALSE,"StructBP";"Fiesta Post 95BP Struct",#N/A,FALSE,"AdjStructBP"}</definedName>
    <definedName name="yyyy" hidden="1">{#N/A,#N/A,FALSE,"TEST HOURS MONTHLY REPORT"}</definedName>
    <definedName name="yyyyy" hidden="1">{#N/A,#N/A,FALSE,"Chart";#N/A,#N/A,FALSE,"Chart"}</definedName>
    <definedName name="YYYYYY" hidden="1">{#N/A,#N/A,FALSE,"Chart";#N/A,#N/A,FALSE,"Chart"}</definedName>
    <definedName name="yyyyyyyyyyyyyyy" hidden="1">{"Fiesta Facer Page",#N/A,FALSE,"Q_C_S";"Fiesta Main Page",#N/A,FALSE,"V_L";"Fiesta 95BP Struct",#N/A,FALSE,"StructBP";"Fiesta Post 95BP Struct",#N/A,FALSE,"AdjStructBP"}</definedName>
    <definedName name="z" hidden="1">{"showroom",#N/A,FALSE,"99 Model Low";"equipment",#N/A,FALSE,"99 Model Low"}</definedName>
    <definedName name="Z_008C8F52_9E8F_11D3_924A_00C04F847978_.wvu.Cols" hidden="1">#N/A</definedName>
    <definedName name="Z_008C8F52_9E8F_11D3_924A_00C04F847978_.wvu.PrintArea" hidden="1">#N/A</definedName>
    <definedName name="Z_008C8F52_9E8F_11D3_924A_00C04F847978_.wvu.PrintTitles" hidden="1">#N/A</definedName>
    <definedName name="Z_008C8F54_9E8F_11D3_924A_00C04F847978_.wvu.Cols" hidden="1">#N/A</definedName>
    <definedName name="Z_008C8F54_9E8F_11D3_924A_00C04F847978_.wvu.PrintArea" hidden="1">#N/A</definedName>
    <definedName name="Z_008C8F54_9E8F_11D3_924A_00C04F847978_.wvu.PrintTitles" hidden="1">#N/A</definedName>
    <definedName name="Z_008C8F56_9E8F_11D3_924A_00C04F847978_.wvu.Cols" hidden="1">#N/A</definedName>
    <definedName name="Z_008C8F56_9E8F_11D3_924A_00C04F847978_.wvu.PrintArea" hidden="1">#N/A</definedName>
    <definedName name="Z_008C8F56_9E8F_11D3_924A_00C04F847978_.wvu.PrintTitles" hidden="1">#N/A</definedName>
    <definedName name="Z_008C8F58_9E8F_11D3_924A_00C04F847978_.wvu.Cols" hidden="1">#N/A</definedName>
    <definedName name="Z_008C8F58_9E8F_11D3_924A_00C04F847978_.wvu.PrintArea" hidden="1">#N/A</definedName>
    <definedName name="Z_008C8F58_9E8F_11D3_924A_00C04F847978_.wvu.PrintTitles" hidden="1">#N/A</definedName>
    <definedName name="Z_008C8F5A_9E8F_11D3_924A_00C04F847978_.wvu.PrintArea" hidden="1">#N/A</definedName>
    <definedName name="Z_008C8F5A_9E8F_11D3_924A_00C04F847978_.wvu.PrintTitles" hidden="1">#N/A</definedName>
    <definedName name="Z_008C8F5C_9E8F_11D3_924A_00C04F847978_.wvu.Cols" hidden="1">#N/A</definedName>
    <definedName name="Z_008C8F5C_9E8F_11D3_924A_00C04F847978_.wvu.PrintArea" hidden="1">#N/A</definedName>
    <definedName name="Z_008C8F5C_9E8F_11D3_924A_00C04F847978_.wvu.PrintTitles" hidden="1">#N/A</definedName>
    <definedName name="Z_051B25F4_DAD9_11D3_924A_00C04F8362DB_.wvu.Cols" hidden="1">#N/A</definedName>
    <definedName name="Z_051B25F4_DAD9_11D3_924A_00C04F8362DB_.wvu.PrintArea" hidden="1">#N/A</definedName>
    <definedName name="Z_051B25F4_DAD9_11D3_924A_00C04F8362DB_.wvu.PrintTitles" hidden="1">#N/A</definedName>
    <definedName name="Z_051B25F6_DAD9_11D3_924A_00C04F8362DB_.wvu.Cols" hidden="1">#N/A</definedName>
    <definedName name="Z_051B25F6_DAD9_11D3_924A_00C04F8362DB_.wvu.PrintArea" hidden="1">#N/A</definedName>
    <definedName name="Z_051B25F6_DAD9_11D3_924A_00C04F8362DB_.wvu.PrintTitles" hidden="1">#N/A</definedName>
    <definedName name="Z_051B25F8_DAD9_11D3_924A_00C04F8362DB_.wvu.Cols" hidden="1">#N/A</definedName>
    <definedName name="Z_051B25F8_DAD9_11D3_924A_00C04F8362DB_.wvu.PrintArea" hidden="1">#N/A</definedName>
    <definedName name="Z_051B25F8_DAD9_11D3_924A_00C04F8362DB_.wvu.PrintTitles" hidden="1">#N/A</definedName>
    <definedName name="Z_051B25FA_DAD9_11D3_924A_00C04F8362DB_.wvu.Cols" hidden="1">#N/A</definedName>
    <definedName name="Z_051B25FA_DAD9_11D3_924A_00C04F8362DB_.wvu.PrintArea" hidden="1">#N/A</definedName>
    <definedName name="Z_051B25FA_DAD9_11D3_924A_00C04F8362DB_.wvu.PrintTitles" hidden="1">#N/A</definedName>
    <definedName name="Z_051B25FC_DAD9_11D3_924A_00C04F8362DB_.wvu.PrintArea" hidden="1">#N/A</definedName>
    <definedName name="Z_051B25FC_DAD9_11D3_924A_00C04F8362DB_.wvu.PrintTitles" hidden="1">#N/A</definedName>
    <definedName name="Z_051B25FE_DAD9_11D3_924A_00C04F8362DB_.wvu.Cols" hidden="1">#N/A</definedName>
    <definedName name="Z_051B25FE_DAD9_11D3_924A_00C04F8362DB_.wvu.PrintArea" hidden="1">#N/A</definedName>
    <definedName name="Z_051B25FE_DAD9_11D3_924A_00C04F8362DB_.wvu.PrintTitles" hidden="1">#N/A</definedName>
    <definedName name="Z_051B2675_DAD9_11D3_924A_00C04F8362DB_.wvu.Cols" hidden="1">#N/A</definedName>
    <definedName name="Z_051B2675_DAD9_11D3_924A_00C04F8362DB_.wvu.PrintArea" hidden="1">#N/A</definedName>
    <definedName name="Z_051B2675_DAD9_11D3_924A_00C04F8362DB_.wvu.PrintTitles" hidden="1">#N/A</definedName>
    <definedName name="Z_051B2677_DAD9_11D3_924A_00C04F8362DB_.wvu.Cols" hidden="1">#N/A</definedName>
    <definedName name="Z_051B2677_DAD9_11D3_924A_00C04F8362DB_.wvu.PrintArea" hidden="1">#N/A</definedName>
    <definedName name="Z_051B2677_DAD9_11D3_924A_00C04F8362DB_.wvu.PrintTitles" hidden="1">#N/A</definedName>
    <definedName name="Z_051B2679_DAD9_11D3_924A_00C04F8362DB_.wvu.Cols" hidden="1">#N/A</definedName>
    <definedName name="Z_051B2679_DAD9_11D3_924A_00C04F8362DB_.wvu.PrintArea" hidden="1">#N/A</definedName>
    <definedName name="Z_051B2679_DAD9_11D3_924A_00C04F8362DB_.wvu.PrintTitles" hidden="1">#N/A</definedName>
    <definedName name="Z_051B267B_DAD9_11D3_924A_00C04F8362DB_.wvu.Cols" hidden="1">#N/A</definedName>
    <definedName name="Z_051B267B_DAD9_11D3_924A_00C04F8362DB_.wvu.PrintArea" hidden="1">#N/A</definedName>
    <definedName name="Z_051B267B_DAD9_11D3_924A_00C04F8362DB_.wvu.PrintTitles" hidden="1">#N/A</definedName>
    <definedName name="Z_051B267D_DAD9_11D3_924A_00C04F8362DB_.wvu.PrintArea" hidden="1">#N/A</definedName>
    <definedName name="Z_051B267D_DAD9_11D3_924A_00C04F8362DB_.wvu.PrintTitles" hidden="1">#N/A</definedName>
    <definedName name="Z_051B267F_DAD9_11D3_924A_00C04F8362DB_.wvu.Cols" hidden="1">#N/A</definedName>
    <definedName name="Z_051B267F_DAD9_11D3_924A_00C04F8362DB_.wvu.PrintArea" hidden="1">#N/A</definedName>
    <definedName name="Z_051B267F_DAD9_11D3_924A_00C04F8362DB_.wvu.PrintTitles" hidden="1">#N/A</definedName>
    <definedName name="Z_051B2695_DAD9_11D3_924A_00C04F8362DB_.wvu.Cols" hidden="1">#N/A</definedName>
    <definedName name="Z_051B2695_DAD9_11D3_924A_00C04F8362DB_.wvu.PrintArea" hidden="1">#N/A</definedName>
    <definedName name="Z_051B2695_DAD9_11D3_924A_00C04F8362DB_.wvu.PrintTitles" hidden="1">#N/A</definedName>
    <definedName name="Z_051B2697_DAD9_11D3_924A_00C04F8362DB_.wvu.Cols" hidden="1">#N/A</definedName>
    <definedName name="Z_051B2697_DAD9_11D3_924A_00C04F8362DB_.wvu.PrintArea" hidden="1">#N/A</definedName>
    <definedName name="Z_051B2697_DAD9_11D3_924A_00C04F8362DB_.wvu.PrintTitles" hidden="1">#N/A</definedName>
    <definedName name="Z_051B2699_DAD9_11D3_924A_00C04F8362DB_.wvu.Cols" hidden="1">#N/A</definedName>
    <definedName name="Z_051B2699_DAD9_11D3_924A_00C04F8362DB_.wvu.PrintArea" hidden="1">#N/A</definedName>
    <definedName name="Z_051B2699_DAD9_11D3_924A_00C04F8362DB_.wvu.PrintTitles" hidden="1">#N/A</definedName>
    <definedName name="Z_051B269B_DAD9_11D3_924A_00C04F8362DB_.wvu.Cols" hidden="1">#N/A</definedName>
    <definedName name="Z_051B269B_DAD9_11D3_924A_00C04F8362DB_.wvu.PrintArea" hidden="1">#N/A</definedName>
    <definedName name="Z_051B269B_DAD9_11D3_924A_00C04F8362DB_.wvu.PrintTitles" hidden="1">#N/A</definedName>
    <definedName name="Z_051B269D_DAD9_11D3_924A_00C04F8362DB_.wvu.PrintArea" hidden="1">#N/A</definedName>
    <definedName name="Z_051B269D_DAD9_11D3_924A_00C04F8362DB_.wvu.PrintTitles" hidden="1">#N/A</definedName>
    <definedName name="Z_051B269F_DAD9_11D3_924A_00C04F8362DB_.wvu.Cols" hidden="1">#N/A</definedName>
    <definedName name="Z_051B269F_DAD9_11D3_924A_00C04F8362DB_.wvu.PrintArea" hidden="1">#N/A</definedName>
    <definedName name="Z_051B269F_DAD9_11D3_924A_00C04F8362DB_.wvu.PrintTitles" hidden="1">#N/A</definedName>
    <definedName name="Z_0ADF42FF_B455_11D3_924A_00C04F847978_.wvu.Cols" hidden="1">#N/A</definedName>
    <definedName name="Z_0ADF42FF_B455_11D3_924A_00C04F847978_.wvu.PrintArea" hidden="1">#N/A</definedName>
    <definedName name="Z_0ADF42FF_B455_11D3_924A_00C04F847978_.wvu.PrintTitles" hidden="1">#N/A</definedName>
    <definedName name="Z_0ADF4302_B455_11D3_924A_00C04F847978_.wvu.Cols" hidden="1">#N/A</definedName>
    <definedName name="Z_0ADF4302_B455_11D3_924A_00C04F847978_.wvu.PrintArea" hidden="1">#N/A</definedName>
    <definedName name="Z_0ADF4302_B455_11D3_924A_00C04F847978_.wvu.PrintTitles" hidden="1">#N/A</definedName>
    <definedName name="Z_0ADF4305_B455_11D3_924A_00C04F847978_.wvu.Cols" hidden="1">#N/A</definedName>
    <definedName name="Z_0ADF4305_B455_11D3_924A_00C04F847978_.wvu.PrintArea" hidden="1">#N/A</definedName>
    <definedName name="Z_0ADF4305_B455_11D3_924A_00C04F847978_.wvu.PrintTitles" hidden="1">#N/A</definedName>
    <definedName name="Z_0ADF4308_B455_11D3_924A_00C04F847978_.wvu.Cols" hidden="1">#N/A</definedName>
    <definedName name="Z_0ADF4308_B455_11D3_924A_00C04F847978_.wvu.PrintArea" hidden="1">#N/A</definedName>
    <definedName name="Z_0ADF4308_B455_11D3_924A_00C04F847978_.wvu.PrintTitles" hidden="1">#N/A</definedName>
    <definedName name="Z_0ADF430B_B455_11D3_924A_00C04F847978_.wvu.PrintArea" hidden="1">#N/A</definedName>
    <definedName name="Z_0ADF430B_B455_11D3_924A_00C04F847978_.wvu.PrintTitles" hidden="1">#N/A</definedName>
    <definedName name="Z_0ADF430E_B455_11D3_924A_00C04F847978_.wvu.Cols" hidden="1">#N/A</definedName>
    <definedName name="Z_0ADF430E_B455_11D3_924A_00C04F847978_.wvu.PrintArea" hidden="1">#N/A</definedName>
    <definedName name="Z_0ADF430E_B455_11D3_924A_00C04F847978_.wvu.PrintTitles" hidden="1">#N/A</definedName>
    <definedName name="Z_0ADF436E_B455_11D3_924A_00C04F847978_.wvu.Cols" hidden="1">#N/A</definedName>
    <definedName name="Z_0ADF436E_B455_11D3_924A_00C04F847978_.wvu.PrintArea" hidden="1">#N/A</definedName>
    <definedName name="Z_0ADF436E_B455_11D3_924A_00C04F847978_.wvu.PrintTitles" hidden="1">#N/A</definedName>
    <definedName name="Z_0ADF4371_B455_11D3_924A_00C04F847978_.wvu.Cols" hidden="1">#N/A</definedName>
    <definedName name="Z_0ADF4371_B455_11D3_924A_00C04F847978_.wvu.PrintArea" hidden="1">#N/A</definedName>
    <definedName name="Z_0ADF4371_B455_11D3_924A_00C04F847978_.wvu.PrintTitles" hidden="1">#N/A</definedName>
    <definedName name="Z_0ADF4374_B455_11D3_924A_00C04F847978_.wvu.Cols" hidden="1">#N/A</definedName>
    <definedName name="Z_0ADF4374_B455_11D3_924A_00C04F847978_.wvu.PrintArea" hidden="1">#N/A</definedName>
    <definedName name="Z_0ADF4374_B455_11D3_924A_00C04F847978_.wvu.PrintTitles" hidden="1">#N/A</definedName>
    <definedName name="Z_0ADF4377_B455_11D3_924A_00C04F847978_.wvu.Cols" hidden="1">#N/A</definedName>
    <definedName name="Z_0ADF4377_B455_11D3_924A_00C04F847978_.wvu.PrintArea" hidden="1">#N/A</definedName>
    <definedName name="Z_0ADF4377_B455_11D3_924A_00C04F847978_.wvu.PrintTitles" hidden="1">#N/A</definedName>
    <definedName name="Z_0ADF437A_B455_11D3_924A_00C04F847978_.wvu.PrintArea" hidden="1">#N/A</definedName>
    <definedName name="Z_0ADF437A_B455_11D3_924A_00C04F847978_.wvu.PrintTitles" hidden="1">#N/A</definedName>
    <definedName name="Z_0ADF437D_B455_11D3_924A_00C04F847978_.wvu.Cols" hidden="1">#N/A</definedName>
    <definedName name="Z_0ADF437D_B455_11D3_924A_00C04F847978_.wvu.PrintArea" hidden="1">#N/A</definedName>
    <definedName name="Z_0ADF437D_B455_11D3_924A_00C04F847978_.wvu.PrintTitles" hidden="1">#N/A</definedName>
    <definedName name="Z_0ADF4399_B455_11D3_924A_00C04F847978_.wvu.Cols" hidden="1">#N/A</definedName>
    <definedName name="Z_0ADF4399_B455_11D3_924A_00C04F847978_.wvu.PrintArea" hidden="1">#N/A</definedName>
    <definedName name="Z_0ADF4399_B455_11D3_924A_00C04F847978_.wvu.PrintTitles" hidden="1">#N/A</definedName>
    <definedName name="Z_0ADF439C_B455_11D3_924A_00C04F847978_.wvu.Cols" hidden="1">#N/A</definedName>
    <definedName name="Z_0ADF439C_B455_11D3_924A_00C04F847978_.wvu.PrintArea" hidden="1">#N/A</definedName>
    <definedName name="Z_0ADF439C_B455_11D3_924A_00C04F847978_.wvu.PrintTitles" hidden="1">#N/A</definedName>
    <definedName name="Z_0ADF439F_B455_11D3_924A_00C04F847978_.wvu.Cols" hidden="1">#N/A</definedName>
    <definedName name="Z_0ADF439F_B455_11D3_924A_00C04F847978_.wvu.PrintArea" hidden="1">#N/A</definedName>
    <definedName name="Z_0ADF439F_B455_11D3_924A_00C04F847978_.wvu.PrintTitles" hidden="1">#N/A</definedName>
    <definedName name="Z_0ADF43A2_B455_11D3_924A_00C04F847978_.wvu.Cols" hidden="1">#N/A</definedName>
    <definedName name="Z_0ADF43A2_B455_11D3_924A_00C04F847978_.wvu.PrintArea" hidden="1">#N/A</definedName>
    <definedName name="Z_0ADF43A2_B455_11D3_924A_00C04F847978_.wvu.PrintTitles" hidden="1">#N/A</definedName>
    <definedName name="Z_0ADF43A5_B455_11D3_924A_00C04F847978_.wvu.PrintArea" hidden="1">#N/A</definedName>
    <definedName name="Z_0ADF43A5_B455_11D3_924A_00C04F847978_.wvu.PrintTitles" hidden="1">#N/A</definedName>
    <definedName name="Z_0ADF43A8_B455_11D3_924A_00C04F847978_.wvu.Cols" hidden="1">#N/A</definedName>
    <definedName name="Z_0ADF43A8_B455_11D3_924A_00C04F847978_.wvu.PrintArea" hidden="1">#N/A</definedName>
    <definedName name="Z_0ADF43A8_B455_11D3_924A_00C04F847978_.wvu.PrintTitles" hidden="1">#N/A</definedName>
    <definedName name="Z_0CCEA51C_6B5A_492A_905D_2F185A7C043A_.wvu.PrintArea" hidden="1">#REF!</definedName>
    <definedName name="Z_0D3D031E_9E9E_11D3_924A_00C04F847978_.wvu.Cols" hidden="1">#N/A</definedName>
    <definedName name="Z_0D3D031E_9E9E_11D3_924A_00C04F847978_.wvu.PrintArea" hidden="1">#N/A</definedName>
    <definedName name="Z_0D3D031E_9E9E_11D3_924A_00C04F847978_.wvu.PrintTitles" hidden="1">#N/A</definedName>
    <definedName name="Z_0D3D0322_9E9E_11D3_924A_00C04F847978_.wvu.Cols" hidden="1">#N/A</definedName>
    <definedName name="Z_0D3D0322_9E9E_11D3_924A_00C04F847978_.wvu.PrintArea" hidden="1">#N/A</definedName>
    <definedName name="Z_0D3D0322_9E9E_11D3_924A_00C04F847978_.wvu.PrintTitles" hidden="1">#N/A</definedName>
    <definedName name="Z_0D3D0326_9E9E_11D3_924A_00C04F847978_.wvu.Cols" hidden="1">#N/A</definedName>
    <definedName name="Z_0D3D0326_9E9E_11D3_924A_00C04F847978_.wvu.PrintArea" hidden="1">#N/A</definedName>
    <definedName name="Z_0D3D0326_9E9E_11D3_924A_00C04F847978_.wvu.PrintTitles" hidden="1">#N/A</definedName>
    <definedName name="Z_0D3D032A_9E9E_11D3_924A_00C04F847978_.wvu.Cols" hidden="1">#N/A</definedName>
    <definedName name="Z_0D3D032A_9E9E_11D3_924A_00C04F847978_.wvu.PrintArea" hidden="1">#N/A</definedName>
    <definedName name="Z_0D3D032A_9E9E_11D3_924A_00C04F847978_.wvu.PrintTitles" hidden="1">#N/A</definedName>
    <definedName name="Z_0D3D032E_9E9E_11D3_924A_00C04F847978_.wvu.PrintArea" hidden="1">#N/A</definedName>
    <definedName name="Z_0D3D032E_9E9E_11D3_924A_00C04F847978_.wvu.PrintTitles" hidden="1">#N/A</definedName>
    <definedName name="Z_0D3D0332_9E9E_11D3_924A_00C04F847978_.wvu.Cols" hidden="1">#N/A</definedName>
    <definedName name="Z_0D3D0332_9E9E_11D3_924A_00C04F847978_.wvu.PrintArea" hidden="1">#N/A</definedName>
    <definedName name="Z_0D3D0332_9E9E_11D3_924A_00C04F847978_.wvu.PrintTitles" hidden="1">#N/A</definedName>
    <definedName name="Z_142F0171_9F19_11D3_8424_60A257C10000_.wvu.Cols" hidden="1">#N/A</definedName>
    <definedName name="Z_142F0171_9F19_11D3_8424_60A257C10000_.wvu.PrintArea" hidden="1">#N/A</definedName>
    <definedName name="Z_142F0171_9F19_11D3_8424_60A257C10000_.wvu.PrintTitles" hidden="1">#N/A</definedName>
    <definedName name="Z_142F0179_9F19_11D3_8424_60A257C10000_.wvu.Cols" hidden="1">#N/A</definedName>
    <definedName name="Z_142F0179_9F19_11D3_8424_60A257C10000_.wvu.PrintArea" hidden="1">#N/A</definedName>
    <definedName name="Z_142F0179_9F19_11D3_8424_60A257C10000_.wvu.PrintTitles" hidden="1">#N/A</definedName>
    <definedName name="Z_142F0181_9F19_11D3_8424_60A257C10000_.wvu.Cols" hidden="1">#N/A</definedName>
    <definedName name="Z_142F0181_9F19_11D3_8424_60A257C10000_.wvu.PrintArea" hidden="1">#N/A</definedName>
    <definedName name="Z_142F0181_9F19_11D3_8424_60A257C10000_.wvu.PrintTitles" hidden="1">#N/A</definedName>
    <definedName name="Z_142F0189_9F19_11D3_8424_60A257C10000_.wvu.Cols" hidden="1">#N/A</definedName>
    <definedName name="Z_142F0189_9F19_11D3_8424_60A257C10000_.wvu.PrintArea" hidden="1">#N/A</definedName>
    <definedName name="Z_142F0189_9F19_11D3_8424_60A257C10000_.wvu.PrintTitles" hidden="1">#N/A</definedName>
    <definedName name="Z_142F0191_9F19_11D3_8424_60A257C10000_.wvu.PrintArea" hidden="1">#N/A</definedName>
    <definedName name="Z_142F0191_9F19_11D3_8424_60A257C10000_.wvu.PrintTitles" hidden="1">#N/A</definedName>
    <definedName name="Z_142F0199_9F19_11D3_8424_60A257C10000_.wvu.Cols" hidden="1">#N/A</definedName>
    <definedName name="Z_142F0199_9F19_11D3_8424_60A257C10000_.wvu.PrintArea" hidden="1">#N/A</definedName>
    <definedName name="Z_142F0199_9F19_11D3_8424_60A257C10000_.wvu.PrintTitles" hidden="1">#N/A</definedName>
    <definedName name="Z_177F849F_B84A_11D3_924A_00C04F847978_.wvu.Cols" hidden="1">#N/A</definedName>
    <definedName name="Z_177F849F_B84A_11D3_924A_00C04F847978_.wvu.PrintArea" hidden="1">#N/A</definedName>
    <definedName name="Z_177F849F_B84A_11D3_924A_00C04F847978_.wvu.PrintTitles" hidden="1">#N/A</definedName>
    <definedName name="Z_177F84A2_B84A_11D3_924A_00C04F847978_.wvu.Cols" hidden="1">#N/A</definedName>
    <definedName name="Z_177F84A2_B84A_11D3_924A_00C04F847978_.wvu.PrintArea" hidden="1">#N/A</definedName>
    <definedName name="Z_177F84A2_B84A_11D3_924A_00C04F847978_.wvu.PrintTitles" hidden="1">#N/A</definedName>
    <definedName name="Z_177F84A5_B84A_11D3_924A_00C04F847978_.wvu.Cols" hidden="1">#N/A</definedName>
    <definedName name="Z_177F84A5_B84A_11D3_924A_00C04F847978_.wvu.PrintArea" hidden="1">#N/A</definedName>
    <definedName name="Z_177F84A5_B84A_11D3_924A_00C04F847978_.wvu.PrintTitles" hidden="1">#N/A</definedName>
    <definedName name="Z_177F84A8_B84A_11D3_924A_00C04F847978_.wvu.Cols" hidden="1">#N/A</definedName>
    <definedName name="Z_177F84A8_B84A_11D3_924A_00C04F847978_.wvu.PrintArea" hidden="1">#N/A</definedName>
    <definedName name="Z_177F84A8_B84A_11D3_924A_00C04F847978_.wvu.PrintTitles" hidden="1">#N/A</definedName>
    <definedName name="Z_177F84AB_B84A_11D3_924A_00C04F847978_.wvu.PrintArea" hidden="1">#N/A</definedName>
    <definedName name="Z_177F84AB_B84A_11D3_924A_00C04F847978_.wvu.PrintTitles" hidden="1">#N/A</definedName>
    <definedName name="Z_177F84AE_B84A_11D3_924A_00C04F847978_.wvu.Cols" hidden="1">#N/A</definedName>
    <definedName name="Z_177F84AE_B84A_11D3_924A_00C04F847978_.wvu.PrintArea" hidden="1">#N/A</definedName>
    <definedName name="Z_177F84AE_B84A_11D3_924A_00C04F847978_.wvu.PrintTitles" hidden="1">#N/A</definedName>
    <definedName name="Z_177F84CC_B84A_11D3_924A_00C04F847978_.wvu.Cols" hidden="1">#N/A</definedName>
    <definedName name="Z_177F84CC_B84A_11D3_924A_00C04F847978_.wvu.PrintArea" hidden="1">#N/A</definedName>
    <definedName name="Z_177F84CC_B84A_11D3_924A_00C04F847978_.wvu.PrintTitles" hidden="1">#N/A</definedName>
    <definedName name="Z_177F84CF_B84A_11D3_924A_00C04F847978_.wvu.Cols" hidden="1">#N/A</definedName>
    <definedName name="Z_177F84CF_B84A_11D3_924A_00C04F847978_.wvu.PrintArea" hidden="1">#N/A</definedName>
    <definedName name="Z_177F84CF_B84A_11D3_924A_00C04F847978_.wvu.PrintTitles" hidden="1">#N/A</definedName>
    <definedName name="Z_177F84D2_B84A_11D3_924A_00C04F847978_.wvu.Cols" hidden="1">#N/A</definedName>
    <definedName name="Z_177F84D2_B84A_11D3_924A_00C04F847978_.wvu.PrintArea" hidden="1">#N/A</definedName>
    <definedName name="Z_177F84D2_B84A_11D3_924A_00C04F847978_.wvu.PrintTitles" hidden="1">#N/A</definedName>
    <definedName name="Z_177F84D5_B84A_11D3_924A_00C04F847978_.wvu.Cols" hidden="1">#N/A</definedName>
    <definedName name="Z_177F84D5_B84A_11D3_924A_00C04F847978_.wvu.PrintArea" hidden="1">#N/A</definedName>
    <definedName name="Z_177F84D5_B84A_11D3_924A_00C04F847978_.wvu.PrintTitles" hidden="1">#N/A</definedName>
    <definedName name="Z_177F84D8_B84A_11D3_924A_00C04F847978_.wvu.PrintArea" hidden="1">#N/A</definedName>
    <definedName name="Z_177F84D8_B84A_11D3_924A_00C04F847978_.wvu.PrintTitles" hidden="1">#N/A</definedName>
    <definedName name="Z_177F84DB_B84A_11D3_924A_00C04F847978_.wvu.Cols" hidden="1">#N/A</definedName>
    <definedName name="Z_177F84DB_B84A_11D3_924A_00C04F847978_.wvu.PrintArea" hidden="1">#N/A</definedName>
    <definedName name="Z_177F84DB_B84A_11D3_924A_00C04F847978_.wvu.PrintTitles" hidden="1">#N/A</definedName>
    <definedName name="Z_177F8515_B84A_11D3_924A_00C04F847978_.wvu.Cols" hidden="1">#N/A</definedName>
    <definedName name="Z_177F8515_B84A_11D3_924A_00C04F847978_.wvu.PrintArea" hidden="1">#N/A</definedName>
    <definedName name="Z_177F8515_B84A_11D3_924A_00C04F847978_.wvu.PrintTitles" hidden="1">#N/A</definedName>
    <definedName name="Z_177F8517_B84A_11D3_924A_00C04F847978_.wvu.Cols" hidden="1">#N/A</definedName>
    <definedName name="Z_177F8517_B84A_11D3_924A_00C04F847978_.wvu.PrintArea" hidden="1">#N/A</definedName>
    <definedName name="Z_177F8517_B84A_11D3_924A_00C04F847978_.wvu.PrintTitles" hidden="1">#N/A</definedName>
    <definedName name="Z_177F8519_B84A_11D3_924A_00C04F847978_.wvu.Cols" hidden="1">#N/A</definedName>
    <definedName name="Z_177F8519_B84A_11D3_924A_00C04F847978_.wvu.PrintArea" hidden="1">#N/A</definedName>
    <definedName name="Z_177F8519_B84A_11D3_924A_00C04F847978_.wvu.PrintTitles" hidden="1">#N/A</definedName>
    <definedName name="Z_177F851B_B84A_11D3_924A_00C04F847978_.wvu.Cols" hidden="1">#N/A</definedName>
    <definedName name="Z_177F851B_B84A_11D3_924A_00C04F847978_.wvu.PrintArea" hidden="1">#N/A</definedName>
    <definedName name="Z_177F851B_B84A_11D3_924A_00C04F847978_.wvu.PrintTitles" hidden="1">#N/A</definedName>
    <definedName name="Z_177F851D_B84A_11D3_924A_00C04F847978_.wvu.PrintArea" hidden="1">#N/A</definedName>
    <definedName name="Z_177F851D_B84A_11D3_924A_00C04F847978_.wvu.PrintTitles" hidden="1">#N/A</definedName>
    <definedName name="Z_177F851F_B84A_11D3_924A_00C04F847978_.wvu.Cols" hidden="1">#N/A</definedName>
    <definedName name="Z_177F851F_B84A_11D3_924A_00C04F847978_.wvu.PrintArea" hidden="1">#N/A</definedName>
    <definedName name="Z_177F851F_B84A_11D3_924A_00C04F847978_.wvu.PrintTitles" hidden="1">#N/A</definedName>
    <definedName name="Z_177F852F_B84A_11D3_924A_00C04F847978_.wvu.Cols" hidden="1">#N/A</definedName>
    <definedName name="Z_177F852F_B84A_11D3_924A_00C04F847978_.wvu.PrintArea" hidden="1">#N/A</definedName>
    <definedName name="Z_177F852F_B84A_11D3_924A_00C04F847978_.wvu.PrintTitles" hidden="1">#N/A</definedName>
    <definedName name="Z_177F8531_B84A_11D3_924A_00C04F847978_.wvu.Cols" hidden="1">#N/A</definedName>
    <definedName name="Z_177F8531_B84A_11D3_924A_00C04F847978_.wvu.PrintArea" hidden="1">#N/A</definedName>
    <definedName name="Z_177F8531_B84A_11D3_924A_00C04F847978_.wvu.PrintTitles" hidden="1">#N/A</definedName>
    <definedName name="Z_177F8533_B84A_11D3_924A_00C04F847978_.wvu.Cols" hidden="1">#N/A</definedName>
    <definedName name="Z_177F8533_B84A_11D3_924A_00C04F847978_.wvu.PrintArea" hidden="1">#N/A</definedName>
    <definedName name="Z_177F8533_B84A_11D3_924A_00C04F847978_.wvu.PrintTitles" hidden="1">#N/A</definedName>
    <definedName name="Z_177F8535_B84A_11D3_924A_00C04F847978_.wvu.Cols" hidden="1">#N/A</definedName>
    <definedName name="Z_177F8535_B84A_11D3_924A_00C04F847978_.wvu.PrintArea" hidden="1">#N/A</definedName>
    <definedName name="Z_177F8535_B84A_11D3_924A_00C04F847978_.wvu.PrintTitles" hidden="1">#N/A</definedName>
    <definedName name="Z_177F8537_B84A_11D3_924A_00C04F847978_.wvu.PrintArea" hidden="1">#N/A</definedName>
    <definedName name="Z_177F8537_B84A_11D3_924A_00C04F847978_.wvu.PrintTitles" hidden="1">#N/A</definedName>
    <definedName name="Z_177F8539_B84A_11D3_924A_00C04F847978_.wvu.Cols" hidden="1">#N/A</definedName>
    <definedName name="Z_177F8539_B84A_11D3_924A_00C04F847978_.wvu.PrintArea" hidden="1">#N/A</definedName>
    <definedName name="Z_177F8539_B84A_11D3_924A_00C04F847978_.wvu.PrintTitles" hidden="1">#N/A</definedName>
    <definedName name="Z_1B8421C1_B30C_11D3_924A_00C04F847978_.wvu.Cols" hidden="1">#N/A</definedName>
    <definedName name="Z_1B8421C1_B30C_11D3_924A_00C04F847978_.wvu.PrintArea" hidden="1">#N/A</definedName>
    <definedName name="Z_1B8421C1_B30C_11D3_924A_00C04F847978_.wvu.PrintTitles" hidden="1">#N/A</definedName>
    <definedName name="Z_1B8421C5_B30C_11D3_924A_00C04F847978_.wvu.Cols" hidden="1">#N/A</definedName>
    <definedName name="Z_1B8421C5_B30C_11D3_924A_00C04F847978_.wvu.PrintArea" hidden="1">#N/A</definedName>
    <definedName name="Z_1B8421C5_B30C_11D3_924A_00C04F847978_.wvu.PrintTitles" hidden="1">#N/A</definedName>
    <definedName name="Z_1B8421C9_B30C_11D3_924A_00C04F847978_.wvu.Cols" hidden="1">#N/A</definedName>
    <definedName name="Z_1B8421C9_B30C_11D3_924A_00C04F847978_.wvu.PrintArea" hidden="1">#N/A</definedName>
    <definedName name="Z_1B8421C9_B30C_11D3_924A_00C04F847978_.wvu.PrintTitles" hidden="1">#N/A</definedName>
    <definedName name="Z_1B8421CD_B30C_11D3_924A_00C04F847978_.wvu.Cols" hidden="1">#N/A</definedName>
    <definedName name="Z_1B8421CD_B30C_11D3_924A_00C04F847978_.wvu.PrintArea" hidden="1">#N/A</definedName>
    <definedName name="Z_1B8421CD_B30C_11D3_924A_00C04F847978_.wvu.PrintTitles" hidden="1">#N/A</definedName>
    <definedName name="Z_1B8421D1_B30C_11D3_924A_00C04F847978_.wvu.PrintArea" hidden="1">#N/A</definedName>
    <definedName name="Z_1B8421D1_B30C_11D3_924A_00C04F847978_.wvu.PrintTitles" hidden="1">#N/A</definedName>
    <definedName name="Z_1B8421D5_B30C_11D3_924A_00C04F847978_.wvu.Cols" hidden="1">#N/A</definedName>
    <definedName name="Z_1B8421D5_B30C_11D3_924A_00C04F847978_.wvu.PrintArea" hidden="1">#N/A</definedName>
    <definedName name="Z_1B8421D5_B30C_11D3_924A_00C04F847978_.wvu.PrintTitles" hidden="1">#N/A</definedName>
    <definedName name="Z_21099B7B_AAFA_11D3_8424_C0B557C10000_.wvu.Cols" hidden="1">#N/A</definedName>
    <definedName name="Z_21099B7B_AAFA_11D3_8424_C0B557C10000_.wvu.PrintArea" hidden="1">#N/A</definedName>
    <definedName name="Z_21099B7B_AAFA_11D3_8424_C0B557C10000_.wvu.PrintTitles" hidden="1">#N/A</definedName>
    <definedName name="Z_21099B7F_AAFA_11D3_8424_C0B557C10000_.wvu.Cols" hidden="1">#N/A</definedName>
    <definedName name="Z_21099B7F_AAFA_11D3_8424_C0B557C10000_.wvu.PrintArea" hidden="1">#N/A</definedName>
    <definedName name="Z_21099B7F_AAFA_11D3_8424_C0B557C10000_.wvu.PrintTitles" hidden="1">#N/A</definedName>
    <definedName name="Z_21099B83_AAFA_11D3_8424_C0B557C10000_.wvu.Cols" hidden="1">#N/A</definedName>
    <definedName name="Z_21099B83_AAFA_11D3_8424_C0B557C10000_.wvu.PrintArea" hidden="1">#N/A</definedName>
    <definedName name="Z_21099B83_AAFA_11D3_8424_C0B557C10000_.wvu.PrintTitles" hidden="1">#N/A</definedName>
    <definedName name="Z_21099B87_AAFA_11D3_8424_C0B557C10000_.wvu.Cols" hidden="1">#N/A</definedName>
    <definedName name="Z_21099B87_AAFA_11D3_8424_C0B557C10000_.wvu.PrintArea" hidden="1">#N/A</definedName>
    <definedName name="Z_21099B87_AAFA_11D3_8424_C0B557C10000_.wvu.PrintTitles" hidden="1">#N/A</definedName>
    <definedName name="Z_21099B8B_AAFA_11D3_8424_C0B557C10000_.wvu.PrintArea" hidden="1">#N/A</definedName>
    <definedName name="Z_21099B8B_AAFA_11D3_8424_C0B557C10000_.wvu.PrintTitles" hidden="1">#N/A</definedName>
    <definedName name="Z_21099B8F_AAFA_11D3_8424_C0B557C10000_.wvu.Cols" hidden="1">#N/A</definedName>
    <definedName name="Z_21099B8F_AAFA_11D3_8424_C0B557C10000_.wvu.PrintArea" hidden="1">#N/A</definedName>
    <definedName name="Z_21099B8F_AAFA_11D3_8424_C0B557C10000_.wvu.PrintTitles" hidden="1">#N/A</definedName>
    <definedName name="Z_21099C11_AAFA_11D3_8424_C0B557C10000_.wvu.Cols" hidden="1">#N/A</definedName>
    <definedName name="Z_21099C11_AAFA_11D3_8424_C0B557C10000_.wvu.PrintArea" hidden="1">#N/A</definedName>
    <definedName name="Z_21099C11_AAFA_11D3_8424_C0B557C10000_.wvu.PrintTitles" hidden="1">#N/A</definedName>
    <definedName name="Z_21099C15_AAFA_11D3_8424_C0B557C10000_.wvu.Cols" hidden="1">#N/A</definedName>
    <definedName name="Z_21099C15_AAFA_11D3_8424_C0B557C10000_.wvu.PrintArea" hidden="1">#N/A</definedName>
    <definedName name="Z_21099C15_AAFA_11D3_8424_C0B557C10000_.wvu.PrintTitles" hidden="1">#N/A</definedName>
    <definedName name="Z_21099C19_AAFA_11D3_8424_C0B557C10000_.wvu.Cols" hidden="1">#N/A</definedName>
    <definedName name="Z_21099C19_AAFA_11D3_8424_C0B557C10000_.wvu.PrintArea" hidden="1">#N/A</definedName>
    <definedName name="Z_21099C19_AAFA_11D3_8424_C0B557C10000_.wvu.PrintTitles" hidden="1">#N/A</definedName>
    <definedName name="Z_21099C1D_AAFA_11D3_8424_C0B557C10000_.wvu.Cols" hidden="1">#N/A</definedName>
    <definedName name="Z_21099C1D_AAFA_11D3_8424_C0B557C10000_.wvu.PrintArea" hidden="1">#N/A</definedName>
    <definedName name="Z_21099C1D_AAFA_11D3_8424_C0B557C10000_.wvu.PrintTitles" hidden="1">#N/A</definedName>
    <definedName name="Z_21099C21_AAFA_11D3_8424_C0B557C10000_.wvu.PrintArea" hidden="1">#N/A</definedName>
    <definedName name="Z_21099C21_AAFA_11D3_8424_C0B557C10000_.wvu.PrintTitles" hidden="1">#N/A</definedName>
    <definedName name="Z_21099C25_AAFA_11D3_8424_C0B557C10000_.wvu.Cols" hidden="1">#N/A</definedName>
    <definedName name="Z_21099C25_AAFA_11D3_8424_C0B557C10000_.wvu.PrintArea" hidden="1">#N/A</definedName>
    <definedName name="Z_21099C25_AAFA_11D3_8424_C0B557C10000_.wvu.PrintTitles" hidden="1">#N/A</definedName>
    <definedName name="Z_240CBF85_A1A4_11D3_924A_00C04F847978_.wvu.Cols" hidden="1">#N/A</definedName>
    <definedName name="Z_240CBF85_A1A4_11D3_924A_00C04F847978_.wvu.PrintArea" hidden="1">#N/A</definedName>
    <definedName name="Z_240CBF85_A1A4_11D3_924A_00C04F847978_.wvu.PrintTitles" hidden="1">#N/A</definedName>
    <definedName name="Z_240CBF88_A1A4_11D3_924A_00C04F847978_.wvu.Cols" hidden="1">#N/A</definedName>
    <definedName name="Z_240CBF88_A1A4_11D3_924A_00C04F847978_.wvu.PrintArea" hidden="1">#N/A</definedName>
    <definedName name="Z_240CBF88_A1A4_11D3_924A_00C04F847978_.wvu.PrintTitles" hidden="1">#N/A</definedName>
    <definedName name="Z_240CBF8B_A1A4_11D3_924A_00C04F847978_.wvu.Cols" hidden="1">#N/A</definedName>
    <definedName name="Z_240CBF8B_A1A4_11D3_924A_00C04F847978_.wvu.PrintArea" hidden="1">#N/A</definedName>
    <definedName name="Z_240CBF8B_A1A4_11D3_924A_00C04F847978_.wvu.PrintTitles" hidden="1">#N/A</definedName>
    <definedName name="Z_240CBF8E_A1A4_11D3_924A_00C04F847978_.wvu.Cols" hidden="1">#N/A</definedName>
    <definedName name="Z_240CBF8E_A1A4_11D3_924A_00C04F847978_.wvu.PrintArea" hidden="1">#N/A</definedName>
    <definedName name="Z_240CBF8E_A1A4_11D3_924A_00C04F847978_.wvu.PrintTitles" hidden="1">#N/A</definedName>
    <definedName name="Z_240CBF91_A1A4_11D3_924A_00C04F847978_.wvu.PrintArea" hidden="1">#N/A</definedName>
    <definedName name="Z_240CBF91_A1A4_11D3_924A_00C04F847978_.wvu.PrintTitles" hidden="1">#N/A</definedName>
    <definedName name="Z_240CBF94_A1A4_11D3_924A_00C04F847978_.wvu.Cols" hidden="1">#N/A</definedName>
    <definedName name="Z_240CBF94_A1A4_11D3_924A_00C04F847978_.wvu.PrintArea" hidden="1">#N/A</definedName>
    <definedName name="Z_240CBF94_A1A4_11D3_924A_00C04F847978_.wvu.PrintTitles" hidden="1">#N/A</definedName>
    <definedName name="Z_26C682F8_C8C6_11D3_924A_00C04F8362DB_.wvu.Cols" hidden="1">#N/A</definedName>
    <definedName name="Z_26C682F8_C8C6_11D3_924A_00C04F8362DB_.wvu.PrintArea" hidden="1">#N/A</definedName>
    <definedName name="Z_26C682F8_C8C6_11D3_924A_00C04F8362DB_.wvu.PrintTitles" hidden="1">#N/A</definedName>
    <definedName name="Z_26C682FA_C8C6_11D3_924A_00C04F8362DB_.wvu.Cols" hidden="1">#N/A</definedName>
    <definedName name="Z_26C682FA_C8C6_11D3_924A_00C04F8362DB_.wvu.PrintArea" hidden="1">#N/A</definedName>
    <definedName name="Z_26C682FA_C8C6_11D3_924A_00C04F8362DB_.wvu.PrintTitles" hidden="1">#N/A</definedName>
    <definedName name="Z_26C682FC_C8C6_11D3_924A_00C04F8362DB_.wvu.Cols" hidden="1">#N/A</definedName>
    <definedName name="Z_26C682FC_C8C6_11D3_924A_00C04F8362DB_.wvu.PrintArea" hidden="1">#N/A</definedName>
    <definedName name="Z_26C682FC_C8C6_11D3_924A_00C04F8362DB_.wvu.PrintTitles" hidden="1">#N/A</definedName>
    <definedName name="Z_26C682FE_C8C6_11D3_924A_00C04F8362DB_.wvu.Cols" hidden="1">#N/A</definedName>
    <definedName name="Z_26C682FE_C8C6_11D3_924A_00C04F8362DB_.wvu.PrintArea" hidden="1">#N/A</definedName>
    <definedName name="Z_26C682FE_C8C6_11D3_924A_00C04F8362DB_.wvu.PrintTitles" hidden="1">#N/A</definedName>
    <definedName name="Z_26C68300_C8C6_11D3_924A_00C04F8362DB_.wvu.PrintArea" hidden="1">#N/A</definedName>
    <definedName name="Z_26C68300_C8C6_11D3_924A_00C04F8362DB_.wvu.PrintTitles" hidden="1">#N/A</definedName>
    <definedName name="Z_26C68302_C8C6_11D3_924A_00C04F8362DB_.wvu.Cols" hidden="1">#N/A</definedName>
    <definedName name="Z_26C68302_C8C6_11D3_924A_00C04F8362DB_.wvu.PrintArea" hidden="1">#N/A</definedName>
    <definedName name="Z_26C68302_C8C6_11D3_924A_00C04F8362DB_.wvu.PrintTitles" hidden="1">#N/A</definedName>
    <definedName name="Z_2932BFD1_9D07_11D3_924A_00C04F8362DB_.wvu.Cols" hidden="1">#N/A</definedName>
    <definedName name="Z_2932BFD1_9D07_11D3_924A_00C04F8362DB_.wvu.PrintArea" hidden="1">#N/A</definedName>
    <definedName name="Z_2932BFD1_9D07_11D3_924A_00C04F8362DB_.wvu.PrintTitles" hidden="1">#N/A</definedName>
    <definedName name="Z_2932BFD2_9D07_11D3_924A_00C04F8362DB_.wvu.Cols" hidden="1">#N/A</definedName>
    <definedName name="Z_2932BFD2_9D07_11D3_924A_00C04F8362DB_.wvu.PrintArea" hidden="1">#N/A</definedName>
    <definedName name="Z_2932BFD2_9D07_11D3_924A_00C04F8362DB_.wvu.PrintTitles" hidden="1">#N/A</definedName>
    <definedName name="Z_2932BFD3_9D07_11D3_924A_00C04F8362DB_.wvu.Cols" hidden="1">#N/A</definedName>
    <definedName name="Z_2932BFD3_9D07_11D3_924A_00C04F8362DB_.wvu.PrintArea" hidden="1">#N/A</definedName>
    <definedName name="Z_2932BFD3_9D07_11D3_924A_00C04F8362DB_.wvu.PrintTitles" hidden="1">#N/A</definedName>
    <definedName name="Z_2932BFD4_9D07_11D3_924A_00C04F8362DB_.wvu.Cols" hidden="1">#N/A</definedName>
    <definedName name="Z_2932BFD4_9D07_11D3_924A_00C04F8362DB_.wvu.PrintArea" hidden="1">#N/A</definedName>
    <definedName name="Z_2932BFD4_9D07_11D3_924A_00C04F8362DB_.wvu.PrintTitles" hidden="1">#N/A</definedName>
    <definedName name="Z_2932BFD5_9D07_11D3_924A_00C04F8362DB_.wvu.PrintArea" hidden="1">#N/A</definedName>
    <definedName name="Z_2932BFD5_9D07_11D3_924A_00C04F8362DB_.wvu.PrintTitles" hidden="1">#N/A</definedName>
    <definedName name="Z_2932BFD6_9D07_11D3_924A_00C04F8362DB_.wvu.Cols" hidden="1">#N/A</definedName>
    <definedName name="Z_2932BFD6_9D07_11D3_924A_00C04F8362DB_.wvu.PrintArea" hidden="1">#N/A</definedName>
    <definedName name="Z_2932BFD6_9D07_11D3_924A_00C04F8362DB_.wvu.PrintTitles" hidden="1">#N/A</definedName>
    <definedName name="Z_2B2483E0_B3A7_11D3_924A_00C04F847978_.wvu.Cols" hidden="1">#N/A</definedName>
    <definedName name="Z_2B2483E0_B3A7_11D3_924A_00C04F847978_.wvu.PrintArea" hidden="1">#N/A</definedName>
    <definedName name="Z_2B2483E0_B3A7_11D3_924A_00C04F847978_.wvu.PrintTitles" hidden="1">#N/A</definedName>
    <definedName name="Z_2B2483E3_B3A7_11D3_924A_00C04F847978_.wvu.Cols" hidden="1">#N/A</definedName>
    <definedName name="Z_2B2483E3_B3A7_11D3_924A_00C04F847978_.wvu.PrintArea" hidden="1">#N/A</definedName>
    <definedName name="Z_2B2483E3_B3A7_11D3_924A_00C04F847978_.wvu.PrintTitles" hidden="1">#N/A</definedName>
    <definedName name="Z_2B2483E6_B3A7_11D3_924A_00C04F847978_.wvu.Cols" hidden="1">#N/A</definedName>
    <definedName name="Z_2B2483E6_B3A7_11D3_924A_00C04F847978_.wvu.PrintArea" hidden="1">#N/A</definedName>
    <definedName name="Z_2B2483E6_B3A7_11D3_924A_00C04F847978_.wvu.PrintTitles" hidden="1">#N/A</definedName>
    <definedName name="Z_2B2483E9_B3A7_11D3_924A_00C04F847978_.wvu.Cols" hidden="1">#N/A</definedName>
    <definedName name="Z_2B2483E9_B3A7_11D3_924A_00C04F847978_.wvu.PrintArea" hidden="1">#N/A</definedName>
    <definedName name="Z_2B2483E9_B3A7_11D3_924A_00C04F847978_.wvu.PrintTitles" hidden="1">#N/A</definedName>
    <definedName name="Z_2B2483EC_B3A7_11D3_924A_00C04F847978_.wvu.PrintArea" hidden="1">#N/A</definedName>
    <definedName name="Z_2B2483EC_B3A7_11D3_924A_00C04F847978_.wvu.PrintTitles" hidden="1">#N/A</definedName>
    <definedName name="Z_2B2483EF_B3A7_11D3_924A_00C04F847978_.wvu.Cols" hidden="1">#N/A</definedName>
    <definedName name="Z_2B2483EF_B3A7_11D3_924A_00C04F847978_.wvu.PrintArea" hidden="1">#N/A</definedName>
    <definedName name="Z_2B2483EF_B3A7_11D3_924A_00C04F847978_.wvu.PrintTitles" hidden="1">#N/A</definedName>
    <definedName name="Z_2FBAB8A5_9CC6_11D3_924A_00C04F8362DB_.wvu.Cols" hidden="1">#N/A</definedName>
    <definedName name="Z_2FBAB8A5_9CC6_11D3_924A_00C04F8362DB_.wvu.PrintArea" hidden="1">#N/A</definedName>
    <definedName name="Z_2FBAB8A5_9CC6_11D3_924A_00C04F8362DB_.wvu.PrintTitles" hidden="1">#N/A</definedName>
    <definedName name="Z_2FBAB8A6_9CC6_11D3_924A_00C04F8362DB_.wvu.Cols" hidden="1">#N/A</definedName>
    <definedName name="Z_2FBAB8A6_9CC6_11D3_924A_00C04F8362DB_.wvu.PrintArea" hidden="1">#N/A</definedName>
    <definedName name="Z_2FBAB8A6_9CC6_11D3_924A_00C04F8362DB_.wvu.PrintTitles" hidden="1">#N/A</definedName>
    <definedName name="Z_2FBAB8A7_9CC6_11D3_924A_00C04F8362DB_.wvu.Cols" hidden="1">#N/A</definedName>
    <definedName name="Z_2FBAB8A7_9CC6_11D3_924A_00C04F8362DB_.wvu.PrintArea" hidden="1">#N/A</definedName>
    <definedName name="Z_2FBAB8A7_9CC6_11D3_924A_00C04F8362DB_.wvu.PrintTitles" hidden="1">#N/A</definedName>
    <definedName name="Z_2FBAB8A8_9CC6_11D3_924A_00C04F8362DB_.wvu.Cols" hidden="1">#N/A</definedName>
    <definedName name="Z_2FBAB8A8_9CC6_11D3_924A_00C04F8362DB_.wvu.PrintArea" hidden="1">#N/A</definedName>
    <definedName name="Z_2FBAB8A8_9CC6_11D3_924A_00C04F8362DB_.wvu.PrintTitles" hidden="1">#N/A</definedName>
    <definedName name="Z_2FBAB8A9_9CC6_11D3_924A_00C04F8362DB_.wvu.PrintArea" hidden="1">#N/A</definedName>
    <definedName name="Z_2FBAB8A9_9CC6_11D3_924A_00C04F8362DB_.wvu.PrintTitles" hidden="1">#N/A</definedName>
    <definedName name="Z_2FBAB8AA_9CC6_11D3_924A_00C04F8362DB_.wvu.Cols" hidden="1">#N/A</definedName>
    <definedName name="Z_2FBAB8AA_9CC6_11D3_924A_00C04F8362DB_.wvu.PrintArea" hidden="1">#N/A</definedName>
    <definedName name="Z_2FBAB8AA_9CC6_11D3_924A_00C04F8362DB_.wvu.PrintTitles" hidden="1">#N/A</definedName>
    <definedName name="Z_2FBAB8E5_9CC6_11D3_924A_00C04F8362DB_.wvu.Cols" hidden="1">#N/A</definedName>
    <definedName name="Z_2FBAB8E5_9CC6_11D3_924A_00C04F8362DB_.wvu.PrintArea" hidden="1">#N/A</definedName>
    <definedName name="Z_2FBAB8E5_9CC6_11D3_924A_00C04F8362DB_.wvu.PrintTitles" hidden="1">#N/A</definedName>
    <definedName name="Z_2FBAB8E6_9CC6_11D3_924A_00C04F8362DB_.wvu.Cols" hidden="1">#N/A</definedName>
    <definedName name="Z_2FBAB8E6_9CC6_11D3_924A_00C04F8362DB_.wvu.PrintArea" hidden="1">#N/A</definedName>
    <definedName name="Z_2FBAB8E6_9CC6_11D3_924A_00C04F8362DB_.wvu.PrintTitles" hidden="1">#N/A</definedName>
    <definedName name="Z_2FBAB8E7_9CC6_11D3_924A_00C04F8362DB_.wvu.Cols" hidden="1">#N/A</definedName>
    <definedName name="Z_2FBAB8E7_9CC6_11D3_924A_00C04F8362DB_.wvu.PrintArea" hidden="1">#N/A</definedName>
    <definedName name="Z_2FBAB8E7_9CC6_11D3_924A_00C04F8362DB_.wvu.PrintTitles" hidden="1">#N/A</definedName>
    <definedName name="Z_2FBAB8E8_9CC6_11D3_924A_00C04F8362DB_.wvu.Cols" hidden="1">#N/A</definedName>
    <definedName name="Z_2FBAB8E8_9CC6_11D3_924A_00C04F8362DB_.wvu.PrintArea" hidden="1">#N/A</definedName>
    <definedName name="Z_2FBAB8E8_9CC6_11D3_924A_00C04F8362DB_.wvu.PrintTitles" hidden="1">#N/A</definedName>
    <definedName name="Z_2FBAB8E9_9CC6_11D3_924A_00C04F8362DB_.wvu.PrintArea" hidden="1">#N/A</definedName>
    <definedName name="Z_2FBAB8E9_9CC6_11D3_924A_00C04F8362DB_.wvu.PrintTitles" hidden="1">#N/A</definedName>
    <definedName name="Z_2FBAB8EA_9CC6_11D3_924A_00C04F8362DB_.wvu.Cols" hidden="1">#N/A</definedName>
    <definedName name="Z_2FBAB8EA_9CC6_11D3_924A_00C04F8362DB_.wvu.PrintArea" hidden="1">#N/A</definedName>
    <definedName name="Z_2FBAB8EA_9CC6_11D3_924A_00C04F8362DB_.wvu.PrintTitles" hidden="1">#N/A</definedName>
    <definedName name="Z_3E38C055_B20A_11D3_924A_00C04F847978_.wvu.Cols" hidden="1">#N/A</definedName>
    <definedName name="Z_3E38C055_B20A_11D3_924A_00C04F847978_.wvu.PrintArea" hidden="1">#N/A</definedName>
    <definedName name="Z_3E38C055_B20A_11D3_924A_00C04F847978_.wvu.PrintTitles" hidden="1">#N/A</definedName>
    <definedName name="Z_3E38C059_B20A_11D3_924A_00C04F847978_.wvu.Cols" hidden="1">#N/A</definedName>
    <definedName name="Z_3E38C059_B20A_11D3_924A_00C04F847978_.wvu.PrintArea" hidden="1">#N/A</definedName>
    <definedName name="Z_3E38C059_B20A_11D3_924A_00C04F847978_.wvu.PrintTitles" hidden="1">#N/A</definedName>
    <definedName name="Z_3E38C05D_B20A_11D3_924A_00C04F847978_.wvu.Cols" hidden="1">#N/A</definedName>
    <definedName name="Z_3E38C05D_B20A_11D3_924A_00C04F847978_.wvu.PrintArea" hidden="1">#N/A</definedName>
    <definedName name="Z_3E38C05D_B20A_11D3_924A_00C04F847978_.wvu.PrintTitles" hidden="1">#N/A</definedName>
    <definedName name="Z_3E38C061_B20A_11D3_924A_00C04F847978_.wvu.Cols" hidden="1">#N/A</definedName>
    <definedName name="Z_3E38C061_B20A_11D3_924A_00C04F847978_.wvu.PrintArea" hidden="1">#N/A</definedName>
    <definedName name="Z_3E38C061_B20A_11D3_924A_00C04F847978_.wvu.PrintTitles" hidden="1">#N/A</definedName>
    <definedName name="Z_3E38C065_B20A_11D3_924A_00C04F847978_.wvu.PrintArea" hidden="1">#N/A</definedName>
    <definedName name="Z_3E38C065_B20A_11D3_924A_00C04F847978_.wvu.PrintTitles" hidden="1">#N/A</definedName>
    <definedName name="Z_3E38C069_B20A_11D3_924A_00C04F847978_.wvu.Cols" hidden="1">#N/A</definedName>
    <definedName name="Z_3E38C069_B20A_11D3_924A_00C04F847978_.wvu.PrintArea" hidden="1">#N/A</definedName>
    <definedName name="Z_3E38C069_B20A_11D3_924A_00C04F847978_.wvu.PrintTitles" hidden="1">#N/A</definedName>
    <definedName name="Z_3F0A9BF6_A128_11D3_924A_00C04F847978_.wvu.Cols" hidden="1">#N/A</definedName>
    <definedName name="Z_3F0A9BF6_A128_11D3_924A_00C04F847978_.wvu.PrintArea" hidden="1">#N/A</definedName>
    <definedName name="Z_3F0A9BF6_A128_11D3_924A_00C04F847978_.wvu.PrintTitles" hidden="1">#N/A</definedName>
    <definedName name="Z_3F0A9BFA_A128_11D3_924A_00C04F847978_.wvu.Cols" hidden="1">#N/A</definedName>
    <definedName name="Z_3F0A9BFA_A128_11D3_924A_00C04F847978_.wvu.PrintArea" hidden="1">#N/A</definedName>
    <definedName name="Z_3F0A9BFA_A128_11D3_924A_00C04F847978_.wvu.PrintTitles" hidden="1">#N/A</definedName>
    <definedName name="Z_3F0A9BFE_A128_11D3_924A_00C04F847978_.wvu.Cols" hidden="1">#N/A</definedName>
    <definedName name="Z_3F0A9BFE_A128_11D3_924A_00C04F847978_.wvu.PrintArea" hidden="1">#N/A</definedName>
    <definedName name="Z_3F0A9BFE_A128_11D3_924A_00C04F847978_.wvu.PrintTitles" hidden="1">#N/A</definedName>
    <definedName name="Z_3F0A9C02_A128_11D3_924A_00C04F847978_.wvu.Cols" hidden="1">#N/A</definedName>
    <definedName name="Z_3F0A9C02_A128_11D3_924A_00C04F847978_.wvu.PrintArea" hidden="1">#N/A</definedName>
    <definedName name="Z_3F0A9C02_A128_11D3_924A_00C04F847978_.wvu.PrintTitles" hidden="1">#N/A</definedName>
    <definedName name="Z_3F0A9C06_A128_11D3_924A_00C04F847978_.wvu.PrintArea" hidden="1">#N/A</definedName>
    <definedName name="Z_3F0A9C06_A128_11D3_924A_00C04F847978_.wvu.PrintTitles" hidden="1">#N/A</definedName>
    <definedName name="Z_3F0A9C0A_A128_11D3_924A_00C04F847978_.wvu.Cols" hidden="1">#N/A</definedName>
    <definedName name="Z_3F0A9C0A_A128_11D3_924A_00C04F847978_.wvu.PrintArea" hidden="1">#N/A</definedName>
    <definedName name="Z_3F0A9C0A_A128_11D3_924A_00C04F847978_.wvu.PrintTitles" hidden="1">#N/A</definedName>
    <definedName name="Z_477746F6_E06E_11D3_A61D_00C04F5765AC_.wvu.Cols" hidden="1">#N/A</definedName>
    <definedName name="Z_477746F6_E06E_11D3_A61D_00C04F5765AC_.wvu.PrintArea" hidden="1">#N/A</definedName>
    <definedName name="Z_477746F6_E06E_11D3_A61D_00C04F5765AC_.wvu.PrintTitles" hidden="1">#N/A</definedName>
    <definedName name="Z_477746F8_E06E_11D3_A61D_00C04F5765AC_.wvu.Cols" hidden="1">#N/A</definedName>
    <definedName name="Z_477746F8_E06E_11D3_A61D_00C04F5765AC_.wvu.PrintArea" hidden="1">#N/A</definedName>
    <definedName name="Z_477746F8_E06E_11D3_A61D_00C04F5765AC_.wvu.PrintTitles" hidden="1">#N/A</definedName>
    <definedName name="Z_477746FA_E06E_11D3_A61D_00C04F5765AC_.wvu.Cols" hidden="1">#N/A</definedName>
    <definedName name="Z_477746FA_E06E_11D3_A61D_00C04F5765AC_.wvu.PrintArea" hidden="1">#N/A</definedName>
    <definedName name="Z_477746FA_E06E_11D3_A61D_00C04F5765AC_.wvu.PrintTitles" hidden="1">#N/A</definedName>
    <definedName name="Z_477746FC_E06E_11D3_A61D_00C04F5765AC_.wvu.Cols" hidden="1">#N/A</definedName>
    <definedName name="Z_477746FC_E06E_11D3_A61D_00C04F5765AC_.wvu.PrintArea" hidden="1">#N/A</definedName>
    <definedName name="Z_477746FC_E06E_11D3_A61D_00C04F5765AC_.wvu.PrintTitles" hidden="1">#N/A</definedName>
    <definedName name="Z_477746FE_E06E_11D3_A61D_00C04F5765AC_.wvu.PrintArea" hidden="1">#N/A</definedName>
    <definedName name="Z_477746FE_E06E_11D3_A61D_00C04F5765AC_.wvu.PrintTitles" hidden="1">#N/A</definedName>
    <definedName name="Z_47774700_E06E_11D3_A61D_00C04F5765AC_.wvu.Cols" hidden="1">#N/A</definedName>
    <definedName name="Z_47774700_E06E_11D3_A61D_00C04F5765AC_.wvu.PrintArea" hidden="1">#N/A</definedName>
    <definedName name="Z_47774700_E06E_11D3_A61D_00C04F5765AC_.wvu.PrintTitles" hidden="1">#N/A</definedName>
    <definedName name="Z_496059DF_DD36_11D3_924A_00C04F8362DB_.wvu.Cols" hidden="1">#N/A</definedName>
    <definedName name="Z_496059DF_DD36_11D3_924A_00C04F8362DB_.wvu.PrintArea" hidden="1">#N/A</definedName>
    <definedName name="Z_496059DF_DD36_11D3_924A_00C04F8362DB_.wvu.PrintTitles" hidden="1">#N/A</definedName>
    <definedName name="Z_496059E1_DD36_11D3_924A_00C04F8362DB_.wvu.Cols" hidden="1">#N/A</definedName>
    <definedName name="Z_496059E1_DD36_11D3_924A_00C04F8362DB_.wvu.PrintArea" hidden="1">#N/A</definedName>
    <definedName name="Z_496059E1_DD36_11D3_924A_00C04F8362DB_.wvu.PrintTitles" hidden="1">#N/A</definedName>
    <definedName name="Z_496059E3_DD36_11D3_924A_00C04F8362DB_.wvu.Cols" hidden="1">#N/A</definedName>
    <definedName name="Z_496059E3_DD36_11D3_924A_00C04F8362DB_.wvu.PrintArea" hidden="1">#N/A</definedName>
    <definedName name="Z_496059E3_DD36_11D3_924A_00C04F8362DB_.wvu.PrintTitles" hidden="1">#N/A</definedName>
    <definedName name="Z_496059E5_DD36_11D3_924A_00C04F8362DB_.wvu.Cols" hidden="1">#N/A</definedName>
    <definedName name="Z_496059E5_DD36_11D3_924A_00C04F8362DB_.wvu.PrintArea" hidden="1">#N/A</definedName>
    <definedName name="Z_496059E5_DD36_11D3_924A_00C04F8362DB_.wvu.PrintTitles" hidden="1">#N/A</definedName>
    <definedName name="Z_496059E7_DD36_11D3_924A_00C04F8362DB_.wvu.PrintArea" hidden="1">#N/A</definedName>
    <definedName name="Z_496059E7_DD36_11D3_924A_00C04F8362DB_.wvu.PrintTitles" hidden="1">#N/A</definedName>
    <definedName name="Z_496059E9_DD36_11D3_924A_00C04F8362DB_.wvu.Cols" hidden="1">#N/A</definedName>
    <definedName name="Z_496059E9_DD36_11D3_924A_00C04F8362DB_.wvu.PrintArea" hidden="1">#N/A</definedName>
    <definedName name="Z_496059E9_DD36_11D3_924A_00C04F8362DB_.wvu.PrintTitles" hidden="1">#N/A</definedName>
    <definedName name="Z_496059FC_DD36_11D3_924A_00C04F8362DB_.wvu.Cols" hidden="1">#N/A</definedName>
    <definedName name="Z_496059FC_DD36_11D3_924A_00C04F8362DB_.wvu.PrintArea" hidden="1">#N/A</definedName>
    <definedName name="Z_496059FC_DD36_11D3_924A_00C04F8362DB_.wvu.PrintTitles" hidden="1">#N/A</definedName>
    <definedName name="Z_496059FE_DD36_11D3_924A_00C04F8362DB_.wvu.Cols" hidden="1">#N/A</definedName>
    <definedName name="Z_496059FE_DD36_11D3_924A_00C04F8362DB_.wvu.PrintArea" hidden="1">#N/A</definedName>
    <definedName name="Z_496059FE_DD36_11D3_924A_00C04F8362DB_.wvu.PrintTitles" hidden="1">#N/A</definedName>
    <definedName name="Z_49605A00_DD36_11D3_924A_00C04F8362DB_.wvu.Cols" hidden="1">#N/A</definedName>
    <definedName name="Z_49605A00_DD36_11D3_924A_00C04F8362DB_.wvu.PrintArea" hidden="1">#N/A</definedName>
    <definedName name="Z_49605A00_DD36_11D3_924A_00C04F8362DB_.wvu.PrintTitles" hidden="1">#N/A</definedName>
    <definedName name="Z_49605A02_DD36_11D3_924A_00C04F8362DB_.wvu.Cols" hidden="1">#N/A</definedName>
    <definedName name="Z_49605A02_DD36_11D3_924A_00C04F8362DB_.wvu.PrintArea" hidden="1">#N/A</definedName>
    <definedName name="Z_49605A02_DD36_11D3_924A_00C04F8362DB_.wvu.PrintTitles" hidden="1">#N/A</definedName>
    <definedName name="Z_49605A04_DD36_11D3_924A_00C04F8362DB_.wvu.PrintArea" hidden="1">#N/A</definedName>
    <definedName name="Z_49605A04_DD36_11D3_924A_00C04F8362DB_.wvu.PrintTitles" hidden="1">#N/A</definedName>
    <definedName name="Z_49605A06_DD36_11D3_924A_00C04F8362DB_.wvu.Cols" hidden="1">#N/A</definedName>
    <definedName name="Z_49605A06_DD36_11D3_924A_00C04F8362DB_.wvu.PrintArea" hidden="1">#N/A</definedName>
    <definedName name="Z_49605A06_DD36_11D3_924A_00C04F8362DB_.wvu.PrintTitles" hidden="1">#N/A</definedName>
    <definedName name="Z_49605A17_DD36_11D3_924A_00C04F8362DB_.wvu.Cols" hidden="1">#N/A</definedName>
    <definedName name="Z_49605A17_DD36_11D3_924A_00C04F8362DB_.wvu.PrintArea" hidden="1">#N/A</definedName>
    <definedName name="Z_49605A17_DD36_11D3_924A_00C04F8362DB_.wvu.PrintTitles" hidden="1">#N/A</definedName>
    <definedName name="Z_49605A19_DD36_11D3_924A_00C04F8362DB_.wvu.Cols" hidden="1">#N/A</definedName>
    <definedName name="Z_49605A19_DD36_11D3_924A_00C04F8362DB_.wvu.PrintArea" hidden="1">#N/A</definedName>
    <definedName name="Z_49605A19_DD36_11D3_924A_00C04F8362DB_.wvu.PrintTitles" hidden="1">#N/A</definedName>
    <definedName name="Z_49605A1B_DD36_11D3_924A_00C04F8362DB_.wvu.Cols" hidden="1">#N/A</definedName>
    <definedName name="Z_49605A1B_DD36_11D3_924A_00C04F8362DB_.wvu.PrintArea" hidden="1">#N/A</definedName>
    <definedName name="Z_49605A1B_DD36_11D3_924A_00C04F8362DB_.wvu.PrintTitles" hidden="1">#N/A</definedName>
    <definedName name="Z_49605A1D_DD36_11D3_924A_00C04F8362DB_.wvu.Cols" hidden="1">#N/A</definedName>
    <definedName name="Z_49605A1D_DD36_11D3_924A_00C04F8362DB_.wvu.PrintArea" hidden="1">#N/A</definedName>
    <definedName name="Z_49605A1D_DD36_11D3_924A_00C04F8362DB_.wvu.PrintTitles" hidden="1">#N/A</definedName>
    <definedName name="Z_49605A1F_DD36_11D3_924A_00C04F8362DB_.wvu.PrintArea" hidden="1">#N/A</definedName>
    <definedName name="Z_49605A1F_DD36_11D3_924A_00C04F8362DB_.wvu.PrintTitles" hidden="1">#N/A</definedName>
    <definedName name="Z_49605A21_DD36_11D3_924A_00C04F8362DB_.wvu.Cols" hidden="1">#N/A</definedName>
    <definedName name="Z_49605A21_DD36_11D3_924A_00C04F8362DB_.wvu.PrintArea" hidden="1">#N/A</definedName>
    <definedName name="Z_49605A21_DD36_11D3_924A_00C04F8362DB_.wvu.PrintTitles" hidden="1">#N/A</definedName>
    <definedName name="Z_4E8581B6_D95B_11D3_924A_00C04F847978_.wvu.Cols" hidden="1">#N/A</definedName>
    <definedName name="Z_4E8581B6_D95B_11D3_924A_00C04F847978_.wvu.PrintArea" hidden="1">#N/A</definedName>
    <definedName name="Z_4E8581B6_D95B_11D3_924A_00C04F847978_.wvu.PrintTitles" hidden="1">#N/A</definedName>
    <definedName name="Z_4E8581B8_D95B_11D3_924A_00C04F847978_.wvu.Cols" hidden="1">#N/A</definedName>
    <definedName name="Z_4E8581B8_D95B_11D3_924A_00C04F847978_.wvu.PrintArea" hidden="1">#N/A</definedName>
    <definedName name="Z_4E8581B8_D95B_11D3_924A_00C04F847978_.wvu.PrintTitles" hidden="1">#N/A</definedName>
    <definedName name="Z_4E8581BA_D95B_11D3_924A_00C04F847978_.wvu.Cols" hidden="1">#N/A</definedName>
    <definedName name="Z_4E8581BA_D95B_11D3_924A_00C04F847978_.wvu.PrintArea" hidden="1">#N/A</definedName>
    <definedName name="Z_4E8581BA_D95B_11D3_924A_00C04F847978_.wvu.PrintTitles" hidden="1">#N/A</definedName>
    <definedName name="Z_4E8581BC_D95B_11D3_924A_00C04F847978_.wvu.Cols" hidden="1">#N/A</definedName>
    <definedName name="Z_4E8581BC_D95B_11D3_924A_00C04F847978_.wvu.PrintArea" hidden="1">#N/A</definedName>
    <definedName name="Z_4E8581BC_D95B_11D3_924A_00C04F847978_.wvu.PrintTitles" hidden="1">#N/A</definedName>
    <definedName name="Z_4E8581BE_D95B_11D3_924A_00C04F847978_.wvu.PrintArea" hidden="1">#N/A</definedName>
    <definedName name="Z_4E8581BE_D95B_11D3_924A_00C04F847978_.wvu.PrintTitles" hidden="1">#N/A</definedName>
    <definedName name="Z_4E8581C0_D95B_11D3_924A_00C04F847978_.wvu.Cols" hidden="1">#N/A</definedName>
    <definedName name="Z_4E8581C0_D95B_11D3_924A_00C04F847978_.wvu.PrintArea" hidden="1">#N/A</definedName>
    <definedName name="Z_4E8581C0_D95B_11D3_924A_00C04F847978_.wvu.PrintTitles" hidden="1">#N/A</definedName>
    <definedName name="Z_4E8581D1_D95B_11D3_924A_00C04F847978_.wvu.Cols" hidden="1">#N/A</definedName>
    <definedName name="Z_4E8581D1_D95B_11D3_924A_00C04F847978_.wvu.PrintArea" hidden="1">#N/A</definedName>
    <definedName name="Z_4E8581D1_D95B_11D3_924A_00C04F847978_.wvu.PrintTitles" hidden="1">#N/A</definedName>
    <definedName name="Z_4E8581D3_D95B_11D3_924A_00C04F847978_.wvu.Cols" hidden="1">#N/A</definedName>
    <definedName name="Z_4E8581D3_D95B_11D3_924A_00C04F847978_.wvu.PrintArea" hidden="1">#N/A</definedName>
    <definedName name="Z_4E8581D3_D95B_11D3_924A_00C04F847978_.wvu.PrintTitles" hidden="1">#N/A</definedName>
    <definedName name="Z_4E8581D5_D95B_11D3_924A_00C04F847978_.wvu.Cols" hidden="1">#N/A</definedName>
    <definedName name="Z_4E8581D5_D95B_11D3_924A_00C04F847978_.wvu.PrintArea" hidden="1">#N/A</definedName>
    <definedName name="Z_4E8581D5_D95B_11D3_924A_00C04F847978_.wvu.PrintTitles" hidden="1">#N/A</definedName>
    <definedName name="Z_4E8581D7_D95B_11D3_924A_00C04F847978_.wvu.Cols" hidden="1">#N/A</definedName>
    <definedName name="Z_4E8581D7_D95B_11D3_924A_00C04F847978_.wvu.PrintArea" hidden="1">#N/A</definedName>
    <definedName name="Z_4E8581D7_D95B_11D3_924A_00C04F847978_.wvu.PrintTitles" hidden="1">#N/A</definedName>
    <definedName name="Z_4E8581D9_D95B_11D3_924A_00C04F847978_.wvu.PrintArea" hidden="1">#N/A</definedName>
    <definedName name="Z_4E8581D9_D95B_11D3_924A_00C04F847978_.wvu.PrintTitles" hidden="1">#N/A</definedName>
    <definedName name="Z_4E8581DB_D95B_11D3_924A_00C04F847978_.wvu.Cols" hidden="1">#N/A</definedName>
    <definedName name="Z_4E8581DB_D95B_11D3_924A_00C04F847978_.wvu.PrintArea" hidden="1">#N/A</definedName>
    <definedName name="Z_4E8581DB_D95B_11D3_924A_00C04F847978_.wvu.PrintTitles" hidden="1">#N/A</definedName>
    <definedName name="Z_50F66E79_9F4A_11D3_924A_00C04F847978_.wvu.Cols" hidden="1">#N/A</definedName>
    <definedName name="Z_50F66E79_9F4A_11D3_924A_00C04F847978_.wvu.PrintArea" hidden="1">#N/A</definedName>
    <definedName name="Z_50F66E79_9F4A_11D3_924A_00C04F847978_.wvu.PrintTitles" hidden="1">#N/A</definedName>
    <definedName name="Z_50F66E7D_9F4A_11D3_924A_00C04F847978_.wvu.Cols" hidden="1">#N/A</definedName>
    <definedName name="Z_50F66E7D_9F4A_11D3_924A_00C04F847978_.wvu.PrintArea" hidden="1">#N/A</definedName>
    <definedName name="Z_50F66E7D_9F4A_11D3_924A_00C04F847978_.wvu.PrintTitles" hidden="1">#N/A</definedName>
    <definedName name="Z_50F66E81_9F4A_11D3_924A_00C04F847978_.wvu.Cols" hidden="1">#N/A</definedName>
    <definedName name="Z_50F66E81_9F4A_11D3_924A_00C04F847978_.wvu.PrintArea" hidden="1">#N/A</definedName>
    <definedName name="Z_50F66E81_9F4A_11D3_924A_00C04F847978_.wvu.PrintTitles" hidden="1">#N/A</definedName>
    <definedName name="Z_50F66E85_9F4A_11D3_924A_00C04F847978_.wvu.Cols" hidden="1">#N/A</definedName>
    <definedName name="Z_50F66E85_9F4A_11D3_924A_00C04F847978_.wvu.PrintArea" hidden="1">#N/A</definedName>
    <definedName name="Z_50F66E85_9F4A_11D3_924A_00C04F847978_.wvu.PrintTitles" hidden="1">#N/A</definedName>
    <definedName name="Z_50F66E89_9F4A_11D3_924A_00C04F847978_.wvu.PrintArea" hidden="1">#N/A</definedName>
    <definedName name="Z_50F66E89_9F4A_11D3_924A_00C04F847978_.wvu.PrintTitles" hidden="1">#N/A</definedName>
    <definedName name="Z_50F66E8D_9F4A_11D3_924A_00C04F847978_.wvu.Cols" hidden="1">#N/A</definedName>
    <definedName name="Z_50F66E8D_9F4A_11D3_924A_00C04F847978_.wvu.PrintArea" hidden="1">#N/A</definedName>
    <definedName name="Z_50F66E8D_9F4A_11D3_924A_00C04F847978_.wvu.PrintTitles" hidden="1">#N/A</definedName>
    <definedName name="Z_50F66EA0_9F4A_11D3_924A_00C04F847978_.wvu.Cols" hidden="1">#N/A</definedName>
    <definedName name="Z_50F66EA0_9F4A_11D3_924A_00C04F847978_.wvu.PrintArea" hidden="1">#N/A</definedName>
    <definedName name="Z_50F66EA0_9F4A_11D3_924A_00C04F847978_.wvu.PrintTitles" hidden="1">#N/A</definedName>
    <definedName name="Z_50F66EA4_9F4A_11D3_924A_00C04F847978_.wvu.Cols" hidden="1">#N/A</definedName>
    <definedName name="Z_50F66EA4_9F4A_11D3_924A_00C04F847978_.wvu.PrintArea" hidden="1">#N/A</definedName>
    <definedName name="Z_50F66EA4_9F4A_11D3_924A_00C04F847978_.wvu.PrintTitles" hidden="1">#N/A</definedName>
    <definedName name="Z_50F66EA8_9F4A_11D3_924A_00C04F847978_.wvu.Cols" hidden="1">#N/A</definedName>
    <definedName name="Z_50F66EA8_9F4A_11D3_924A_00C04F847978_.wvu.PrintArea" hidden="1">#N/A</definedName>
    <definedName name="Z_50F66EA8_9F4A_11D3_924A_00C04F847978_.wvu.PrintTitles" hidden="1">#N/A</definedName>
    <definedName name="Z_50F66EAC_9F4A_11D3_924A_00C04F847978_.wvu.Cols" hidden="1">#N/A</definedName>
    <definedName name="Z_50F66EAC_9F4A_11D3_924A_00C04F847978_.wvu.PrintArea" hidden="1">#N/A</definedName>
    <definedName name="Z_50F66EAC_9F4A_11D3_924A_00C04F847978_.wvu.PrintTitles" hidden="1">#N/A</definedName>
    <definedName name="Z_50F66EB0_9F4A_11D3_924A_00C04F847978_.wvu.PrintArea" hidden="1">#N/A</definedName>
    <definedName name="Z_50F66EB0_9F4A_11D3_924A_00C04F847978_.wvu.PrintTitles" hidden="1">#N/A</definedName>
    <definedName name="Z_50F66EB4_9F4A_11D3_924A_00C04F847978_.wvu.Cols" hidden="1">#N/A</definedName>
    <definedName name="Z_50F66EB4_9F4A_11D3_924A_00C04F847978_.wvu.PrintArea" hidden="1">#N/A</definedName>
    <definedName name="Z_50F66EB4_9F4A_11D3_924A_00C04F847978_.wvu.PrintTitles" hidden="1">#N/A</definedName>
    <definedName name="Z_53A0D556_DD39_11D3_924A_00C04F847978_.wvu.Cols" hidden="1">#N/A</definedName>
    <definedName name="Z_53A0D556_DD39_11D3_924A_00C04F847978_.wvu.PrintArea" hidden="1">#N/A</definedName>
    <definedName name="Z_53A0D556_DD39_11D3_924A_00C04F847978_.wvu.PrintTitles" hidden="1">#N/A</definedName>
    <definedName name="Z_53A0D558_DD39_11D3_924A_00C04F847978_.wvu.Cols" hidden="1">#N/A</definedName>
    <definedName name="Z_53A0D558_DD39_11D3_924A_00C04F847978_.wvu.PrintArea" hidden="1">#N/A</definedName>
    <definedName name="Z_53A0D558_DD39_11D3_924A_00C04F847978_.wvu.PrintTitles" hidden="1">#N/A</definedName>
    <definedName name="Z_53A0D55A_DD39_11D3_924A_00C04F847978_.wvu.Cols" hidden="1">#N/A</definedName>
    <definedName name="Z_53A0D55A_DD39_11D3_924A_00C04F847978_.wvu.PrintArea" hidden="1">#N/A</definedName>
    <definedName name="Z_53A0D55A_DD39_11D3_924A_00C04F847978_.wvu.PrintTitles" hidden="1">#N/A</definedName>
    <definedName name="Z_53A0D55C_DD39_11D3_924A_00C04F847978_.wvu.Cols" hidden="1">#N/A</definedName>
    <definedName name="Z_53A0D55C_DD39_11D3_924A_00C04F847978_.wvu.PrintArea" hidden="1">#N/A</definedName>
    <definedName name="Z_53A0D55C_DD39_11D3_924A_00C04F847978_.wvu.PrintTitles" hidden="1">#N/A</definedName>
    <definedName name="Z_53A0D55E_DD39_11D3_924A_00C04F847978_.wvu.PrintArea" hidden="1">#N/A</definedName>
    <definedName name="Z_53A0D55E_DD39_11D3_924A_00C04F847978_.wvu.PrintTitles" hidden="1">#N/A</definedName>
    <definedName name="Z_53A0D560_DD39_11D3_924A_00C04F847978_.wvu.Cols" hidden="1">#N/A</definedName>
    <definedName name="Z_53A0D560_DD39_11D3_924A_00C04F847978_.wvu.PrintArea" hidden="1">#N/A</definedName>
    <definedName name="Z_53A0D560_DD39_11D3_924A_00C04F847978_.wvu.PrintTitles" hidden="1">#N/A</definedName>
    <definedName name="Z_53A0D573_DD39_11D3_924A_00C04F847978_.wvu.Cols" hidden="1">#N/A</definedName>
    <definedName name="Z_53A0D573_DD39_11D3_924A_00C04F847978_.wvu.PrintArea" hidden="1">#N/A</definedName>
    <definedName name="Z_53A0D573_DD39_11D3_924A_00C04F847978_.wvu.PrintTitles" hidden="1">#N/A</definedName>
    <definedName name="Z_53A0D575_DD39_11D3_924A_00C04F847978_.wvu.Cols" hidden="1">#N/A</definedName>
    <definedName name="Z_53A0D575_DD39_11D3_924A_00C04F847978_.wvu.PrintArea" hidden="1">#N/A</definedName>
    <definedName name="Z_53A0D575_DD39_11D3_924A_00C04F847978_.wvu.PrintTitles" hidden="1">#N/A</definedName>
    <definedName name="Z_53A0D577_DD39_11D3_924A_00C04F847978_.wvu.Cols" hidden="1">#N/A</definedName>
    <definedName name="Z_53A0D577_DD39_11D3_924A_00C04F847978_.wvu.PrintArea" hidden="1">#N/A</definedName>
    <definedName name="Z_53A0D577_DD39_11D3_924A_00C04F847978_.wvu.PrintTitles" hidden="1">#N/A</definedName>
    <definedName name="Z_53A0D579_DD39_11D3_924A_00C04F847978_.wvu.Cols" hidden="1">#N/A</definedName>
    <definedName name="Z_53A0D579_DD39_11D3_924A_00C04F847978_.wvu.PrintArea" hidden="1">#N/A</definedName>
    <definedName name="Z_53A0D579_DD39_11D3_924A_00C04F847978_.wvu.PrintTitles" hidden="1">#N/A</definedName>
    <definedName name="Z_53A0D57B_DD39_11D3_924A_00C04F847978_.wvu.PrintArea" hidden="1">#N/A</definedName>
    <definedName name="Z_53A0D57B_DD39_11D3_924A_00C04F847978_.wvu.PrintTitles" hidden="1">#N/A</definedName>
    <definedName name="Z_53A0D57D_DD39_11D3_924A_00C04F847978_.wvu.Cols" hidden="1">#N/A</definedName>
    <definedName name="Z_53A0D57D_DD39_11D3_924A_00C04F847978_.wvu.PrintArea" hidden="1">#N/A</definedName>
    <definedName name="Z_53A0D57D_DD39_11D3_924A_00C04F847978_.wvu.PrintTitles" hidden="1">#N/A</definedName>
    <definedName name="Z_5C122BC4_A264_11D3_924A_00C04F8362DB_.wvu.Cols" hidden="1">#N/A</definedName>
    <definedName name="Z_5C122BC4_A264_11D3_924A_00C04F8362DB_.wvu.PrintArea" hidden="1">#N/A</definedName>
    <definedName name="Z_5C122BC4_A264_11D3_924A_00C04F8362DB_.wvu.PrintTitles" hidden="1">#N/A</definedName>
    <definedName name="Z_5C122BC8_A264_11D3_924A_00C04F8362DB_.wvu.Cols" hidden="1">#N/A</definedName>
    <definedName name="Z_5C122BC8_A264_11D3_924A_00C04F8362DB_.wvu.PrintArea" hidden="1">#N/A</definedName>
    <definedName name="Z_5C122BC8_A264_11D3_924A_00C04F8362DB_.wvu.PrintTitles" hidden="1">#N/A</definedName>
    <definedName name="Z_5C122BCC_A264_11D3_924A_00C04F8362DB_.wvu.Cols" hidden="1">#N/A</definedName>
    <definedName name="Z_5C122BCC_A264_11D3_924A_00C04F8362DB_.wvu.PrintArea" hidden="1">#N/A</definedName>
    <definedName name="Z_5C122BCC_A264_11D3_924A_00C04F8362DB_.wvu.PrintTitles" hidden="1">#N/A</definedName>
    <definedName name="Z_5C122BD0_A264_11D3_924A_00C04F8362DB_.wvu.Cols" hidden="1">#N/A</definedName>
    <definedName name="Z_5C122BD0_A264_11D3_924A_00C04F8362DB_.wvu.PrintArea" hidden="1">#N/A</definedName>
    <definedName name="Z_5C122BD0_A264_11D3_924A_00C04F8362DB_.wvu.PrintTitles" hidden="1">#N/A</definedName>
    <definedName name="Z_5C122BD4_A264_11D3_924A_00C04F8362DB_.wvu.PrintArea" hidden="1">#N/A</definedName>
    <definedName name="Z_5C122BD4_A264_11D3_924A_00C04F8362DB_.wvu.PrintTitles" hidden="1">#N/A</definedName>
    <definedName name="Z_5C122BD8_A264_11D3_924A_00C04F8362DB_.wvu.Cols" hidden="1">#N/A</definedName>
    <definedName name="Z_5C122BD8_A264_11D3_924A_00C04F8362DB_.wvu.PrintArea" hidden="1">#N/A</definedName>
    <definedName name="Z_5C122BD8_A264_11D3_924A_00C04F8362DB_.wvu.PrintTitles" hidden="1">#N/A</definedName>
    <definedName name="Z_65637067_96E1_11D3_8424_50A657C10000_.wvu.Cols" hidden="1">#N/A</definedName>
    <definedName name="Z_65637067_96E1_11D3_8424_50A657C10000_.wvu.PrintArea" hidden="1">#N/A</definedName>
    <definedName name="Z_65637067_96E1_11D3_8424_50A657C10000_.wvu.PrintTitles" hidden="1">#N/A</definedName>
    <definedName name="Z_65637068_96E1_11D3_8424_50A657C10000_.wvu.Cols" hidden="1">#N/A</definedName>
    <definedName name="Z_65637068_96E1_11D3_8424_50A657C10000_.wvu.PrintArea" hidden="1">#N/A</definedName>
    <definedName name="Z_65637068_96E1_11D3_8424_50A657C10000_.wvu.PrintTitles" hidden="1">#N/A</definedName>
    <definedName name="Z_65637069_96E1_11D3_8424_50A657C10000_.wvu.Cols" hidden="1">#N/A</definedName>
    <definedName name="Z_65637069_96E1_11D3_8424_50A657C10000_.wvu.PrintArea" hidden="1">#N/A</definedName>
    <definedName name="Z_65637069_96E1_11D3_8424_50A657C10000_.wvu.PrintTitles" hidden="1">#N/A</definedName>
    <definedName name="Z_6563706A_96E1_11D3_8424_50A657C10000_.wvu.Cols" hidden="1">#N/A</definedName>
    <definedName name="Z_6563706A_96E1_11D3_8424_50A657C10000_.wvu.PrintArea" hidden="1">#N/A</definedName>
    <definedName name="Z_6563706A_96E1_11D3_8424_50A657C10000_.wvu.PrintTitles" hidden="1">#N/A</definedName>
    <definedName name="Z_6563706B_96E1_11D3_8424_50A657C10000_.wvu.PrintArea" hidden="1">#N/A</definedName>
    <definedName name="Z_6563706B_96E1_11D3_8424_50A657C10000_.wvu.PrintTitles" hidden="1">#N/A</definedName>
    <definedName name="Z_6563706C_96E1_11D3_8424_50A657C10000_.wvu.Cols" hidden="1">#N/A</definedName>
    <definedName name="Z_6563706C_96E1_11D3_8424_50A657C10000_.wvu.PrintArea" hidden="1">#N/A</definedName>
    <definedName name="Z_6563706C_96E1_11D3_8424_50A657C10000_.wvu.PrintTitles" hidden="1">#N/A</definedName>
    <definedName name="Z_65DC7D85_9854_11D3_924A_00C04F847978_.wvu.Cols" hidden="1">#N/A</definedName>
    <definedName name="Z_65DC7D85_9854_11D3_924A_00C04F847978_.wvu.PrintArea" hidden="1">#N/A</definedName>
    <definedName name="Z_65DC7D85_9854_11D3_924A_00C04F847978_.wvu.PrintTitles" hidden="1">#N/A</definedName>
    <definedName name="Z_65DC7D87_9854_11D3_924A_00C04F847978_.wvu.Cols" hidden="1">#N/A</definedName>
    <definedName name="Z_65DC7D87_9854_11D3_924A_00C04F847978_.wvu.PrintArea" hidden="1">#N/A</definedName>
    <definedName name="Z_65DC7D87_9854_11D3_924A_00C04F847978_.wvu.PrintTitles" hidden="1">#N/A</definedName>
    <definedName name="Z_65DC7D89_9854_11D3_924A_00C04F847978_.wvu.Cols" hidden="1">#N/A</definedName>
    <definedName name="Z_65DC7D89_9854_11D3_924A_00C04F847978_.wvu.PrintArea" hidden="1">#N/A</definedName>
    <definedName name="Z_65DC7D89_9854_11D3_924A_00C04F847978_.wvu.PrintTitles" hidden="1">#N/A</definedName>
    <definedName name="Z_65DC7D8B_9854_11D3_924A_00C04F847978_.wvu.Cols" hidden="1">#N/A</definedName>
    <definedName name="Z_65DC7D8B_9854_11D3_924A_00C04F847978_.wvu.PrintArea" hidden="1">#N/A</definedName>
    <definedName name="Z_65DC7D8B_9854_11D3_924A_00C04F847978_.wvu.PrintTitles" hidden="1">#N/A</definedName>
    <definedName name="Z_65DC7D8D_9854_11D3_924A_00C04F847978_.wvu.PrintArea" hidden="1">#N/A</definedName>
    <definedName name="Z_65DC7D8D_9854_11D3_924A_00C04F847978_.wvu.PrintTitles" hidden="1">#N/A</definedName>
    <definedName name="Z_65DC7D8F_9854_11D3_924A_00C04F847978_.wvu.Cols" hidden="1">#N/A</definedName>
    <definedName name="Z_65DC7D8F_9854_11D3_924A_00C04F847978_.wvu.PrintArea" hidden="1">#N/A</definedName>
    <definedName name="Z_65DC7D8F_9854_11D3_924A_00C04F847978_.wvu.PrintTitles" hidden="1">#N/A</definedName>
    <definedName name="Z_6CFDE55A_9D1C_11D3_924A_00C04F8362DB_.wvu.Cols" hidden="1">#N/A</definedName>
    <definedName name="Z_6CFDE55A_9D1C_11D3_924A_00C04F8362DB_.wvu.PrintArea" hidden="1">#N/A</definedName>
    <definedName name="Z_6CFDE55A_9D1C_11D3_924A_00C04F8362DB_.wvu.PrintTitles" hidden="1">#N/A</definedName>
    <definedName name="Z_6CFDE55B_9D1C_11D3_924A_00C04F8362DB_.wvu.Cols" hidden="1">#N/A</definedName>
    <definedName name="Z_6CFDE55B_9D1C_11D3_924A_00C04F8362DB_.wvu.PrintArea" hidden="1">#N/A</definedName>
    <definedName name="Z_6CFDE55B_9D1C_11D3_924A_00C04F8362DB_.wvu.PrintTitles" hidden="1">#N/A</definedName>
    <definedName name="Z_6CFDE55C_9D1C_11D3_924A_00C04F8362DB_.wvu.Cols" hidden="1">#N/A</definedName>
    <definedName name="Z_6CFDE55C_9D1C_11D3_924A_00C04F8362DB_.wvu.PrintArea" hidden="1">#N/A</definedName>
    <definedName name="Z_6CFDE55C_9D1C_11D3_924A_00C04F8362DB_.wvu.PrintTitles" hidden="1">#N/A</definedName>
    <definedName name="Z_6CFDE55D_9D1C_11D3_924A_00C04F8362DB_.wvu.Cols" hidden="1">#N/A</definedName>
    <definedName name="Z_6CFDE55D_9D1C_11D3_924A_00C04F8362DB_.wvu.PrintArea" hidden="1">#N/A</definedName>
    <definedName name="Z_6CFDE55D_9D1C_11D3_924A_00C04F8362DB_.wvu.PrintTitles" hidden="1">#N/A</definedName>
    <definedName name="Z_6CFDE55E_9D1C_11D3_924A_00C04F8362DB_.wvu.PrintArea" hidden="1">#N/A</definedName>
    <definedName name="Z_6CFDE55E_9D1C_11D3_924A_00C04F8362DB_.wvu.PrintTitles" hidden="1">#N/A</definedName>
    <definedName name="Z_6CFDE55F_9D1C_11D3_924A_00C04F8362DB_.wvu.Cols" hidden="1">#N/A</definedName>
    <definedName name="Z_6CFDE55F_9D1C_11D3_924A_00C04F8362DB_.wvu.PrintArea" hidden="1">#N/A</definedName>
    <definedName name="Z_6CFDE55F_9D1C_11D3_924A_00C04F8362DB_.wvu.PrintTitles" hidden="1">#N/A</definedName>
    <definedName name="Z_6F046DCA_B390_11D3_924A_00C04F8362DB_.wvu.Cols" hidden="1">#N/A</definedName>
    <definedName name="Z_6F046DCA_B390_11D3_924A_00C04F8362DB_.wvu.PrintArea" hidden="1">#N/A</definedName>
    <definedName name="Z_6F046DCA_B390_11D3_924A_00C04F8362DB_.wvu.PrintTitles" hidden="1">#N/A</definedName>
    <definedName name="Z_6F046DCD_B390_11D3_924A_00C04F8362DB_.wvu.Cols" hidden="1">#N/A</definedName>
    <definedName name="Z_6F046DCD_B390_11D3_924A_00C04F8362DB_.wvu.PrintArea" hidden="1">#N/A</definedName>
    <definedName name="Z_6F046DCD_B390_11D3_924A_00C04F8362DB_.wvu.PrintTitles" hidden="1">#N/A</definedName>
    <definedName name="Z_6F046DD0_B390_11D3_924A_00C04F8362DB_.wvu.Cols" hidden="1">#N/A</definedName>
    <definedName name="Z_6F046DD0_B390_11D3_924A_00C04F8362DB_.wvu.PrintArea" hidden="1">#N/A</definedName>
    <definedName name="Z_6F046DD0_B390_11D3_924A_00C04F8362DB_.wvu.PrintTitles" hidden="1">#N/A</definedName>
    <definedName name="Z_6F046DD3_B390_11D3_924A_00C04F8362DB_.wvu.Cols" hidden="1">#N/A</definedName>
    <definedName name="Z_6F046DD3_B390_11D3_924A_00C04F8362DB_.wvu.PrintArea" hidden="1">#N/A</definedName>
    <definedName name="Z_6F046DD3_B390_11D3_924A_00C04F8362DB_.wvu.PrintTitles" hidden="1">#N/A</definedName>
    <definedName name="Z_6F046DD6_B390_11D3_924A_00C04F8362DB_.wvu.PrintArea" hidden="1">#N/A</definedName>
    <definedName name="Z_6F046DD6_B390_11D3_924A_00C04F8362DB_.wvu.PrintTitles" hidden="1">#N/A</definedName>
    <definedName name="Z_6F046DD9_B390_11D3_924A_00C04F8362DB_.wvu.Cols" hidden="1">#N/A</definedName>
    <definedName name="Z_6F046DD9_B390_11D3_924A_00C04F8362DB_.wvu.PrintArea" hidden="1">#N/A</definedName>
    <definedName name="Z_6F046DD9_B390_11D3_924A_00C04F8362DB_.wvu.PrintTitles" hidden="1">#N/A</definedName>
    <definedName name="Z_703E7245_B79F_11D3_924A_00C04F8362DB_.wvu.Cols" hidden="1">#N/A</definedName>
    <definedName name="Z_703E7245_B79F_11D3_924A_00C04F8362DB_.wvu.PrintArea" hidden="1">#N/A</definedName>
    <definedName name="Z_703E7245_B79F_11D3_924A_00C04F8362DB_.wvu.PrintTitles" hidden="1">#N/A</definedName>
    <definedName name="Z_703E7248_B79F_11D3_924A_00C04F8362DB_.wvu.Cols" hidden="1">#N/A</definedName>
    <definedName name="Z_703E7248_B79F_11D3_924A_00C04F8362DB_.wvu.PrintArea" hidden="1">#N/A</definedName>
    <definedName name="Z_703E7248_B79F_11D3_924A_00C04F8362DB_.wvu.PrintTitles" hidden="1">#N/A</definedName>
    <definedName name="Z_703E724B_B79F_11D3_924A_00C04F8362DB_.wvu.Cols" hidden="1">#N/A</definedName>
    <definedName name="Z_703E724B_B79F_11D3_924A_00C04F8362DB_.wvu.PrintArea" hidden="1">#N/A</definedName>
    <definedName name="Z_703E724B_B79F_11D3_924A_00C04F8362DB_.wvu.PrintTitles" hidden="1">#N/A</definedName>
    <definedName name="Z_703E724E_B79F_11D3_924A_00C04F8362DB_.wvu.Cols" hidden="1">#N/A</definedName>
    <definedName name="Z_703E724E_B79F_11D3_924A_00C04F8362DB_.wvu.PrintArea" hidden="1">#N/A</definedName>
    <definedName name="Z_703E724E_B79F_11D3_924A_00C04F8362DB_.wvu.PrintTitles" hidden="1">#N/A</definedName>
    <definedName name="Z_703E7251_B79F_11D3_924A_00C04F8362DB_.wvu.PrintArea" hidden="1">#N/A</definedName>
    <definedName name="Z_703E7251_B79F_11D3_924A_00C04F8362DB_.wvu.PrintTitles" hidden="1">#N/A</definedName>
    <definedName name="Z_703E7254_B79F_11D3_924A_00C04F8362DB_.wvu.Cols" hidden="1">#N/A</definedName>
    <definedName name="Z_703E7254_B79F_11D3_924A_00C04F8362DB_.wvu.PrintArea" hidden="1">#N/A</definedName>
    <definedName name="Z_703E7254_B79F_11D3_924A_00C04F8362DB_.wvu.PrintTitles" hidden="1">#N/A</definedName>
    <definedName name="Z_703E7270_B79F_11D3_924A_00C04F8362DB_.wvu.Cols" hidden="1">#N/A</definedName>
    <definedName name="Z_703E7270_B79F_11D3_924A_00C04F8362DB_.wvu.PrintArea" hidden="1">#N/A</definedName>
    <definedName name="Z_703E7270_B79F_11D3_924A_00C04F8362DB_.wvu.PrintTitles" hidden="1">#N/A</definedName>
    <definedName name="Z_703E7273_B79F_11D3_924A_00C04F8362DB_.wvu.Cols" hidden="1">#N/A</definedName>
    <definedName name="Z_703E7273_B79F_11D3_924A_00C04F8362DB_.wvu.PrintArea" hidden="1">#N/A</definedName>
    <definedName name="Z_703E7273_B79F_11D3_924A_00C04F8362DB_.wvu.PrintTitles" hidden="1">#N/A</definedName>
    <definedName name="Z_703E7276_B79F_11D3_924A_00C04F8362DB_.wvu.Cols" hidden="1">#N/A</definedName>
    <definedName name="Z_703E7276_B79F_11D3_924A_00C04F8362DB_.wvu.PrintArea" hidden="1">#N/A</definedName>
    <definedName name="Z_703E7276_B79F_11D3_924A_00C04F8362DB_.wvu.PrintTitles" hidden="1">#N/A</definedName>
    <definedName name="Z_703E7279_B79F_11D3_924A_00C04F8362DB_.wvu.Cols" hidden="1">#N/A</definedName>
    <definedName name="Z_703E7279_B79F_11D3_924A_00C04F8362DB_.wvu.PrintArea" hidden="1">#N/A</definedName>
    <definedName name="Z_703E7279_B79F_11D3_924A_00C04F8362DB_.wvu.PrintTitles" hidden="1">#N/A</definedName>
    <definedName name="Z_703E727C_B79F_11D3_924A_00C04F8362DB_.wvu.PrintArea" hidden="1">#N/A</definedName>
    <definedName name="Z_703E727C_B79F_11D3_924A_00C04F8362DB_.wvu.PrintTitles" hidden="1">#N/A</definedName>
    <definedName name="Z_703E727F_B79F_11D3_924A_00C04F8362DB_.wvu.Cols" hidden="1">#N/A</definedName>
    <definedName name="Z_703E727F_B79F_11D3_924A_00C04F8362DB_.wvu.PrintArea" hidden="1">#N/A</definedName>
    <definedName name="Z_703E727F_B79F_11D3_924A_00C04F8362DB_.wvu.PrintTitles" hidden="1">#N/A</definedName>
    <definedName name="Z_703E729B_B79F_11D3_924A_00C04F8362DB_.wvu.Cols" hidden="1">#N/A</definedName>
    <definedName name="Z_703E729B_B79F_11D3_924A_00C04F8362DB_.wvu.PrintArea" hidden="1">#N/A</definedName>
    <definedName name="Z_703E729B_B79F_11D3_924A_00C04F8362DB_.wvu.PrintTitles" hidden="1">#N/A</definedName>
    <definedName name="Z_703E729E_B79F_11D3_924A_00C04F8362DB_.wvu.Cols" hidden="1">#N/A</definedName>
    <definedName name="Z_703E729E_B79F_11D3_924A_00C04F8362DB_.wvu.PrintArea" hidden="1">#N/A</definedName>
    <definedName name="Z_703E729E_B79F_11D3_924A_00C04F8362DB_.wvu.PrintTitles" hidden="1">#N/A</definedName>
    <definedName name="Z_703E72A1_B79F_11D3_924A_00C04F8362DB_.wvu.Cols" hidden="1">#N/A</definedName>
    <definedName name="Z_703E72A1_B79F_11D3_924A_00C04F8362DB_.wvu.PrintArea" hidden="1">#N/A</definedName>
    <definedName name="Z_703E72A1_B79F_11D3_924A_00C04F8362DB_.wvu.PrintTitles" hidden="1">#N/A</definedName>
    <definedName name="Z_703E72A4_B79F_11D3_924A_00C04F8362DB_.wvu.Cols" hidden="1">#N/A</definedName>
    <definedName name="Z_703E72A4_B79F_11D3_924A_00C04F8362DB_.wvu.PrintArea" hidden="1">#N/A</definedName>
    <definedName name="Z_703E72A4_B79F_11D3_924A_00C04F8362DB_.wvu.PrintTitles" hidden="1">#N/A</definedName>
    <definedName name="Z_703E72A7_B79F_11D3_924A_00C04F8362DB_.wvu.PrintArea" hidden="1">#N/A</definedName>
    <definedName name="Z_703E72A7_B79F_11D3_924A_00C04F8362DB_.wvu.PrintTitles" hidden="1">#N/A</definedName>
    <definedName name="Z_703E72AA_B79F_11D3_924A_00C04F8362DB_.wvu.Cols" hidden="1">#N/A</definedName>
    <definedName name="Z_703E72AA_B79F_11D3_924A_00C04F8362DB_.wvu.PrintArea" hidden="1">#N/A</definedName>
    <definedName name="Z_703E72AA_B79F_11D3_924A_00C04F8362DB_.wvu.PrintTitles" hidden="1">#N/A</definedName>
    <definedName name="Z_73BDFC94_302B_43DD_BCD5_F6A6ABCEC6DE_.wvu.Cols" hidden="1">#REF!</definedName>
    <definedName name="Z_73BDFC94_302B_43DD_BCD5_F6A6ABCEC6DE_.wvu.Rows" hidden="1">#REF!</definedName>
    <definedName name="Z_77D0A691_9D00_11D3_924A_00C04F8362DB_.wvu.Cols" hidden="1">#N/A</definedName>
    <definedName name="Z_77D0A691_9D00_11D3_924A_00C04F8362DB_.wvu.PrintArea" hidden="1">#N/A</definedName>
    <definedName name="Z_77D0A691_9D00_11D3_924A_00C04F8362DB_.wvu.PrintTitles" hidden="1">#N/A</definedName>
    <definedName name="Z_77D0A692_9D00_11D3_924A_00C04F8362DB_.wvu.Cols" hidden="1">#N/A</definedName>
    <definedName name="Z_77D0A692_9D00_11D3_924A_00C04F8362DB_.wvu.PrintArea" hidden="1">#N/A</definedName>
    <definedName name="Z_77D0A692_9D00_11D3_924A_00C04F8362DB_.wvu.PrintTitles" hidden="1">#N/A</definedName>
    <definedName name="Z_77D0A693_9D00_11D3_924A_00C04F8362DB_.wvu.Cols" hidden="1">#N/A</definedName>
    <definedName name="Z_77D0A693_9D00_11D3_924A_00C04F8362DB_.wvu.PrintArea" hidden="1">#N/A</definedName>
    <definedName name="Z_77D0A693_9D00_11D3_924A_00C04F8362DB_.wvu.PrintTitles" hidden="1">#N/A</definedName>
    <definedName name="Z_77D0A694_9D00_11D3_924A_00C04F8362DB_.wvu.Cols" hidden="1">#N/A</definedName>
    <definedName name="Z_77D0A694_9D00_11D3_924A_00C04F8362DB_.wvu.PrintArea" hidden="1">#N/A</definedName>
    <definedName name="Z_77D0A694_9D00_11D3_924A_00C04F8362DB_.wvu.PrintTitles" hidden="1">#N/A</definedName>
    <definedName name="Z_77D0A695_9D00_11D3_924A_00C04F8362DB_.wvu.PrintArea" hidden="1">#N/A</definedName>
    <definedName name="Z_77D0A695_9D00_11D3_924A_00C04F8362DB_.wvu.PrintTitles" hidden="1">#N/A</definedName>
    <definedName name="Z_77D0A696_9D00_11D3_924A_00C04F8362DB_.wvu.Cols" hidden="1">#N/A</definedName>
    <definedName name="Z_77D0A696_9D00_11D3_924A_00C04F8362DB_.wvu.PrintArea" hidden="1">#N/A</definedName>
    <definedName name="Z_77D0A696_9D00_11D3_924A_00C04F8362DB_.wvu.PrintTitles" hidden="1">#N/A</definedName>
    <definedName name="Z_80C43AB6_EF42_11D3_BFE3_00C04F733748_.wvu.Cols" hidden="1">#N/A</definedName>
    <definedName name="Z_80C43AB6_EF42_11D3_BFE3_00C04F733748_.wvu.PrintTitles" hidden="1">#N/A</definedName>
    <definedName name="Z_80C43AB7_EF42_11D3_BFE3_00C04F733748_.wvu.Cols" hidden="1">#N/A</definedName>
    <definedName name="Z_80C43AB7_EF42_11D3_BFE3_00C04F733748_.wvu.PrintTitles" hidden="1">#N/A</definedName>
    <definedName name="Z_80C43AB8_EF42_11D3_BFE3_00C04F733748_.wvu.Cols" hidden="1">#N/A</definedName>
    <definedName name="Z_80C43AB8_EF42_11D3_BFE3_00C04F733748_.wvu.PrintTitles" hidden="1">#N/A</definedName>
    <definedName name="Z_80C43AB9_EF42_11D3_BFE3_00C04F733748_.wvu.Cols" hidden="1">#N/A</definedName>
    <definedName name="Z_80C43AB9_EF42_11D3_BFE3_00C04F733748_.wvu.PrintTitles" hidden="1">#N/A</definedName>
    <definedName name="Z_80C43ABA_EF42_11D3_BFE3_00C04F733748_.wvu.PrintTitles" hidden="1">#N/A</definedName>
    <definedName name="Z_80C43ABB_EF42_11D3_BFE3_00C04F733748_.wvu.Cols" hidden="1">#N/A</definedName>
    <definedName name="Z_80C43ABB_EF42_11D3_BFE3_00C04F733748_.wvu.PrintTitles" hidden="1">#N/A</definedName>
    <definedName name="Z_85454173_CA71_11D3_924A_00C04F8362DB_.wvu.Cols" hidden="1">#N/A</definedName>
    <definedName name="Z_85454173_CA71_11D3_924A_00C04F8362DB_.wvu.PrintArea" hidden="1">#N/A</definedName>
    <definedName name="Z_85454173_CA71_11D3_924A_00C04F8362DB_.wvu.PrintTitles" hidden="1">#N/A</definedName>
    <definedName name="Z_85454175_CA71_11D3_924A_00C04F8362DB_.wvu.Cols" hidden="1">#N/A</definedName>
    <definedName name="Z_85454175_CA71_11D3_924A_00C04F8362DB_.wvu.PrintArea" hidden="1">#N/A</definedName>
    <definedName name="Z_85454175_CA71_11D3_924A_00C04F8362DB_.wvu.PrintTitles" hidden="1">#N/A</definedName>
    <definedName name="Z_85454177_CA71_11D3_924A_00C04F8362DB_.wvu.Cols" hidden="1">#N/A</definedName>
    <definedName name="Z_85454177_CA71_11D3_924A_00C04F8362DB_.wvu.PrintArea" hidden="1">#N/A</definedName>
    <definedName name="Z_85454177_CA71_11D3_924A_00C04F8362DB_.wvu.PrintTitles" hidden="1">#N/A</definedName>
    <definedName name="Z_85454179_CA71_11D3_924A_00C04F8362DB_.wvu.Cols" hidden="1">#N/A</definedName>
    <definedName name="Z_85454179_CA71_11D3_924A_00C04F8362DB_.wvu.PrintArea" hidden="1">#N/A</definedName>
    <definedName name="Z_85454179_CA71_11D3_924A_00C04F8362DB_.wvu.PrintTitles" hidden="1">#N/A</definedName>
    <definedName name="Z_8545417B_CA71_11D3_924A_00C04F8362DB_.wvu.PrintArea" hidden="1">#N/A</definedName>
    <definedName name="Z_8545417B_CA71_11D3_924A_00C04F8362DB_.wvu.PrintTitles" hidden="1">#N/A</definedName>
    <definedName name="Z_8545417D_CA71_11D3_924A_00C04F8362DB_.wvu.Cols" hidden="1">#N/A</definedName>
    <definedName name="Z_8545417D_CA71_11D3_924A_00C04F8362DB_.wvu.PrintArea" hidden="1">#N/A</definedName>
    <definedName name="Z_8545417D_CA71_11D3_924A_00C04F8362DB_.wvu.PrintTitles" hidden="1">#N/A</definedName>
    <definedName name="Z_8CC42601_A6C9_11D5_8B2D_00C04F5167F3_.wvu.Rows" hidden="1">#N/A</definedName>
    <definedName name="Z_8DEC34D5_D7BB_11D3_924A_00C04F847978_.wvu.Cols" hidden="1">#N/A</definedName>
    <definedName name="Z_8DEC34D5_D7BB_11D3_924A_00C04F847978_.wvu.PrintArea" hidden="1">#N/A</definedName>
    <definedName name="Z_8DEC34D5_D7BB_11D3_924A_00C04F847978_.wvu.PrintTitles" hidden="1">#N/A</definedName>
    <definedName name="Z_8DEC34D7_D7BB_11D3_924A_00C04F847978_.wvu.Cols" hidden="1">#N/A</definedName>
    <definedName name="Z_8DEC34D7_D7BB_11D3_924A_00C04F847978_.wvu.PrintArea" hidden="1">#N/A</definedName>
    <definedName name="Z_8DEC34D7_D7BB_11D3_924A_00C04F847978_.wvu.PrintTitles" hidden="1">#N/A</definedName>
    <definedName name="Z_8DEC34D9_D7BB_11D3_924A_00C04F847978_.wvu.Cols" hidden="1">#N/A</definedName>
    <definedName name="Z_8DEC34D9_D7BB_11D3_924A_00C04F847978_.wvu.PrintArea" hidden="1">#N/A</definedName>
    <definedName name="Z_8DEC34D9_D7BB_11D3_924A_00C04F847978_.wvu.PrintTitles" hidden="1">#N/A</definedName>
    <definedName name="Z_8DEC34DB_D7BB_11D3_924A_00C04F847978_.wvu.Cols" hidden="1">#N/A</definedName>
    <definedName name="Z_8DEC34DB_D7BB_11D3_924A_00C04F847978_.wvu.PrintArea" hidden="1">#N/A</definedName>
    <definedName name="Z_8DEC34DB_D7BB_11D3_924A_00C04F847978_.wvu.PrintTitles" hidden="1">#N/A</definedName>
    <definedName name="Z_8DEC34DD_D7BB_11D3_924A_00C04F847978_.wvu.PrintArea" hidden="1">#N/A</definedName>
    <definedName name="Z_8DEC34DD_D7BB_11D3_924A_00C04F847978_.wvu.PrintTitles" hidden="1">#N/A</definedName>
    <definedName name="Z_8DEC34DF_D7BB_11D3_924A_00C04F847978_.wvu.Cols" hidden="1">#N/A</definedName>
    <definedName name="Z_8DEC34DF_D7BB_11D3_924A_00C04F847978_.wvu.PrintArea" hidden="1">#N/A</definedName>
    <definedName name="Z_8DEC34DF_D7BB_11D3_924A_00C04F847978_.wvu.PrintTitles" hidden="1">#N/A</definedName>
    <definedName name="Z_91C84314_DA17_11D3_924A_00C04F847978_.wvu.Cols" hidden="1">#N/A</definedName>
    <definedName name="Z_91C84314_DA17_11D3_924A_00C04F847978_.wvu.PrintArea" hidden="1">#N/A</definedName>
    <definedName name="Z_91C84314_DA17_11D3_924A_00C04F847978_.wvu.PrintTitles" hidden="1">#N/A</definedName>
    <definedName name="Z_91C84316_DA17_11D3_924A_00C04F847978_.wvu.Cols" hidden="1">#N/A</definedName>
    <definedName name="Z_91C84316_DA17_11D3_924A_00C04F847978_.wvu.PrintArea" hidden="1">#N/A</definedName>
    <definedName name="Z_91C84316_DA17_11D3_924A_00C04F847978_.wvu.PrintTitles" hidden="1">#N/A</definedName>
    <definedName name="Z_91C84318_DA17_11D3_924A_00C04F847978_.wvu.Cols" hidden="1">#N/A</definedName>
    <definedName name="Z_91C84318_DA17_11D3_924A_00C04F847978_.wvu.PrintArea" hidden="1">#N/A</definedName>
    <definedName name="Z_91C84318_DA17_11D3_924A_00C04F847978_.wvu.PrintTitles" hidden="1">#N/A</definedName>
    <definedName name="Z_91C8431A_DA17_11D3_924A_00C04F847978_.wvu.Cols" hidden="1">#N/A</definedName>
    <definedName name="Z_91C8431A_DA17_11D3_924A_00C04F847978_.wvu.PrintArea" hidden="1">#N/A</definedName>
    <definedName name="Z_91C8431A_DA17_11D3_924A_00C04F847978_.wvu.PrintTitles" hidden="1">#N/A</definedName>
    <definedName name="Z_91C8431C_DA17_11D3_924A_00C04F847978_.wvu.PrintArea" hidden="1">#N/A</definedName>
    <definedName name="Z_91C8431C_DA17_11D3_924A_00C04F847978_.wvu.PrintTitles" hidden="1">#N/A</definedName>
    <definedName name="Z_91C8431E_DA17_11D3_924A_00C04F847978_.wvu.Cols" hidden="1">#N/A</definedName>
    <definedName name="Z_91C8431E_DA17_11D3_924A_00C04F847978_.wvu.PrintArea" hidden="1">#N/A</definedName>
    <definedName name="Z_91C8431E_DA17_11D3_924A_00C04F847978_.wvu.PrintTitles" hidden="1">#N/A</definedName>
    <definedName name="Z_91C84331_DA17_11D3_924A_00C04F847978_.wvu.Cols" hidden="1">#N/A</definedName>
    <definedName name="Z_91C84331_DA17_11D3_924A_00C04F847978_.wvu.PrintArea" hidden="1">#N/A</definedName>
    <definedName name="Z_91C84331_DA17_11D3_924A_00C04F847978_.wvu.PrintTitles" hidden="1">#N/A</definedName>
    <definedName name="Z_91C84333_DA17_11D3_924A_00C04F847978_.wvu.Cols" hidden="1">#N/A</definedName>
    <definedName name="Z_91C84333_DA17_11D3_924A_00C04F847978_.wvu.PrintArea" hidden="1">#N/A</definedName>
    <definedName name="Z_91C84333_DA17_11D3_924A_00C04F847978_.wvu.PrintTitles" hidden="1">#N/A</definedName>
    <definedName name="Z_91C84335_DA17_11D3_924A_00C04F847978_.wvu.Cols" hidden="1">#N/A</definedName>
    <definedName name="Z_91C84335_DA17_11D3_924A_00C04F847978_.wvu.PrintArea" hidden="1">#N/A</definedName>
    <definedName name="Z_91C84335_DA17_11D3_924A_00C04F847978_.wvu.PrintTitles" hidden="1">#N/A</definedName>
    <definedName name="Z_91C84337_DA17_11D3_924A_00C04F847978_.wvu.Cols" hidden="1">#N/A</definedName>
    <definedName name="Z_91C84337_DA17_11D3_924A_00C04F847978_.wvu.PrintArea" hidden="1">#N/A</definedName>
    <definedName name="Z_91C84337_DA17_11D3_924A_00C04F847978_.wvu.PrintTitles" hidden="1">#N/A</definedName>
    <definedName name="Z_91C84339_DA17_11D3_924A_00C04F847978_.wvu.PrintArea" hidden="1">#N/A</definedName>
    <definedName name="Z_91C84339_DA17_11D3_924A_00C04F847978_.wvu.PrintTitles" hidden="1">#N/A</definedName>
    <definedName name="Z_91C8433B_DA17_11D3_924A_00C04F847978_.wvu.Cols" hidden="1">#N/A</definedName>
    <definedName name="Z_91C8433B_DA17_11D3_924A_00C04F847978_.wvu.PrintArea" hidden="1">#N/A</definedName>
    <definedName name="Z_91C8433B_DA17_11D3_924A_00C04F847978_.wvu.PrintTitles" hidden="1">#N/A</definedName>
    <definedName name="Z_94EC9CCB_9624_11D3_8424_30AD57C10000_.wvu.PrintArea" hidden="1">#N/A</definedName>
    <definedName name="Z_94EC9CCB_9624_11D3_8424_30AD57C10000_.wvu.PrintTitles" hidden="1">#N/A</definedName>
    <definedName name="Z_94EC9CCD_9624_11D3_8424_30AD57C10000_.wvu.PrintArea" hidden="1">#N/A</definedName>
    <definedName name="Z_94EC9CCD_9624_11D3_8424_30AD57C10000_.wvu.PrintTitles" hidden="1">#N/A</definedName>
    <definedName name="Z_94EC9CCF_9624_11D3_8424_30AD57C10000_.wvu.PrintArea" hidden="1">#N/A</definedName>
    <definedName name="Z_94EC9CCF_9624_11D3_8424_30AD57C10000_.wvu.PrintTitles" hidden="1">#N/A</definedName>
    <definedName name="Z_94EC9CD1_9624_11D3_8424_30AD57C10000_.wvu.PrintArea" hidden="1">#N/A</definedName>
    <definedName name="Z_94EC9CD1_9624_11D3_8424_30AD57C10000_.wvu.PrintTitles" hidden="1">#N/A</definedName>
    <definedName name="Z_94EC9CD3_9624_11D3_8424_30AD57C10000_.wvu.PrintArea" hidden="1">#N/A</definedName>
    <definedName name="Z_94EC9CD3_9624_11D3_8424_30AD57C10000_.wvu.PrintTitles" hidden="1">#N/A</definedName>
    <definedName name="Z_94EC9CD5_9624_11D3_8424_30AD57C10000_.wvu.PrintArea" hidden="1">#N/A</definedName>
    <definedName name="Z_94EC9CD5_9624_11D3_8424_30AD57C10000_.wvu.PrintTitles" hidden="1">#N/A</definedName>
    <definedName name="Z_9574AF83_CD7B_11D3_924A_00C04F847978_.wvu.Cols" hidden="1">#N/A</definedName>
    <definedName name="Z_9574AF83_CD7B_11D3_924A_00C04F847978_.wvu.PrintArea" hidden="1">#N/A</definedName>
    <definedName name="Z_9574AF83_CD7B_11D3_924A_00C04F847978_.wvu.PrintTitles" hidden="1">#N/A</definedName>
    <definedName name="Z_9574AF85_CD7B_11D3_924A_00C04F847978_.wvu.Cols" hidden="1">#N/A</definedName>
    <definedName name="Z_9574AF85_CD7B_11D3_924A_00C04F847978_.wvu.PrintArea" hidden="1">#N/A</definedName>
    <definedName name="Z_9574AF85_CD7B_11D3_924A_00C04F847978_.wvu.PrintTitles" hidden="1">#N/A</definedName>
    <definedName name="Z_9574AF87_CD7B_11D3_924A_00C04F847978_.wvu.Cols" hidden="1">#N/A</definedName>
    <definedName name="Z_9574AF87_CD7B_11D3_924A_00C04F847978_.wvu.PrintArea" hidden="1">#N/A</definedName>
    <definedName name="Z_9574AF87_CD7B_11D3_924A_00C04F847978_.wvu.PrintTitles" hidden="1">#N/A</definedName>
    <definedName name="Z_9574AF89_CD7B_11D3_924A_00C04F847978_.wvu.Cols" hidden="1">#N/A</definedName>
    <definedName name="Z_9574AF89_CD7B_11D3_924A_00C04F847978_.wvu.PrintArea" hidden="1">#N/A</definedName>
    <definedName name="Z_9574AF89_CD7B_11D3_924A_00C04F847978_.wvu.PrintTitles" hidden="1">#N/A</definedName>
    <definedName name="Z_9574AF8B_CD7B_11D3_924A_00C04F847978_.wvu.PrintArea" hidden="1">#N/A</definedName>
    <definedName name="Z_9574AF8B_CD7B_11D3_924A_00C04F847978_.wvu.PrintTitles" hidden="1">#N/A</definedName>
    <definedName name="Z_9574AF8D_CD7B_11D3_924A_00C04F847978_.wvu.Cols" hidden="1">#N/A</definedName>
    <definedName name="Z_9574AF8D_CD7B_11D3_924A_00C04F847978_.wvu.PrintArea" hidden="1">#N/A</definedName>
    <definedName name="Z_9574AF8D_CD7B_11D3_924A_00C04F847978_.wvu.PrintTitles" hidden="1">#N/A</definedName>
    <definedName name="Z_96DDAAD3_A24C_11D3_924A_00C04F847978_.wvu.Cols" hidden="1">#N/A</definedName>
    <definedName name="Z_96DDAAD3_A24C_11D3_924A_00C04F847978_.wvu.PrintArea" hidden="1">#N/A</definedName>
    <definedName name="Z_96DDAAD3_A24C_11D3_924A_00C04F847978_.wvu.PrintTitles" hidden="1">#N/A</definedName>
    <definedName name="Z_96DDAAD7_A24C_11D3_924A_00C04F847978_.wvu.Cols" hidden="1">#N/A</definedName>
    <definedName name="Z_96DDAAD7_A24C_11D3_924A_00C04F847978_.wvu.PrintArea" hidden="1">#N/A</definedName>
    <definedName name="Z_96DDAAD7_A24C_11D3_924A_00C04F847978_.wvu.PrintTitles" hidden="1">#N/A</definedName>
    <definedName name="Z_96DDAADB_A24C_11D3_924A_00C04F847978_.wvu.Cols" hidden="1">#N/A</definedName>
    <definedName name="Z_96DDAADB_A24C_11D3_924A_00C04F847978_.wvu.PrintArea" hidden="1">#N/A</definedName>
    <definedName name="Z_96DDAADB_A24C_11D3_924A_00C04F847978_.wvu.PrintTitles" hidden="1">#N/A</definedName>
    <definedName name="Z_96DDAADF_A24C_11D3_924A_00C04F847978_.wvu.Cols" hidden="1">#N/A</definedName>
    <definedName name="Z_96DDAADF_A24C_11D3_924A_00C04F847978_.wvu.PrintArea" hidden="1">#N/A</definedName>
    <definedName name="Z_96DDAADF_A24C_11D3_924A_00C04F847978_.wvu.PrintTitles" hidden="1">#N/A</definedName>
    <definedName name="Z_96DDAAE3_A24C_11D3_924A_00C04F847978_.wvu.PrintArea" hidden="1">#N/A</definedName>
    <definedName name="Z_96DDAAE3_A24C_11D3_924A_00C04F847978_.wvu.PrintTitles" hidden="1">#N/A</definedName>
    <definedName name="Z_96DDAAE7_A24C_11D3_924A_00C04F847978_.wvu.Cols" hidden="1">#N/A</definedName>
    <definedName name="Z_96DDAAE7_A24C_11D3_924A_00C04F847978_.wvu.PrintArea" hidden="1">#N/A</definedName>
    <definedName name="Z_96DDAAE7_A24C_11D3_924A_00C04F847978_.wvu.PrintTitles" hidden="1">#N/A</definedName>
    <definedName name="Z_9D9D5B30_A0B0_11D3_8424_E0A257C10000_.wvu.Cols" hidden="1">#N/A</definedName>
    <definedName name="Z_9D9D5B30_A0B0_11D3_8424_E0A257C10000_.wvu.PrintArea" hidden="1">#N/A</definedName>
    <definedName name="Z_9D9D5B30_A0B0_11D3_8424_E0A257C10000_.wvu.PrintTitles" hidden="1">#N/A</definedName>
    <definedName name="Z_9D9D5B34_A0B0_11D3_8424_E0A257C10000_.wvu.Cols" hidden="1">#N/A</definedName>
    <definedName name="Z_9D9D5B34_A0B0_11D3_8424_E0A257C10000_.wvu.PrintArea" hidden="1">#N/A</definedName>
    <definedName name="Z_9D9D5B34_A0B0_11D3_8424_E0A257C10000_.wvu.PrintTitles" hidden="1">#N/A</definedName>
    <definedName name="Z_9D9D5B38_A0B0_11D3_8424_E0A257C10000_.wvu.Cols" hidden="1">#N/A</definedName>
    <definedName name="Z_9D9D5B38_A0B0_11D3_8424_E0A257C10000_.wvu.PrintArea" hidden="1">#N/A</definedName>
    <definedName name="Z_9D9D5B38_A0B0_11D3_8424_E0A257C10000_.wvu.PrintTitles" hidden="1">#N/A</definedName>
    <definedName name="Z_9D9D5B3C_A0B0_11D3_8424_E0A257C10000_.wvu.Cols" hidden="1">#N/A</definedName>
    <definedName name="Z_9D9D5B3C_A0B0_11D3_8424_E0A257C10000_.wvu.PrintArea" hidden="1">#N/A</definedName>
    <definedName name="Z_9D9D5B3C_A0B0_11D3_8424_E0A257C10000_.wvu.PrintTitles" hidden="1">#N/A</definedName>
    <definedName name="Z_9D9D5B40_A0B0_11D3_8424_E0A257C10000_.wvu.PrintArea" hidden="1">#N/A</definedName>
    <definedName name="Z_9D9D5B40_A0B0_11D3_8424_E0A257C10000_.wvu.PrintTitles" hidden="1">#N/A</definedName>
    <definedName name="Z_9D9D5B44_A0B0_11D3_8424_E0A257C10000_.wvu.Cols" hidden="1">#N/A</definedName>
    <definedName name="Z_9D9D5B44_A0B0_11D3_8424_E0A257C10000_.wvu.PrintArea" hidden="1">#N/A</definedName>
    <definedName name="Z_9D9D5B44_A0B0_11D3_8424_E0A257C10000_.wvu.PrintTitles" hidden="1">#N/A</definedName>
    <definedName name="Z_A642BFBC_980F_11D3_924A_00C04F8362DB_.wvu.Cols" hidden="1">#N/A</definedName>
    <definedName name="Z_A642BFBC_980F_11D3_924A_00C04F8362DB_.wvu.PrintArea" hidden="1">#N/A</definedName>
    <definedName name="Z_A642BFBC_980F_11D3_924A_00C04F8362DB_.wvu.PrintTitles" hidden="1">#N/A</definedName>
    <definedName name="Z_A642BFBE_980F_11D3_924A_00C04F8362DB_.wvu.Cols" hidden="1">#N/A</definedName>
    <definedName name="Z_A642BFBE_980F_11D3_924A_00C04F8362DB_.wvu.PrintArea" hidden="1">#N/A</definedName>
    <definedName name="Z_A642BFBE_980F_11D3_924A_00C04F8362DB_.wvu.PrintTitles" hidden="1">#N/A</definedName>
    <definedName name="Z_A642BFC0_980F_11D3_924A_00C04F8362DB_.wvu.Cols" hidden="1">#N/A</definedName>
    <definedName name="Z_A642BFC0_980F_11D3_924A_00C04F8362DB_.wvu.PrintArea" hidden="1">#N/A</definedName>
    <definedName name="Z_A642BFC0_980F_11D3_924A_00C04F8362DB_.wvu.PrintTitles" hidden="1">#N/A</definedName>
    <definedName name="Z_A642BFC2_980F_11D3_924A_00C04F8362DB_.wvu.Cols" hidden="1">#N/A</definedName>
    <definedName name="Z_A642BFC2_980F_11D3_924A_00C04F8362DB_.wvu.PrintArea" hidden="1">#N/A</definedName>
    <definedName name="Z_A642BFC2_980F_11D3_924A_00C04F8362DB_.wvu.PrintTitles" hidden="1">#N/A</definedName>
    <definedName name="Z_A642BFC4_980F_11D3_924A_00C04F8362DB_.wvu.PrintArea" hidden="1">#N/A</definedName>
    <definedName name="Z_A642BFC4_980F_11D3_924A_00C04F8362DB_.wvu.PrintTitles" hidden="1">#N/A</definedName>
    <definedName name="Z_A642BFC6_980F_11D3_924A_00C04F8362DB_.wvu.Cols" hidden="1">#N/A</definedName>
    <definedName name="Z_A642BFC6_980F_11D3_924A_00C04F8362DB_.wvu.PrintArea" hidden="1">#N/A</definedName>
    <definedName name="Z_A642BFC6_980F_11D3_924A_00C04F8362DB_.wvu.PrintTitles" hidden="1">#N/A</definedName>
    <definedName name="Z_A66A9DFD_EB5C_11D3_BFE3_00C04F733748_.wvu.Cols" hidden="1">#N/A</definedName>
    <definedName name="Z_A66A9DFD_EB5C_11D3_BFE3_00C04F733748_.wvu.PrintArea" hidden="1">#N/A</definedName>
    <definedName name="Z_A66A9DFD_EB5C_11D3_BFE3_00C04F733748_.wvu.PrintTitles" hidden="1">#N/A</definedName>
    <definedName name="Z_A66A9DFF_EB5C_11D3_BFE3_00C04F733748_.wvu.Cols" hidden="1">#N/A</definedName>
    <definedName name="Z_A66A9DFF_EB5C_11D3_BFE3_00C04F733748_.wvu.PrintArea" hidden="1">#N/A</definedName>
    <definedName name="Z_A66A9DFF_EB5C_11D3_BFE3_00C04F733748_.wvu.PrintTitles" hidden="1">#N/A</definedName>
    <definedName name="Z_A66A9E02_EB5C_11D3_BFE3_00C04F733748_.wvu.Cols" hidden="1">#N/A</definedName>
    <definedName name="Z_A66A9E02_EB5C_11D3_BFE3_00C04F733748_.wvu.PrintArea" hidden="1">#N/A</definedName>
    <definedName name="Z_A66A9E02_EB5C_11D3_BFE3_00C04F733748_.wvu.PrintTitles" hidden="1">#N/A</definedName>
    <definedName name="Z_A66A9E04_EB5C_11D3_BFE3_00C04F733748_.wvu.Cols" hidden="1">#N/A</definedName>
    <definedName name="Z_A66A9E04_EB5C_11D3_BFE3_00C04F733748_.wvu.PrintArea" hidden="1">#N/A</definedName>
    <definedName name="Z_A66A9E04_EB5C_11D3_BFE3_00C04F733748_.wvu.PrintTitles" hidden="1">#N/A</definedName>
    <definedName name="Z_A66A9E06_EB5C_11D3_BFE3_00C04F733748_.wvu.PrintArea" hidden="1">#N/A</definedName>
    <definedName name="Z_A66A9E06_EB5C_11D3_BFE3_00C04F733748_.wvu.PrintTitles" hidden="1">#N/A</definedName>
    <definedName name="Z_A66A9E08_EB5C_11D3_BFE3_00C04F733748_.wvu.Cols" hidden="1">#N/A</definedName>
    <definedName name="Z_A66A9E08_EB5C_11D3_BFE3_00C04F733748_.wvu.PrintArea" hidden="1">#N/A</definedName>
    <definedName name="Z_A66A9E08_EB5C_11D3_BFE3_00C04F733748_.wvu.PrintTitles" hidden="1">#N/A</definedName>
    <definedName name="Z_A7B1314B_961A_11D3_8424_80A757C10000_.wvu.PrintArea" hidden="1">#N/A</definedName>
    <definedName name="Z_A7B1314B_961A_11D3_8424_80A757C10000_.wvu.PrintTitles" hidden="1">#N/A</definedName>
    <definedName name="Z_A7B1314D_961A_11D3_8424_80A757C10000_.wvu.PrintArea" hidden="1">#N/A</definedName>
    <definedName name="Z_A7B1314D_961A_11D3_8424_80A757C10000_.wvu.PrintTitles" hidden="1">#N/A</definedName>
    <definedName name="Z_A7B1314F_961A_11D3_8424_80A757C10000_.wvu.PrintArea" hidden="1">#N/A</definedName>
    <definedName name="Z_A7B1314F_961A_11D3_8424_80A757C10000_.wvu.PrintTitles" hidden="1">#N/A</definedName>
    <definedName name="Z_A7B13151_961A_11D3_8424_80A757C10000_.wvu.PrintArea" hidden="1">#N/A</definedName>
    <definedName name="Z_A7B13151_961A_11D3_8424_80A757C10000_.wvu.PrintTitles" hidden="1">#N/A</definedName>
    <definedName name="Z_A7B13153_961A_11D3_8424_80A757C10000_.wvu.PrintArea" hidden="1">#N/A</definedName>
    <definedName name="Z_A7B13153_961A_11D3_8424_80A757C10000_.wvu.PrintTitles" hidden="1">#N/A</definedName>
    <definedName name="Z_A7B13155_961A_11D3_8424_80A757C10000_.wvu.PrintArea" hidden="1">#N/A</definedName>
    <definedName name="Z_A7B13155_961A_11D3_8424_80A757C10000_.wvu.PrintTitles" hidden="1">#N/A</definedName>
    <definedName name="Z_AB004A4F_858A_4AC9_ADF0_FD624C01378E_.wvu.PrintArea" hidden="1">#REF!</definedName>
    <definedName name="Z_AB004A4F_858A_4AC9_ADF0_FD624C01378E_.wvu.Rows" hidden="1">#REF!,#REF!,#REF!</definedName>
    <definedName name="Z_AB50FF1A_D87D_11D3_924A_00C04F847978_.wvu.Cols" hidden="1">#N/A</definedName>
    <definedName name="Z_AB50FF1A_D87D_11D3_924A_00C04F847978_.wvu.PrintArea" hidden="1">#N/A</definedName>
    <definedName name="Z_AB50FF1A_D87D_11D3_924A_00C04F847978_.wvu.PrintTitles" hidden="1">#N/A</definedName>
    <definedName name="Z_AB50FF1C_D87D_11D3_924A_00C04F847978_.wvu.Cols" hidden="1">#N/A</definedName>
    <definedName name="Z_AB50FF1C_D87D_11D3_924A_00C04F847978_.wvu.PrintArea" hidden="1">#N/A</definedName>
    <definedName name="Z_AB50FF1C_D87D_11D3_924A_00C04F847978_.wvu.PrintTitles" hidden="1">#N/A</definedName>
    <definedName name="Z_AB50FF1E_D87D_11D3_924A_00C04F847978_.wvu.Cols" hidden="1">#N/A</definedName>
    <definedName name="Z_AB50FF1E_D87D_11D3_924A_00C04F847978_.wvu.PrintArea" hidden="1">#N/A</definedName>
    <definedName name="Z_AB50FF1E_D87D_11D3_924A_00C04F847978_.wvu.PrintTitles" hidden="1">#N/A</definedName>
    <definedName name="Z_AB50FF20_D87D_11D3_924A_00C04F847978_.wvu.Cols" hidden="1">#N/A</definedName>
    <definedName name="Z_AB50FF20_D87D_11D3_924A_00C04F847978_.wvu.PrintArea" hidden="1">#N/A</definedName>
    <definedName name="Z_AB50FF20_D87D_11D3_924A_00C04F847978_.wvu.PrintTitles" hidden="1">#N/A</definedName>
    <definedName name="Z_AB50FF22_D87D_11D3_924A_00C04F847978_.wvu.PrintArea" hidden="1">#N/A</definedName>
    <definedName name="Z_AB50FF22_D87D_11D3_924A_00C04F847978_.wvu.PrintTitles" hidden="1">#N/A</definedName>
    <definedName name="Z_AB50FF24_D87D_11D3_924A_00C04F847978_.wvu.Cols" hidden="1">#N/A</definedName>
    <definedName name="Z_AB50FF24_D87D_11D3_924A_00C04F847978_.wvu.PrintArea" hidden="1">#N/A</definedName>
    <definedName name="Z_AB50FF24_D87D_11D3_924A_00C04F847978_.wvu.PrintTitles" hidden="1">#N/A</definedName>
    <definedName name="Z_AB50FF7B_D87D_11D3_924A_00C04F847978_.wvu.Cols" hidden="1">#N/A</definedName>
    <definedName name="Z_AB50FF7B_D87D_11D3_924A_00C04F847978_.wvu.PrintArea" hidden="1">#N/A</definedName>
    <definedName name="Z_AB50FF7B_D87D_11D3_924A_00C04F847978_.wvu.PrintTitles" hidden="1">#N/A</definedName>
    <definedName name="Z_AB50FF7D_D87D_11D3_924A_00C04F847978_.wvu.Cols" hidden="1">#N/A</definedName>
    <definedName name="Z_AB50FF7D_D87D_11D3_924A_00C04F847978_.wvu.PrintArea" hidden="1">#N/A</definedName>
    <definedName name="Z_AB50FF7D_D87D_11D3_924A_00C04F847978_.wvu.PrintTitles" hidden="1">#N/A</definedName>
    <definedName name="Z_AB50FF7F_D87D_11D3_924A_00C04F847978_.wvu.Cols" hidden="1">#N/A</definedName>
    <definedName name="Z_AB50FF7F_D87D_11D3_924A_00C04F847978_.wvu.PrintArea" hidden="1">#N/A</definedName>
    <definedName name="Z_AB50FF7F_D87D_11D3_924A_00C04F847978_.wvu.PrintTitles" hidden="1">#N/A</definedName>
    <definedName name="Z_AB50FF81_D87D_11D3_924A_00C04F847978_.wvu.Cols" hidden="1">#N/A</definedName>
    <definedName name="Z_AB50FF81_D87D_11D3_924A_00C04F847978_.wvu.PrintArea" hidden="1">#N/A</definedName>
    <definedName name="Z_AB50FF81_D87D_11D3_924A_00C04F847978_.wvu.PrintTitles" hidden="1">#N/A</definedName>
    <definedName name="Z_AB50FF83_D87D_11D3_924A_00C04F847978_.wvu.PrintArea" hidden="1">#N/A</definedName>
    <definedName name="Z_AB50FF83_D87D_11D3_924A_00C04F847978_.wvu.PrintTitles" hidden="1">#N/A</definedName>
    <definedName name="Z_AB50FF85_D87D_11D3_924A_00C04F847978_.wvu.Cols" hidden="1">#N/A</definedName>
    <definedName name="Z_AB50FF85_D87D_11D3_924A_00C04F847978_.wvu.PrintArea" hidden="1">#N/A</definedName>
    <definedName name="Z_AB50FF85_D87D_11D3_924A_00C04F847978_.wvu.PrintTitles" hidden="1">#N/A</definedName>
    <definedName name="Z_AB510066_D87D_11D3_924A_00C04F847978_.wvu.Cols" hidden="1">#N/A</definedName>
    <definedName name="Z_AB510066_D87D_11D3_924A_00C04F847978_.wvu.PrintArea" hidden="1">#N/A</definedName>
    <definedName name="Z_AB510066_D87D_11D3_924A_00C04F847978_.wvu.PrintTitles" hidden="1">#N/A</definedName>
    <definedName name="Z_AB510068_D87D_11D3_924A_00C04F847978_.wvu.Cols" hidden="1">#N/A</definedName>
    <definedName name="Z_AB510068_D87D_11D3_924A_00C04F847978_.wvu.PrintArea" hidden="1">#N/A</definedName>
    <definedName name="Z_AB510068_D87D_11D3_924A_00C04F847978_.wvu.PrintTitles" hidden="1">#N/A</definedName>
    <definedName name="Z_AB51006A_D87D_11D3_924A_00C04F847978_.wvu.Cols" hidden="1">#N/A</definedName>
    <definedName name="Z_AB51006A_D87D_11D3_924A_00C04F847978_.wvu.PrintArea" hidden="1">#N/A</definedName>
    <definedName name="Z_AB51006A_D87D_11D3_924A_00C04F847978_.wvu.PrintTitles" hidden="1">#N/A</definedName>
    <definedName name="Z_AB51006C_D87D_11D3_924A_00C04F847978_.wvu.Cols" hidden="1">#N/A</definedName>
    <definedName name="Z_AB51006C_D87D_11D3_924A_00C04F847978_.wvu.PrintArea" hidden="1">#N/A</definedName>
    <definedName name="Z_AB51006C_D87D_11D3_924A_00C04F847978_.wvu.PrintTitles" hidden="1">#N/A</definedName>
    <definedName name="Z_AB51006E_D87D_11D3_924A_00C04F847978_.wvu.PrintArea" hidden="1">#N/A</definedName>
    <definedName name="Z_AB51006E_D87D_11D3_924A_00C04F847978_.wvu.PrintTitles" hidden="1">#N/A</definedName>
    <definedName name="Z_AB510070_D87D_11D3_924A_00C04F847978_.wvu.Cols" hidden="1">#N/A</definedName>
    <definedName name="Z_AB510070_D87D_11D3_924A_00C04F847978_.wvu.PrintArea" hidden="1">#N/A</definedName>
    <definedName name="Z_AB510070_D87D_11D3_924A_00C04F847978_.wvu.PrintTitles" hidden="1">#N/A</definedName>
    <definedName name="Z_AB510081_D87D_11D3_924A_00C04F847978_.wvu.Cols" hidden="1">#N/A</definedName>
    <definedName name="Z_AB510081_D87D_11D3_924A_00C04F847978_.wvu.PrintArea" hidden="1">#N/A</definedName>
    <definedName name="Z_AB510081_D87D_11D3_924A_00C04F847978_.wvu.PrintTitles" hidden="1">#N/A</definedName>
    <definedName name="Z_AB510083_D87D_11D3_924A_00C04F847978_.wvu.Cols" hidden="1">#N/A</definedName>
    <definedName name="Z_AB510083_D87D_11D3_924A_00C04F847978_.wvu.PrintArea" hidden="1">#N/A</definedName>
    <definedName name="Z_AB510083_D87D_11D3_924A_00C04F847978_.wvu.PrintTitles" hidden="1">#N/A</definedName>
    <definedName name="Z_AB510085_D87D_11D3_924A_00C04F847978_.wvu.Cols" hidden="1">#N/A</definedName>
    <definedName name="Z_AB510085_D87D_11D3_924A_00C04F847978_.wvu.PrintArea" hidden="1">#N/A</definedName>
    <definedName name="Z_AB510085_D87D_11D3_924A_00C04F847978_.wvu.PrintTitles" hidden="1">#N/A</definedName>
    <definedName name="Z_AB510087_D87D_11D3_924A_00C04F847978_.wvu.Cols" hidden="1">#N/A</definedName>
    <definedName name="Z_AB510087_D87D_11D3_924A_00C04F847978_.wvu.PrintArea" hidden="1">#N/A</definedName>
    <definedName name="Z_AB510087_D87D_11D3_924A_00C04F847978_.wvu.PrintTitles" hidden="1">#N/A</definedName>
    <definedName name="Z_AB510089_D87D_11D3_924A_00C04F847978_.wvu.PrintArea" hidden="1">#N/A</definedName>
    <definedName name="Z_AB510089_D87D_11D3_924A_00C04F847978_.wvu.PrintTitles" hidden="1">#N/A</definedName>
    <definedName name="Z_AB51008B_D87D_11D3_924A_00C04F847978_.wvu.Cols" hidden="1">#N/A</definedName>
    <definedName name="Z_AB51008B_D87D_11D3_924A_00C04F847978_.wvu.PrintArea" hidden="1">#N/A</definedName>
    <definedName name="Z_AB51008B_D87D_11D3_924A_00C04F847978_.wvu.PrintTitles" hidden="1">#N/A</definedName>
    <definedName name="Z_AE699092_9E81_11D3_924A_00C04F8362DB_.wvu.Cols" hidden="1">#N/A</definedName>
    <definedName name="Z_AE699092_9E81_11D3_924A_00C04F8362DB_.wvu.PrintArea" hidden="1">#N/A</definedName>
    <definedName name="Z_AE699092_9E81_11D3_924A_00C04F8362DB_.wvu.PrintTitles" hidden="1">#N/A</definedName>
    <definedName name="Z_AE699094_9E81_11D3_924A_00C04F8362DB_.wvu.Cols" hidden="1">#N/A</definedName>
    <definedName name="Z_AE699094_9E81_11D3_924A_00C04F8362DB_.wvu.PrintArea" hidden="1">#N/A</definedName>
    <definedName name="Z_AE699094_9E81_11D3_924A_00C04F8362DB_.wvu.PrintTitles" hidden="1">#N/A</definedName>
    <definedName name="Z_AE699096_9E81_11D3_924A_00C04F8362DB_.wvu.Cols" hidden="1">#N/A</definedName>
    <definedName name="Z_AE699096_9E81_11D3_924A_00C04F8362DB_.wvu.PrintArea" hidden="1">#N/A</definedName>
    <definedName name="Z_AE699096_9E81_11D3_924A_00C04F8362DB_.wvu.PrintTitles" hidden="1">#N/A</definedName>
    <definedName name="Z_AE699098_9E81_11D3_924A_00C04F8362DB_.wvu.Cols" hidden="1">#N/A</definedName>
    <definedName name="Z_AE699098_9E81_11D3_924A_00C04F8362DB_.wvu.PrintArea" hidden="1">#N/A</definedName>
    <definedName name="Z_AE699098_9E81_11D3_924A_00C04F8362DB_.wvu.PrintTitles" hidden="1">#N/A</definedName>
    <definedName name="Z_AE69909A_9E81_11D3_924A_00C04F8362DB_.wvu.PrintArea" hidden="1">#N/A</definedName>
    <definedName name="Z_AE69909A_9E81_11D3_924A_00C04F8362DB_.wvu.PrintTitles" hidden="1">#N/A</definedName>
    <definedName name="Z_AE69909C_9E81_11D3_924A_00C04F8362DB_.wvu.Cols" hidden="1">#N/A</definedName>
    <definedName name="Z_AE69909C_9E81_11D3_924A_00C04F8362DB_.wvu.PrintArea" hidden="1">#N/A</definedName>
    <definedName name="Z_AE69909C_9E81_11D3_924A_00C04F8362DB_.wvu.PrintTitles" hidden="1">#N/A</definedName>
    <definedName name="Z_B4F23818_EC2E_11D3_BFE3_00C04F733748_.wvu.Cols" hidden="1">#N/A</definedName>
    <definedName name="Z_B4F23818_EC2E_11D3_BFE3_00C04F733748_.wvu.PrintArea" hidden="1">#N/A</definedName>
    <definedName name="Z_B4F23818_EC2E_11D3_BFE3_00C04F733748_.wvu.PrintTitles" hidden="1">#N/A</definedName>
    <definedName name="Z_B4F2381A_EC2E_11D3_BFE3_00C04F733748_.wvu.Cols" hidden="1">#N/A</definedName>
    <definedName name="Z_B4F2381A_EC2E_11D3_BFE3_00C04F733748_.wvu.PrintArea" hidden="1">#N/A</definedName>
    <definedName name="Z_B4F2381A_EC2E_11D3_BFE3_00C04F733748_.wvu.PrintTitles" hidden="1">#N/A</definedName>
    <definedName name="Z_B4F2381D_EC2E_11D3_BFE3_00C04F733748_.wvu.Cols" hidden="1">#N/A</definedName>
    <definedName name="Z_B4F2381D_EC2E_11D3_BFE3_00C04F733748_.wvu.PrintArea" hidden="1">#N/A</definedName>
    <definedName name="Z_B4F2381D_EC2E_11D3_BFE3_00C04F733748_.wvu.PrintTitles" hidden="1">#N/A</definedName>
    <definedName name="Z_B4F2381F_EC2E_11D3_BFE3_00C04F733748_.wvu.Cols" hidden="1">#N/A</definedName>
    <definedName name="Z_B4F2381F_EC2E_11D3_BFE3_00C04F733748_.wvu.PrintArea" hidden="1">#N/A</definedName>
    <definedName name="Z_B4F2381F_EC2E_11D3_BFE3_00C04F733748_.wvu.PrintTitles" hidden="1">#N/A</definedName>
    <definedName name="Z_B4F23821_EC2E_11D3_BFE3_00C04F733748_.wvu.PrintArea" hidden="1">#N/A</definedName>
    <definedName name="Z_B4F23821_EC2E_11D3_BFE3_00C04F733748_.wvu.PrintTitles" hidden="1">#N/A</definedName>
    <definedName name="Z_B4F23823_EC2E_11D3_BFE3_00C04F733748_.wvu.Cols" hidden="1">#N/A</definedName>
    <definedName name="Z_B4F23823_EC2E_11D3_BFE3_00C04F733748_.wvu.PrintArea" hidden="1">#N/A</definedName>
    <definedName name="Z_B4F23823_EC2E_11D3_BFE3_00C04F733748_.wvu.PrintTitles" hidden="1">#N/A</definedName>
    <definedName name="Z_B74B6A1B_A95A_11D3_8424_20A557C10000_.wvu.Cols" hidden="1">#N/A</definedName>
    <definedName name="Z_B74B6A1B_A95A_11D3_8424_20A557C10000_.wvu.PrintArea" hidden="1">#N/A</definedName>
    <definedName name="Z_B74B6A1B_A95A_11D3_8424_20A557C10000_.wvu.PrintTitles" hidden="1">#N/A</definedName>
    <definedName name="Z_B74B6A1F_A95A_11D3_8424_20A557C10000_.wvu.Cols" hidden="1">#N/A</definedName>
    <definedName name="Z_B74B6A1F_A95A_11D3_8424_20A557C10000_.wvu.PrintArea" hidden="1">#N/A</definedName>
    <definedName name="Z_B74B6A1F_A95A_11D3_8424_20A557C10000_.wvu.PrintTitles" hidden="1">#N/A</definedName>
    <definedName name="Z_B74B6A23_A95A_11D3_8424_20A557C10000_.wvu.Cols" hidden="1">#N/A</definedName>
    <definedName name="Z_B74B6A23_A95A_11D3_8424_20A557C10000_.wvu.PrintArea" hidden="1">#N/A</definedName>
    <definedName name="Z_B74B6A23_A95A_11D3_8424_20A557C10000_.wvu.PrintTitles" hidden="1">#N/A</definedName>
    <definedName name="Z_B74B6A27_A95A_11D3_8424_20A557C10000_.wvu.Cols" hidden="1">#N/A</definedName>
    <definedName name="Z_B74B6A27_A95A_11D3_8424_20A557C10000_.wvu.PrintArea" hidden="1">#N/A</definedName>
    <definedName name="Z_B74B6A27_A95A_11D3_8424_20A557C10000_.wvu.PrintTitles" hidden="1">#N/A</definedName>
    <definedName name="Z_B74B6A2B_A95A_11D3_8424_20A557C10000_.wvu.PrintArea" hidden="1">#N/A</definedName>
    <definedName name="Z_B74B6A2B_A95A_11D3_8424_20A557C10000_.wvu.PrintTitles" hidden="1">#N/A</definedName>
    <definedName name="Z_B74B6A2F_A95A_11D3_8424_20A557C10000_.wvu.Cols" hidden="1">#N/A</definedName>
    <definedName name="Z_B74B6A2F_A95A_11D3_8424_20A557C10000_.wvu.PrintArea" hidden="1">#N/A</definedName>
    <definedName name="Z_B74B6A2F_A95A_11D3_8424_20A557C10000_.wvu.PrintTitles" hidden="1">#N/A</definedName>
    <definedName name="Z_B816250F_E079_11D3_A61D_00C04F5765AC_.wvu.Cols" hidden="1">#N/A</definedName>
    <definedName name="Z_B816250F_E079_11D3_A61D_00C04F5765AC_.wvu.PrintArea" hidden="1">#N/A</definedName>
    <definedName name="Z_B816250F_E079_11D3_A61D_00C04F5765AC_.wvu.PrintTitles" hidden="1">#N/A</definedName>
    <definedName name="Z_B8162510_E079_11D3_A61D_00C04F5765AC_.wvu.Cols" hidden="1">#N/A</definedName>
    <definedName name="Z_B8162510_E079_11D3_A61D_00C04F5765AC_.wvu.PrintArea" hidden="1">#N/A</definedName>
    <definedName name="Z_B8162510_E079_11D3_A61D_00C04F5765AC_.wvu.PrintTitles" hidden="1">#N/A</definedName>
    <definedName name="Z_B8162511_E079_11D3_A61D_00C04F5765AC_.wvu.Cols" hidden="1">#N/A</definedName>
    <definedName name="Z_B8162511_E079_11D3_A61D_00C04F5765AC_.wvu.PrintArea" hidden="1">#N/A</definedName>
    <definedName name="Z_B8162511_E079_11D3_A61D_00C04F5765AC_.wvu.PrintTitles" hidden="1">#N/A</definedName>
    <definedName name="Z_B8162512_E079_11D3_A61D_00C04F5765AC_.wvu.Cols" hidden="1">#N/A</definedName>
    <definedName name="Z_B8162512_E079_11D3_A61D_00C04F5765AC_.wvu.PrintArea" hidden="1">#N/A</definedName>
    <definedName name="Z_B8162512_E079_11D3_A61D_00C04F5765AC_.wvu.PrintTitles" hidden="1">#N/A</definedName>
    <definedName name="Z_B8162513_E079_11D3_A61D_00C04F5765AC_.wvu.PrintArea" hidden="1">#N/A</definedName>
    <definedName name="Z_B8162513_E079_11D3_A61D_00C04F5765AC_.wvu.PrintTitles" hidden="1">#N/A</definedName>
    <definedName name="Z_B8162514_E079_11D3_A61D_00C04F5765AC_.wvu.Cols" hidden="1">#N/A</definedName>
    <definedName name="Z_B8162514_E079_11D3_A61D_00C04F5765AC_.wvu.PrintArea" hidden="1">#N/A</definedName>
    <definedName name="Z_B8162514_E079_11D3_A61D_00C04F5765AC_.wvu.PrintTitles" hidden="1">#N/A</definedName>
    <definedName name="Z_B816251F_E079_11D3_A61D_00C04F5765AC_.wvu.Cols" hidden="1">#N/A</definedName>
    <definedName name="Z_B816251F_E079_11D3_A61D_00C04F5765AC_.wvu.PrintArea" hidden="1">#N/A</definedName>
    <definedName name="Z_B816251F_E079_11D3_A61D_00C04F5765AC_.wvu.PrintTitles" hidden="1">#N/A</definedName>
    <definedName name="Z_B8162520_E079_11D3_A61D_00C04F5765AC_.wvu.Cols" hidden="1">#N/A</definedName>
    <definedName name="Z_B8162520_E079_11D3_A61D_00C04F5765AC_.wvu.PrintArea" hidden="1">#N/A</definedName>
    <definedName name="Z_B8162520_E079_11D3_A61D_00C04F5765AC_.wvu.PrintTitles" hidden="1">#N/A</definedName>
    <definedName name="Z_B8162521_E079_11D3_A61D_00C04F5765AC_.wvu.Cols" hidden="1">#N/A</definedName>
    <definedName name="Z_B8162521_E079_11D3_A61D_00C04F5765AC_.wvu.PrintArea" hidden="1">#N/A</definedName>
    <definedName name="Z_B8162521_E079_11D3_A61D_00C04F5765AC_.wvu.PrintTitles" hidden="1">#N/A</definedName>
    <definedName name="Z_B8162522_E079_11D3_A61D_00C04F5765AC_.wvu.Cols" hidden="1">#N/A</definedName>
    <definedName name="Z_B8162522_E079_11D3_A61D_00C04F5765AC_.wvu.PrintArea" hidden="1">#N/A</definedName>
    <definedName name="Z_B8162522_E079_11D3_A61D_00C04F5765AC_.wvu.PrintTitles" hidden="1">#N/A</definedName>
    <definedName name="Z_B8162523_E079_11D3_A61D_00C04F5765AC_.wvu.PrintArea" hidden="1">#N/A</definedName>
    <definedName name="Z_B8162523_E079_11D3_A61D_00C04F5765AC_.wvu.PrintTitles" hidden="1">#N/A</definedName>
    <definedName name="Z_B8162524_E079_11D3_A61D_00C04F5765AC_.wvu.Cols" hidden="1">#N/A</definedName>
    <definedName name="Z_B8162524_E079_11D3_A61D_00C04F5765AC_.wvu.PrintArea" hidden="1">#N/A</definedName>
    <definedName name="Z_B8162524_E079_11D3_A61D_00C04F5765AC_.wvu.PrintTitles" hidden="1">#N/A</definedName>
    <definedName name="Z_B9429A8E_A064_11D3_8424_F0AB57C10000_.wvu.Cols" hidden="1">#N/A</definedName>
    <definedName name="Z_B9429A8E_A064_11D3_8424_F0AB57C10000_.wvu.PrintArea" hidden="1">#N/A</definedName>
    <definedName name="Z_B9429A8E_A064_11D3_8424_F0AB57C10000_.wvu.PrintTitles" hidden="1">#N/A</definedName>
    <definedName name="Z_B9429A92_A064_11D3_8424_F0AB57C10000_.wvu.Cols" hidden="1">#N/A</definedName>
    <definedName name="Z_B9429A92_A064_11D3_8424_F0AB57C10000_.wvu.PrintArea" hidden="1">#N/A</definedName>
    <definedName name="Z_B9429A92_A064_11D3_8424_F0AB57C10000_.wvu.PrintTitles" hidden="1">#N/A</definedName>
    <definedName name="Z_B9429A96_A064_11D3_8424_F0AB57C10000_.wvu.Cols" hidden="1">#N/A</definedName>
    <definedName name="Z_B9429A96_A064_11D3_8424_F0AB57C10000_.wvu.PrintArea" hidden="1">#N/A</definedName>
    <definedName name="Z_B9429A96_A064_11D3_8424_F0AB57C10000_.wvu.PrintTitles" hidden="1">#N/A</definedName>
    <definedName name="Z_B9429A9A_A064_11D3_8424_F0AB57C10000_.wvu.Cols" hidden="1">#N/A</definedName>
    <definedName name="Z_B9429A9A_A064_11D3_8424_F0AB57C10000_.wvu.PrintArea" hidden="1">#N/A</definedName>
    <definedName name="Z_B9429A9A_A064_11D3_8424_F0AB57C10000_.wvu.PrintTitles" hidden="1">#N/A</definedName>
    <definedName name="Z_B9429A9E_A064_11D3_8424_F0AB57C10000_.wvu.PrintArea" hidden="1">#N/A</definedName>
    <definedName name="Z_B9429A9E_A064_11D3_8424_F0AB57C10000_.wvu.PrintTitles" hidden="1">#N/A</definedName>
    <definedName name="Z_B9429AA2_A064_11D3_8424_F0AB57C10000_.wvu.Cols" hidden="1">#N/A</definedName>
    <definedName name="Z_B9429AA2_A064_11D3_8424_F0AB57C10000_.wvu.PrintArea" hidden="1">#N/A</definedName>
    <definedName name="Z_B9429AA2_A064_11D3_8424_F0AB57C10000_.wvu.PrintTitles" hidden="1">#N/A</definedName>
    <definedName name="Z_B9CEE945_9EC4_11D3_8424_A0A357C10000_.wvu.Cols" hidden="1">#N/A</definedName>
    <definedName name="Z_B9CEE945_9EC4_11D3_8424_A0A357C10000_.wvu.PrintArea" hidden="1">#N/A</definedName>
    <definedName name="Z_B9CEE945_9EC4_11D3_8424_A0A357C10000_.wvu.PrintTitles" hidden="1">#N/A</definedName>
    <definedName name="Z_B9CEE948_9EC4_11D3_8424_A0A357C10000_.wvu.Cols" hidden="1">#N/A</definedName>
    <definedName name="Z_B9CEE948_9EC4_11D3_8424_A0A357C10000_.wvu.PrintArea" hidden="1">#N/A</definedName>
    <definedName name="Z_B9CEE948_9EC4_11D3_8424_A0A357C10000_.wvu.PrintTitles" hidden="1">#N/A</definedName>
    <definedName name="Z_B9CEE94B_9EC4_11D3_8424_A0A357C10000_.wvu.Cols" hidden="1">#N/A</definedName>
    <definedName name="Z_B9CEE94B_9EC4_11D3_8424_A0A357C10000_.wvu.PrintArea" hidden="1">#N/A</definedName>
    <definedName name="Z_B9CEE94B_9EC4_11D3_8424_A0A357C10000_.wvu.PrintTitles" hidden="1">#N/A</definedName>
    <definedName name="Z_B9CEE94E_9EC4_11D3_8424_A0A357C10000_.wvu.Cols" hidden="1">#N/A</definedName>
    <definedName name="Z_B9CEE94E_9EC4_11D3_8424_A0A357C10000_.wvu.PrintArea" hidden="1">#N/A</definedName>
    <definedName name="Z_B9CEE94E_9EC4_11D3_8424_A0A357C10000_.wvu.PrintTitles" hidden="1">#N/A</definedName>
    <definedName name="Z_B9CEE951_9EC4_11D3_8424_A0A357C10000_.wvu.PrintArea" hidden="1">#N/A</definedName>
    <definedName name="Z_B9CEE951_9EC4_11D3_8424_A0A357C10000_.wvu.PrintTitles" hidden="1">#N/A</definedName>
    <definedName name="Z_B9CEE954_9EC4_11D3_8424_A0A357C10000_.wvu.Cols" hidden="1">#N/A</definedName>
    <definedName name="Z_B9CEE954_9EC4_11D3_8424_A0A357C10000_.wvu.PrintArea" hidden="1">#N/A</definedName>
    <definedName name="Z_B9CEE954_9EC4_11D3_8424_A0A357C10000_.wvu.PrintTitles" hidden="1">#N/A</definedName>
    <definedName name="Z_BB4418F4_9F3D_11D3_924A_00C04F847978_.wvu.Cols" hidden="1">#N/A</definedName>
    <definedName name="Z_BB4418F4_9F3D_11D3_924A_00C04F847978_.wvu.PrintArea" hidden="1">#N/A</definedName>
    <definedName name="Z_BB4418F4_9F3D_11D3_924A_00C04F847978_.wvu.PrintTitles" hidden="1">#N/A</definedName>
    <definedName name="Z_BB4418F8_9F3D_11D3_924A_00C04F847978_.wvu.Cols" hidden="1">#N/A</definedName>
    <definedName name="Z_BB4418F8_9F3D_11D3_924A_00C04F847978_.wvu.PrintArea" hidden="1">#N/A</definedName>
    <definedName name="Z_BB4418F8_9F3D_11D3_924A_00C04F847978_.wvu.PrintTitles" hidden="1">#N/A</definedName>
    <definedName name="Z_BB4418FC_9F3D_11D3_924A_00C04F847978_.wvu.Cols" hidden="1">#N/A</definedName>
    <definedName name="Z_BB4418FC_9F3D_11D3_924A_00C04F847978_.wvu.PrintArea" hidden="1">#N/A</definedName>
    <definedName name="Z_BB4418FC_9F3D_11D3_924A_00C04F847978_.wvu.PrintTitles" hidden="1">#N/A</definedName>
    <definedName name="Z_BB441900_9F3D_11D3_924A_00C04F847978_.wvu.Cols" hidden="1">#N/A</definedName>
    <definedName name="Z_BB441900_9F3D_11D3_924A_00C04F847978_.wvu.PrintArea" hidden="1">#N/A</definedName>
    <definedName name="Z_BB441900_9F3D_11D3_924A_00C04F847978_.wvu.PrintTitles" hidden="1">#N/A</definedName>
    <definedName name="Z_BB441904_9F3D_11D3_924A_00C04F847978_.wvu.PrintArea" hidden="1">#N/A</definedName>
    <definedName name="Z_BB441904_9F3D_11D3_924A_00C04F847978_.wvu.PrintTitles" hidden="1">#N/A</definedName>
    <definedName name="Z_BB441908_9F3D_11D3_924A_00C04F847978_.wvu.Cols" hidden="1">#N/A</definedName>
    <definedName name="Z_BB441908_9F3D_11D3_924A_00C04F847978_.wvu.PrintArea" hidden="1">#N/A</definedName>
    <definedName name="Z_BB441908_9F3D_11D3_924A_00C04F847978_.wvu.PrintTitles" hidden="1">#N/A</definedName>
    <definedName name="Z_BD43EB73_C9CD_11D3_924A_00C04F847978_.wvu.Cols" hidden="1">#N/A</definedName>
    <definedName name="Z_BD43EB73_C9CD_11D3_924A_00C04F847978_.wvu.PrintArea" hidden="1">#N/A</definedName>
    <definedName name="Z_BD43EB73_C9CD_11D3_924A_00C04F847978_.wvu.PrintTitles" hidden="1">#N/A</definedName>
    <definedName name="Z_BD43EB75_C9CD_11D3_924A_00C04F847978_.wvu.Cols" hidden="1">#N/A</definedName>
    <definedName name="Z_BD43EB75_C9CD_11D3_924A_00C04F847978_.wvu.PrintArea" hidden="1">#N/A</definedName>
    <definedName name="Z_BD43EB75_C9CD_11D3_924A_00C04F847978_.wvu.PrintTitles" hidden="1">#N/A</definedName>
    <definedName name="Z_BD43EB77_C9CD_11D3_924A_00C04F847978_.wvu.Cols" hidden="1">#N/A</definedName>
    <definedName name="Z_BD43EB77_C9CD_11D3_924A_00C04F847978_.wvu.PrintArea" hidden="1">#N/A</definedName>
    <definedName name="Z_BD43EB77_C9CD_11D3_924A_00C04F847978_.wvu.PrintTitles" hidden="1">#N/A</definedName>
    <definedName name="Z_BD43EB79_C9CD_11D3_924A_00C04F847978_.wvu.Cols" hidden="1">#N/A</definedName>
    <definedName name="Z_BD43EB79_C9CD_11D3_924A_00C04F847978_.wvu.PrintArea" hidden="1">#N/A</definedName>
    <definedName name="Z_BD43EB79_C9CD_11D3_924A_00C04F847978_.wvu.PrintTitles" hidden="1">#N/A</definedName>
    <definedName name="Z_BD43EB7B_C9CD_11D3_924A_00C04F847978_.wvu.PrintArea" hidden="1">#N/A</definedName>
    <definedName name="Z_BD43EB7B_C9CD_11D3_924A_00C04F847978_.wvu.PrintTitles" hidden="1">#N/A</definedName>
    <definedName name="Z_BD43EB7D_C9CD_11D3_924A_00C04F847978_.wvu.Cols" hidden="1">#N/A</definedName>
    <definedName name="Z_BD43EB7D_C9CD_11D3_924A_00C04F847978_.wvu.PrintArea" hidden="1">#N/A</definedName>
    <definedName name="Z_BD43EB7D_C9CD_11D3_924A_00C04F847978_.wvu.PrintTitles" hidden="1">#N/A</definedName>
    <definedName name="Z_BFE5A904_9D9A_11D3_924A_00C04F847978_.wvu.Cols" hidden="1">#N/A</definedName>
    <definedName name="Z_BFE5A904_9D9A_11D3_924A_00C04F847978_.wvu.PrintArea" hidden="1">#N/A</definedName>
    <definedName name="Z_BFE5A904_9D9A_11D3_924A_00C04F847978_.wvu.PrintTitles" hidden="1">#N/A</definedName>
    <definedName name="Z_BFE5A905_9D9A_11D3_924A_00C04F847978_.wvu.Cols" hidden="1">#N/A</definedName>
    <definedName name="Z_BFE5A905_9D9A_11D3_924A_00C04F847978_.wvu.PrintArea" hidden="1">#N/A</definedName>
    <definedName name="Z_BFE5A905_9D9A_11D3_924A_00C04F847978_.wvu.PrintTitles" hidden="1">#N/A</definedName>
    <definedName name="Z_BFE5A906_9D9A_11D3_924A_00C04F847978_.wvu.Cols" hidden="1">#N/A</definedName>
    <definedName name="Z_BFE5A906_9D9A_11D3_924A_00C04F847978_.wvu.PrintArea" hidden="1">#N/A</definedName>
    <definedName name="Z_BFE5A906_9D9A_11D3_924A_00C04F847978_.wvu.PrintTitles" hidden="1">#N/A</definedName>
    <definedName name="Z_BFE5A907_9D9A_11D3_924A_00C04F847978_.wvu.Cols" hidden="1">#N/A</definedName>
    <definedName name="Z_BFE5A907_9D9A_11D3_924A_00C04F847978_.wvu.PrintArea" hidden="1">#N/A</definedName>
    <definedName name="Z_BFE5A907_9D9A_11D3_924A_00C04F847978_.wvu.PrintTitles" hidden="1">#N/A</definedName>
    <definedName name="Z_BFE5A908_9D9A_11D3_924A_00C04F847978_.wvu.PrintArea" hidden="1">#N/A</definedName>
    <definedName name="Z_BFE5A908_9D9A_11D3_924A_00C04F847978_.wvu.PrintTitles" hidden="1">#N/A</definedName>
    <definedName name="Z_BFE5A909_9D9A_11D3_924A_00C04F847978_.wvu.Cols" hidden="1">#N/A</definedName>
    <definedName name="Z_BFE5A909_9D9A_11D3_924A_00C04F847978_.wvu.PrintArea" hidden="1">#N/A</definedName>
    <definedName name="Z_BFE5A909_9D9A_11D3_924A_00C04F847978_.wvu.PrintTitles" hidden="1">#N/A</definedName>
    <definedName name="Z_BFE5A919_9D9A_11D3_924A_00C04F847978_.wvu.Cols" hidden="1">#N/A</definedName>
    <definedName name="Z_BFE5A919_9D9A_11D3_924A_00C04F847978_.wvu.PrintArea" hidden="1">#N/A</definedName>
    <definedName name="Z_BFE5A919_9D9A_11D3_924A_00C04F847978_.wvu.PrintTitles" hidden="1">#N/A</definedName>
    <definedName name="Z_BFE5A91A_9D9A_11D3_924A_00C04F847978_.wvu.Cols" hidden="1">#N/A</definedName>
    <definedName name="Z_BFE5A91A_9D9A_11D3_924A_00C04F847978_.wvu.PrintArea" hidden="1">#N/A</definedName>
    <definedName name="Z_BFE5A91A_9D9A_11D3_924A_00C04F847978_.wvu.PrintTitles" hidden="1">#N/A</definedName>
    <definedName name="Z_BFE5A91B_9D9A_11D3_924A_00C04F847978_.wvu.Cols" hidden="1">#N/A</definedName>
    <definedName name="Z_BFE5A91B_9D9A_11D3_924A_00C04F847978_.wvu.PrintArea" hidden="1">#N/A</definedName>
    <definedName name="Z_BFE5A91B_9D9A_11D3_924A_00C04F847978_.wvu.PrintTitles" hidden="1">#N/A</definedName>
    <definedName name="Z_BFE5A91C_9D9A_11D3_924A_00C04F847978_.wvu.Cols" hidden="1">#N/A</definedName>
    <definedName name="Z_BFE5A91C_9D9A_11D3_924A_00C04F847978_.wvu.PrintArea" hidden="1">#N/A</definedName>
    <definedName name="Z_BFE5A91C_9D9A_11D3_924A_00C04F847978_.wvu.PrintTitles" hidden="1">#N/A</definedName>
    <definedName name="Z_BFE5A91D_9D9A_11D3_924A_00C04F847978_.wvu.PrintArea" hidden="1">#N/A</definedName>
    <definedName name="Z_BFE5A91D_9D9A_11D3_924A_00C04F847978_.wvu.PrintTitles" hidden="1">#N/A</definedName>
    <definedName name="Z_BFE5A91E_9D9A_11D3_924A_00C04F847978_.wvu.Cols" hidden="1">#N/A</definedName>
    <definedName name="Z_BFE5A91E_9D9A_11D3_924A_00C04F847978_.wvu.PrintArea" hidden="1">#N/A</definedName>
    <definedName name="Z_BFE5A91E_9D9A_11D3_924A_00C04F847978_.wvu.PrintTitles" hidden="1">#N/A</definedName>
    <definedName name="Z_C3971613_CB2A_11D3_924A_00C04F847978_.wvu.Cols" hidden="1">#N/A</definedName>
    <definedName name="Z_C3971613_CB2A_11D3_924A_00C04F847978_.wvu.PrintArea" hidden="1">#N/A</definedName>
    <definedName name="Z_C3971613_CB2A_11D3_924A_00C04F847978_.wvu.PrintTitles" hidden="1">#N/A</definedName>
    <definedName name="Z_C3971615_CB2A_11D3_924A_00C04F847978_.wvu.Cols" hidden="1">#N/A</definedName>
    <definedName name="Z_C3971615_CB2A_11D3_924A_00C04F847978_.wvu.PrintArea" hidden="1">#N/A</definedName>
    <definedName name="Z_C3971615_CB2A_11D3_924A_00C04F847978_.wvu.PrintTitles" hidden="1">#N/A</definedName>
    <definedName name="Z_C3971617_CB2A_11D3_924A_00C04F847978_.wvu.Cols" hidden="1">#N/A</definedName>
    <definedName name="Z_C3971617_CB2A_11D3_924A_00C04F847978_.wvu.PrintArea" hidden="1">#N/A</definedName>
    <definedName name="Z_C3971617_CB2A_11D3_924A_00C04F847978_.wvu.PrintTitles" hidden="1">#N/A</definedName>
    <definedName name="Z_C3971619_CB2A_11D3_924A_00C04F847978_.wvu.Cols" hidden="1">#N/A</definedName>
    <definedName name="Z_C3971619_CB2A_11D3_924A_00C04F847978_.wvu.PrintArea" hidden="1">#N/A</definedName>
    <definedName name="Z_C3971619_CB2A_11D3_924A_00C04F847978_.wvu.PrintTitles" hidden="1">#N/A</definedName>
    <definedName name="Z_C397161B_CB2A_11D3_924A_00C04F847978_.wvu.PrintArea" hidden="1">#N/A</definedName>
    <definedName name="Z_C397161B_CB2A_11D3_924A_00C04F847978_.wvu.PrintTitles" hidden="1">#N/A</definedName>
    <definedName name="Z_C397161D_CB2A_11D3_924A_00C04F847978_.wvu.Cols" hidden="1">#N/A</definedName>
    <definedName name="Z_C397161D_CB2A_11D3_924A_00C04F847978_.wvu.PrintArea" hidden="1">#N/A</definedName>
    <definedName name="Z_C397161D_CB2A_11D3_924A_00C04F847978_.wvu.PrintTitles" hidden="1">#N/A</definedName>
    <definedName name="Z_D5A91EB3_CBEA_451F_800C_BD40E1969C1E_.wvu.FilterData" hidden="1">#REF!</definedName>
    <definedName name="Z_D6ECFD75_A199_11D3_924A_00C04F8362DB_.wvu.Cols" hidden="1">#N/A</definedName>
    <definedName name="Z_D6ECFD75_A199_11D3_924A_00C04F8362DB_.wvu.PrintArea" hidden="1">#N/A</definedName>
    <definedName name="Z_D6ECFD75_A199_11D3_924A_00C04F8362DB_.wvu.PrintTitles" hidden="1">#N/A</definedName>
    <definedName name="Z_D6ECFD79_A199_11D3_924A_00C04F8362DB_.wvu.Cols" hidden="1">#N/A</definedName>
    <definedName name="Z_D6ECFD79_A199_11D3_924A_00C04F8362DB_.wvu.PrintArea" hidden="1">#N/A</definedName>
    <definedName name="Z_D6ECFD79_A199_11D3_924A_00C04F8362DB_.wvu.PrintTitles" hidden="1">#N/A</definedName>
    <definedName name="Z_D6ECFD7D_A199_11D3_924A_00C04F8362DB_.wvu.Cols" hidden="1">#N/A</definedName>
    <definedName name="Z_D6ECFD7D_A199_11D3_924A_00C04F8362DB_.wvu.PrintArea" hidden="1">#N/A</definedName>
    <definedName name="Z_D6ECFD7D_A199_11D3_924A_00C04F8362DB_.wvu.PrintTitles" hidden="1">#N/A</definedName>
    <definedName name="Z_D6ECFD81_A199_11D3_924A_00C04F8362DB_.wvu.Cols" hidden="1">#N/A</definedName>
    <definedName name="Z_D6ECFD81_A199_11D3_924A_00C04F8362DB_.wvu.PrintArea" hidden="1">#N/A</definedName>
    <definedName name="Z_D6ECFD81_A199_11D3_924A_00C04F8362DB_.wvu.PrintTitles" hidden="1">#N/A</definedName>
    <definedName name="Z_D6ECFD85_A199_11D3_924A_00C04F8362DB_.wvu.PrintArea" hidden="1">#N/A</definedName>
    <definedName name="Z_D6ECFD85_A199_11D3_924A_00C04F8362DB_.wvu.PrintTitles" hidden="1">#N/A</definedName>
    <definedName name="Z_D6ECFD89_A199_11D3_924A_00C04F8362DB_.wvu.Cols" hidden="1">#N/A</definedName>
    <definedName name="Z_D6ECFD89_A199_11D3_924A_00C04F8362DB_.wvu.PrintArea" hidden="1">#N/A</definedName>
    <definedName name="Z_D6ECFD89_A199_11D3_924A_00C04F8362DB_.wvu.PrintTitles" hidden="1">#N/A</definedName>
    <definedName name="Z_D6ECFDDA_A199_11D3_924A_00C04F8362DB_.wvu.Cols" hidden="1">#N/A</definedName>
    <definedName name="Z_D6ECFDDA_A199_11D3_924A_00C04F8362DB_.wvu.PrintArea" hidden="1">#N/A</definedName>
    <definedName name="Z_D6ECFDDA_A199_11D3_924A_00C04F8362DB_.wvu.PrintTitles" hidden="1">#N/A</definedName>
    <definedName name="Z_D6ECFDDE_A199_11D3_924A_00C04F8362DB_.wvu.Cols" hidden="1">#N/A</definedName>
    <definedName name="Z_D6ECFDDE_A199_11D3_924A_00C04F8362DB_.wvu.PrintArea" hidden="1">#N/A</definedName>
    <definedName name="Z_D6ECFDDE_A199_11D3_924A_00C04F8362DB_.wvu.PrintTitles" hidden="1">#N/A</definedName>
    <definedName name="Z_D6ECFDE2_A199_11D3_924A_00C04F8362DB_.wvu.Cols" hidden="1">#N/A</definedName>
    <definedName name="Z_D6ECFDE2_A199_11D3_924A_00C04F8362DB_.wvu.PrintArea" hidden="1">#N/A</definedName>
    <definedName name="Z_D6ECFDE2_A199_11D3_924A_00C04F8362DB_.wvu.PrintTitles" hidden="1">#N/A</definedName>
    <definedName name="Z_D6ECFDE6_A199_11D3_924A_00C04F8362DB_.wvu.Cols" hidden="1">#N/A</definedName>
    <definedName name="Z_D6ECFDE6_A199_11D3_924A_00C04F8362DB_.wvu.PrintArea" hidden="1">#N/A</definedName>
    <definedName name="Z_D6ECFDE6_A199_11D3_924A_00C04F8362DB_.wvu.PrintTitles" hidden="1">#N/A</definedName>
    <definedName name="Z_D6ECFDEA_A199_11D3_924A_00C04F8362DB_.wvu.PrintArea" hidden="1">#N/A</definedName>
    <definedName name="Z_D6ECFDEA_A199_11D3_924A_00C04F8362DB_.wvu.PrintTitles" hidden="1">#N/A</definedName>
    <definedName name="Z_D6ECFDEE_A199_11D3_924A_00C04F8362DB_.wvu.Cols" hidden="1">#N/A</definedName>
    <definedName name="Z_D6ECFDEE_A199_11D3_924A_00C04F8362DB_.wvu.PrintArea" hidden="1">#N/A</definedName>
    <definedName name="Z_D6ECFDEE_A199_11D3_924A_00C04F8362DB_.wvu.PrintTitles" hidden="1">#N/A</definedName>
    <definedName name="Z_D9B5685B_AF52_11D3_8424_60AA57C10000_.wvu.Cols" hidden="1">#N/A</definedName>
    <definedName name="Z_D9B5685B_AF52_11D3_8424_60AA57C10000_.wvu.PrintArea" hidden="1">#N/A</definedName>
    <definedName name="Z_D9B5685B_AF52_11D3_8424_60AA57C10000_.wvu.PrintTitles" hidden="1">#N/A</definedName>
    <definedName name="Z_D9B5685F_AF52_11D3_8424_60AA57C10000_.wvu.Cols" hidden="1">#N/A</definedName>
    <definedName name="Z_D9B5685F_AF52_11D3_8424_60AA57C10000_.wvu.PrintArea" hidden="1">#N/A</definedName>
    <definedName name="Z_D9B5685F_AF52_11D3_8424_60AA57C10000_.wvu.PrintTitles" hidden="1">#N/A</definedName>
    <definedName name="Z_D9B56863_AF52_11D3_8424_60AA57C10000_.wvu.Cols" hidden="1">#N/A</definedName>
    <definedName name="Z_D9B56863_AF52_11D3_8424_60AA57C10000_.wvu.PrintArea" hidden="1">#N/A</definedName>
    <definedName name="Z_D9B56863_AF52_11D3_8424_60AA57C10000_.wvu.PrintTitles" hidden="1">#N/A</definedName>
    <definedName name="Z_D9B56867_AF52_11D3_8424_60AA57C10000_.wvu.Cols" hidden="1">#N/A</definedName>
    <definedName name="Z_D9B56867_AF52_11D3_8424_60AA57C10000_.wvu.PrintArea" hidden="1">#N/A</definedName>
    <definedName name="Z_D9B56867_AF52_11D3_8424_60AA57C10000_.wvu.PrintTitles" hidden="1">#N/A</definedName>
    <definedName name="Z_D9B5686B_AF52_11D3_8424_60AA57C10000_.wvu.PrintArea" hidden="1">#N/A</definedName>
    <definedName name="Z_D9B5686B_AF52_11D3_8424_60AA57C10000_.wvu.PrintTitles" hidden="1">#N/A</definedName>
    <definedName name="Z_D9B5686F_AF52_11D3_8424_60AA57C10000_.wvu.Cols" hidden="1">#N/A</definedName>
    <definedName name="Z_D9B5686F_AF52_11D3_8424_60AA57C10000_.wvu.PrintArea" hidden="1">#N/A</definedName>
    <definedName name="Z_D9B5686F_AF52_11D3_8424_60AA57C10000_.wvu.PrintTitles" hidden="1">#N/A</definedName>
    <definedName name="Z_DD944590_A16F_11D3_8424_F0A357C10000_.wvu.Cols" hidden="1">#N/A</definedName>
    <definedName name="Z_DD944590_A16F_11D3_8424_F0A357C10000_.wvu.PrintArea" hidden="1">#N/A</definedName>
    <definedName name="Z_DD944590_A16F_11D3_8424_F0A357C10000_.wvu.PrintTitles" hidden="1">#N/A</definedName>
    <definedName name="Z_DD944594_A16F_11D3_8424_F0A357C10000_.wvu.Cols" hidden="1">#N/A</definedName>
    <definedName name="Z_DD944594_A16F_11D3_8424_F0A357C10000_.wvu.PrintArea" hidden="1">#N/A</definedName>
    <definedName name="Z_DD944594_A16F_11D3_8424_F0A357C10000_.wvu.PrintTitles" hidden="1">#N/A</definedName>
    <definedName name="Z_DD944598_A16F_11D3_8424_F0A357C10000_.wvu.Cols" hidden="1">#N/A</definedName>
    <definedName name="Z_DD944598_A16F_11D3_8424_F0A357C10000_.wvu.PrintArea" hidden="1">#N/A</definedName>
    <definedName name="Z_DD944598_A16F_11D3_8424_F0A357C10000_.wvu.PrintTitles" hidden="1">#N/A</definedName>
    <definedName name="Z_DD94459C_A16F_11D3_8424_F0A357C10000_.wvu.Cols" hidden="1">#N/A</definedName>
    <definedName name="Z_DD94459C_A16F_11D3_8424_F0A357C10000_.wvu.PrintArea" hidden="1">#N/A</definedName>
    <definedName name="Z_DD94459C_A16F_11D3_8424_F0A357C10000_.wvu.PrintTitles" hidden="1">#N/A</definedName>
    <definedName name="Z_DD9445A0_A16F_11D3_8424_F0A357C10000_.wvu.PrintArea" hidden="1">#N/A</definedName>
    <definedName name="Z_DD9445A0_A16F_11D3_8424_F0A357C10000_.wvu.PrintTitles" hidden="1">#N/A</definedName>
    <definedName name="Z_DD9445A4_A16F_11D3_8424_F0A357C10000_.wvu.Cols" hidden="1">#N/A</definedName>
    <definedName name="Z_DD9445A4_A16F_11D3_8424_F0A357C10000_.wvu.PrintArea" hidden="1">#N/A</definedName>
    <definedName name="Z_DD9445A4_A16F_11D3_8424_F0A357C10000_.wvu.PrintTitles" hidden="1">#N/A</definedName>
    <definedName name="Z_DF905632_9E5A_11D3_924A_00C04F8362DB_.wvu.PrintArea" hidden="1">#N/A</definedName>
    <definedName name="Z_DF905632_9E5A_11D3_924A_00C04F8362DB_.wvu.PrintTitles" hidden="1">#N/A</definedName>
    <definedName name="Z_DF905634_9E5A_11D3_924A_00C04F8362DB_.wvu.PrintArea" hidden="1">#N/A</definedName>
    <definedName name="Z_DF905634_9E5A_11D3_924A_00C04F8362DB_.wvu.PrintTitles" hidden="1">#N/A</definedName>
    <definedName name="Z_DF905636_9E5A_11D3_924A_00C04F8362DB_.wvu.PrintArea" hidden="1">#N/A</definedName>
    <definedName name="Z_DF905636_9E5A_11D3_924A_00C04F8362DB_.wvu.PrintTitles" hidden="1">#N/A</definedName>
    <definedName name="Z_DF905638_9E5A_11D3_924A_00C04F8362DB_.wvu.PrintArea" hidden="1">#N/A</definedName>
    <definedName name="Z_DF905638_9E5A_11D3_924A_00C04F8362DB_.wvu.PrintTitles" hidden="1">#N/A</definedName>
    <definedName name="Z_DF90563A_9E5A_11D3_924A_00C04F8362DB_.wvu.PrintArea" hidden="1">#N/A</definedName>
    <definedName name="Z_DF90563A_9E5A_11D3_924A_00C04F8362DB_.wvu.PrintTitles" hidden="1">#N/A</definedName>
    <definedName name="Z_DF90563C_9E5A_11D3_924A_00C04F8362DB_.wvu.PrintArea" hidden="1">#N/A</definedName>
    <definedName name="Z_DF90563C_9E5A_11D3_924A_00C04F8362DB_.wvu.PrintTitles" hidden="1">#N/A</definedName>
    <definedName name="Z_DF905666_9E5A_11D3_924A_00C04F8362DB_.wvu.PrintArea" hidden="1">#N/A</definedName>
    <definedName name="Z_DF905666_9E5A_11D3_924A_00C04F8362DB_.wvu.PrintTitles" hidden="1">#N/A</definedName>
    <definedName name="Z_DF905668_9E5A_11D3_924A_00C04F8362DB_.wvu.PrintArea" hidden="1">#N/A</definedName>
    <definedName name="Z_DF905668_9E5A_11D3_924A_00C04F8362DB_.wvu.PrintTitles" hidden="1">#N/A</definedName>
    <definedName name="Z_DF90566A_9E5A_11D3_924A_00C04F8362DB_.wvu.PrintArea" hidden="1">#N/A</definedName>
    <definedName name="Z_DF90566A_9E5A_11D3_924A_00C04F8362DB_.wvu.PrintTitles" hidden="1">#N/A</definedName>
    <definedName name="Z_DF90566C_9E5A_11D3_924A_00C04F8362DB_.wvu.PrintArea" hidden="1">#N/A</definedName>
    <definedName name="Z_DF90566C_9E5A_11D3_924A_00C04F8362DB_.wvu.PrintTitles" hidden="1">#N/A</definedName>
    <definedName name="Z_DF90566E_9E5A_11D3_924A_00C04F8362DB_.wvu.PrintArea" hidden="1">#N/A</definedName>
    <definedName name="Z_DF90566E_9E5A_11D3_924A_00C04F8362DB_.wvu.PrintTitles" hidden="1">#N/A</definedName>
    <definedName name="Z_DF905670_9E5A_11D3_924A_00C04F8362DB_.wvu.PrintArea" hidden="1">#N/A</definedName>
    <definedName name="Z_DF905670_9E5A_11D3_924A_00C04F8362DB_.wvu.PrintTitles" hidden="1">#N/A</definedName>
    <definedName name="Z_DF905683_9E5A_11D3_924A_00C04F8362DB_.wvu.Cols" hidden="1">#N/A</definedName>
    <definedName name="Z_DF905683_9E5A_11D3_924A_00C04F8362DB_.wvu.PrintArea" hidden="1">#N/A</definedName>
    <definedName name="Z_DF905683_9E5A_11D3_924A_00C04F8362DB_.wvu.PrintTitles" hidden="1">#N/A</definedName>
    <definedName name="Z_DF905685_9E5A_11D3_924A_00C04F8362DB_.wvu.Cols" hidden="1">#N/A</definedName>
    <definedName name="Z_DF905685_9E5A_11D3_924A_00C04F8362DB_.wvu.PrintArea" hidden="1">#N/A</definedName>
    <definedName name="Z_DF905685_9E5A_11D3_924A_00C04F8362DB_.wvu.PrintTitles" hidden="1">#N/A</definedName>
    <definedName name="Z_DF905687_9E5A_11D3_924A_00C04F8362DB_.wvu.Cols" hidden="1">#N/A</definedName>
    <definedName name="Z_DF905687_9E5A_11D3_924A_00C04F8362DB_.wvu.PrintArea" hidden="1">#N/A</definedName>
    <definedName name="Z_DF905687_9E5A_11D3_924A_00C04F8362DB_.wvu.PrintTitles" hidden="1">#N/A</definedName>
    <definedName name="Z_DF905689_9E5A_11D3_924A_00C04F8362DB_.wvu.Cols" hidden="1">#N/A</definedName>
    <definedName name="Z_DF905689_9E5A_11D3_924A_00C04F8362DB_.wvu.PrintArea" hidden="1">#N/A</definedName>
    <definedName name="Z_DF905689_9E5A_11D3_924A_00C04F8362DB_.wvu.PrintTitles" hidden="1">#N/A</definedName>
    <definedName name="Z_DF90568B_9E5A_11D3_924A_00C04F8362DB_.wvu.PrintArea" hidden="1">#N/A</definedName>
    <definedName name="Z_DF90568B_9E5A_11D3_924A_00C04F8362DB_.wvu.PrintTitles" hidden="1">#N/A</definedName>
    <definedName name="Z_DF90568D_9E5A_11D3_924A_00C04F8362DB_.wvu.Cols" hidden="1">#N/A</definedName>
    <definedName name="Z_DF90568D_9E5A_11D3_924A_00C04F8362DB_.wvu.PrintArea" hidden="1">#N/A</definedName>
    <definedName name="Z_DF90568D_9E5A_11D3_924A_00C04F8362DB_.wvu.PrintTitles" hidden="1">#N/A</definedName>
    <definedName name="Z_DurDun">#N/A</definedName>
    <definedName name="Z_E2AC167F_B77D_11D3_924A_00C04F847978_.wvu.Cols" hidden="1">#N/A</definedName>
    <definedName name="Z_E2AC167F_B77D_11D3_924A_00C04F847978_.wvu.PrintArea" hidden="1">#N/A</definedName>
    <definedName name="Z_E2AC167F_B77D_11D3_924A_00C04F847978_.wvu.PrintTitles" hidden="1">#N/A</definedName>
    <definedName name="Z_E2AC1682_B77D_11D3_924A_00C04F847978_.wvu.Cols" hidden="1">#N/A</definedName>
    <definedName name="Z_E2AC1682_B77D_11D3_924A_00C04F847978_.wvu.PrintArea" hidden="1">#N/A</definedName>
    <definedName name="Z_E2AC1682_B77D_11D3_924A_00C04F847978_.wvu.PrintTitles" hidden="1">#N/A</definedName>
    <definedName name="Z_E2AC1685_B77D_11D3_924A_00C04F847978_.wvu.Cols" hidden="1">#N/A</definedName>
    <definedName name="Z_E2AC1685_B77D_11D3_924A_00C04F847978_.wvu.PrintArea" hidden="1">#N/A</definedName>
    <definedName name="Z_E2AC1685_B77D_11D3_924A_00C04F847978_.wvu.PrintTitles" hidden="1">#N/A</definedName>
    <definedName name="Z_E2AC1688_B77D_11D3_924A_00C04F847978_.wvu.Cols" hidden="1">#N/A</definedName>
    <definedName name="Z_E2AC1688_B77D_11D3_924A_00C04F847978_.wvu.PrintArea" hidden="1">#N/A</definedName>
    <definedName name="Z_E2AC1688_B77D_11D3_924A_00C04F847978_.wvu.PrintTitles" hidden="1">#N/A</definedName>
    <definedName name="Z_E2AC168B_B77D_11D3_924A_00C04F847978_.wvu.PrintArea" hidden="1">#N/A</definedName>
    <definedName name="Z_E2AC168B_B77D_11D3_924A_00C04F847978_.wvu.PrintTitles" hidden="1">#N/A</definedName>
    <definedName name="Z_E2AC168E_B77D_11D3_924A_00C04F847978_.wvu.Cols" hidden="1">#N/A</definedName>
    <definedName name="Z_E2AC168E_B77D_11D3_924A_00C04F847978_.wvu.PrintArea" hidden="1">#N/A</definedName>
    <definedName name="Z_E2AC168E_B77D_11D3_924A_00C04F847978_.wvu.PrintTitles" hidden="1">#N/A</definedName>
    <definedName name="Z_E2AC16D5_B77D_11D3_924A_00C04F847978_.wvu.Cols" hidden="1">#N/A</definedName>
    <definedName name="Z_E2AC16D5_B77D_11D3_924A_00C04F847978_.wvu.PrintArea" hidden="1">#N/A</definedName>
    <definedName name="Z_E2AC16D5_B77D_11D3_924A_00C04F847978_.wvu.PrintTitles" hidden="1">#N/A</definedName>
    <definedName name="Z_E2AC16D8_B77D_11D3_924A_00C04F847978_.wvu.Cols" hidden="1">#N/A</definedName>
    <definedName name="Z_E2AC16D8_B77D_11D3_924A_00C04F847978_.wvu.PrintArea" hidden="1">#N/A</definedName>
    <definedName name="Z_E2AC16D8_B77D_11D3_924A_00C04F847978_.wvu.PrintTitles" hidden="1">#N/A</definedName>
    <definedName name="Z_E2AC16DB_B77D_11D3_924A_00C04F847978_.wvu.Cols" hidden="1">#N/A</definedName>
    <definedName name="Z_E2AC16DB_B77D_11D3_924A_00C04F847978_.wvu.PrintArea" hidden="1">#N/A</definedName>
    <definedName name="Z_E2AC16DB_B77D_11D3_924A_00C04F847978_.wvu.PrintTitles" hidden="1">#N/A</definedName>
    <definedName name="Z_E2AC16DE_B77D_11D3_924A_00C04F847978_.wvu.Cols" hidden="1">#N/A</definedName>
    <definedName name="Z_E2AC16DE_B77D_11D3_924A_00C04F847978_.wvu.PrintArea" hidden="1">#N/A</definedName>
    <definedName name="Z_E2AC16DE_B77D_11D3_924A_00C04F847978_.wvu.PrintTitles" hidden="1">#N/A</definedName>
    <definedName name="Z_E2AC16E1_B77D_11D3_924A_00C04F847978_.wvu.PrintArea" hidden="1">#N/A</definedName>
    <definedName name="Z_E2AC16E1_B77D_11D3_924A_00C04F847978_.wvu.PrintTitles" hidden="1">#N/A</definedName>
    <definedName name="Z_E2AC16E4_B77D_11D3_924A_00C04F847978_.wvu.Cols" hidden="1">#N/A</definedName>
    <definedName name="Z_E2AC16E4_B77D_11D3_924A_00C04F847978_.wvu.PrintArea" hidden="1">#N/A</definedName>
    <definedName name="Z_E2AC16E4_B77D_11D3_924A_00C04F847978_.wvu.PrintTitles" hidden="1">#N/A</definedName>
    <definedName name="Z_E402058D_9D92_11D3_924A_00C04F8362DB_.wvu.Cols" hidden="1">#N/A</definedName>
    <definedName name="Z_E402058D_9D92_11D3_924A_00C04F8362DB_.wvu.PrintArea" hidden="1">#N/A</definedName>
    <definedName name="Z_E402058D_9D92_11D3_924A_00C04F8362DB_.wvu.PrintTitles" hidden="1">#N/A</definedName>
    <definedName name="Z_E402058E_9D92_11D3_924A_00C04F8362DB_.wvu.Cols" hidden="1">#N/A</definedName>
    <definedName name="Z_E402058E_9D92_11D3_924A_00C04F8362DB_.wvu.PrintArea" hidden="1">#N/A</definedName>
    <definedName name="Z_E402058E_9D92_11D3_924A_00C04F8362DB_.wvu.PrintTitles" hidden="1">#N/A</definedName>
    <definedName name="Z_E402058F_9D92_11D3_924A_00C04F8362DB_.wvu.Cols" hidden="1">#N/A</definedName>
    <definedName name="Z_E402058F_9D92_11D3_924A_00C04F8362DB_.wvu.PrintArea" hidden="1">#N/A</definedName>
    <definedName name="Z_E402058F_9D92_11D3_924A_00C04F8362DB_.wvu.PrintTitles" hidden="1">#N/A</definedName>
    <definedName name="Z_E4020590_9D92_11D3_924A_00C04F8362DB_.wvu.Cols" hidden="1">#N/A</definedName>
    <definedName name="Z_E4020590_9D92_11D3_924A_00C04F8362DB_.wvu.PrintArea" hidden="1">#N/A</definedName>
    <definedName name="Z_E4020590_9D92_11D3_924A_00C04F8362DB_.wvu.PrintTitles" hidden="1">#N/A</definedName>
    <definedName name="Z_E4020591_9D92_11D3_924A_00C04F8362DB_.wvu.PrintArea" hidden="1">#N/A</definedName>
    <definedName name="Z_E4020591_9D92_11D3_924A_00C04F8362DB_.wvu.PrintTitles" hidden="1">#N/A</definedName>
    <definedName name="Z_E4020592_9D92_11D3_924A_00C04F8362DB_.wvu.Cols" hidden="1">#N/A</definedName>
    <definedName name="Z_E4020592_9D92_11D3_924A_00C04F8362DB_.wvu.PrintArea" hidden="1">#N/A</definedName>
    <definedName name="Z_E4020592_9D92_11D3_924A_00C04F8362DB_.wvu.PrintTitles" hidden="1">#N/A</definedName>
    <definedName name="Z_E919ABF9_AE1B_11D3_924A_00C04F847978_.wvu.Cols" hidden="1">#N/A</definedName>
    <definedName name="Z_E919ABF9_AE1B_11D3_924A_00C04F847978_.wvu.PrintArea" hidden="1">#N/A</definedName>
    <definedName name="Z_E919ABF9_AE1B_11D3_924A_00C04F847978_.wvu.PrintTitles" hidden="1">#N/A</definedName>
    <definedName name="Z_E919ABFD_AE1B_11D3_924A_00C04F847978_.wvu.Cols" hidden="1">#N/A</definedName>
    <definedName name="Z_E919ABFD_AE1B_11D3_924A_00C04F847978_.wvu.PrintArea" hidden="1">#N/A</definedName>
    <definedName name="Z_E919ABFD_AE1B_11D3_924A_00C04F847978_.wvu.PrintTitles" hidden="1">#N/A</definedName>
    <definedName name="Z_E919AC01_AE1B_11D3_924A_00C04F847978_.wvu.Cols" hidden="1">#N/A</definedName>
    <definedName name="Z_E919AC01_AE1B_11D3_924A_00C04F847978_.wvu.PrintArea" hidden="1">#N/A</definedName>
    <definedName name="Z_E919AC01_AE1B_11D3_924A_00C04F847978_.wvu.PrintTitles" hidden="1">#N/A</definedName>
    <definedName name="Z_E919AC05_AE1B_11D3_924A_00C04F847978_.wvu.Cols" hidden="1">#N/A</definedName>
    <definedName name="Z_E919AC05_AE1B_11D3_924A_00C04F847978_.wvu.PrintArea" hidden="1">#N/A</definedName>
    <definedName name="Z_E919AC05_AE1B_11D3_924A_00C04F847978_.wvu.PrintTitles" hidden="1">#N/A</definedName>
    <definedName name="Z_E919AC09_AE1B_11D3_924A_00C04F847978_.wvu.PrintArea" hidden="1">#N/A</definedName>
    <definedName name="Z_E919AC09_AE1B_11D3_924A_00C04F847978_.wvu.PrintTitles" hidden="1">#N/A</definedName>
    <definedName name="Z_E919AC0D_AE1B_11D3_924A_00C04F847978_.wvu.Cols" hidden="1">#N/A</definedName>
    <definedName name="Z_E919AC0D_AE1B_11D3_924A_00C04F847978_.wvu.PrintArea" hidden="1">#N/A</definedName>
    <definedName name="Z_E919AC0D_AE1B_11D3_924A_00C04F847978_.wvu.PrintTitles" hidden="1">#N/A</definedName>
    <definedName name="Z_EC1531CE_A637_11D3_924A_00C04F8362DB_.wvu.Cols" hidden="1">#N/A</definedName>
    <definedName name="Z_EC1531CE_A637_11D3_924A_00C04F8362DB_.wvu.PrintArea" hidden="1">#N/A</definedName>
    <definedName name="Z_EC1531CE_A637_11D3_924A_00C04F8362DB_.wvu.PrintTitles" hidden="1">#N/A</definedName>
    <definedName name="Z_EC1531D2_A637_11D3_924A_00C04F8362DB_.wvu.Cols" hidden="1">#N/A</definedName>
    <definedName name="Z_EC1531D2_A637_11D3_924A_00C04F8362DB_.wvu.PrintArea" hidden="1">#N/A</definedName>
    <definedName name="Z_EC1531D2_A637_11D3_924A_00C04F8362DB_.wvu.PrintTitles" hidden="1">#N/A</definedName>
    <definedName name="Z_EC1531D6_A637_11D3_924A_00C04F8362DB_.wvu.Cols" hidden="1">#N/A</definedName>
    <definedName name="Z_EC1531D6_A637_11D3_924A_00C04F8362DB_.wvu.PrintArea" hidden="1">#N/A</definedName>
    <definedName name="Z_EC1531D6_A637_11D3_924A_00C04F8362DB_.wvu.PrintTitles" hidden="1">#N/A</definedName>
    <definedName name="Z_EC1531DA_A637_11D3_924A_00C04F8362DB_.wvu.Cols" hidden="1">#N/A</definedName>
    <definedName name="Z_EC1531DA_A637_11D3_924A_00C04F8362DB_.wvu.PrintArea" hidden="1">#N/A</definedName>
    <definedName name="Z_EC1531DA_A637_11D3_924A_00C04F8362DB_.wvu.PrintTitles" hidden="1">#N/A</definedName>
    <definedName name="Z_EC1531DE_A637_11D3_924A_00C04F8362DB_.wvu.PrintArea" hidden="1">#N/A</definedName>
    <definedName name="Z_EC1531DE_A637_11D3_924A_00C04F8362DB_.wvu.PrintTitles" hidden="1">#N/A</definedName>
    <definedName name="Z_EC1531E2_A637_11D3_924A_00C04F8362DB_.wvu.Cols" hidden="1">#N/A</definedName>
    <definedName name="Z_EC1531E2_A637_11D3_924A_00C04F8362DB_.wvu.PrintArea" hidden="1">#N/A</definedName>
    <definedName name="Z_EC1531E2_A637_11D3_924A_00C04F8362DB_.wvu.PrintTitles" hidden="1">#N/A</definedName>
    <definedName name="Z_EEE8DAC6_EB5D_11D3_A61D_00C04F5765AC_.wvu.Cols" hidden="1">#N/A</definedName>
    <definedName name="Z_EEE8DAC6_EB5D_11D3_A61D_00C04F5765AC_.wvu.PrintArea" hidden="1">#N/A</definedName>
    <definedName name="Z_EEE8DAC6_EB5D_11D3_A61D_00C04F5765AC_.wvu.PrintTitles" hidden="1">#N/A</definedName>
    <definedName name="Z_EEE8DAC8_EB5D_11D3_A61D_00C04F5765AC_.wvu.Cols" hidden="1">#N/A</definedName>
    <definedName name="Z_EEE8DAC8_EB5D_11D3_A61D_00C04F5765AC_.wvu.PrintArea" hidden="1">#N/A</definedName>
    <definedName name="Z_EEE8DAC8_EB5D_11D3_A61D_00C04F5765AC_.wvu.PrintTitles" hidden="1">#N/A</definedName>
    <definedName name="Z_EEE8DACB_EB5D_11D3_A61D_00C04F5765AC_.wvu.Cols" hidden="1">#N/A</definedName>
    <definedName name="Z_EEE8DACB_EB5D_11D3_A61D_00C04F5765AC_.wvu.PrintArea" hidden="1">#N/A</definedName>
    <definedName name="Z_EEE8DACB_EB5D_11D3_A61D_00C04F5765AC_.wvu.PrintTitles" hidden="1">#N/A</definedName>
    <definedName name="Z_EEE8DACD_EB5D_11D3_A61D_00C04F5765AC_.wvu.Cols" hidden="1">#N/A</definedName>
    <definedName name="Z_EEE8DACD_EB5D_11D3_A61D_00C04F5765AC_.wvu.PrintArea" hidden="1">#N/A</definedName>
    <definedName name="Z_EEE8DACD_EB5D_11D3_A61D_00C04F5765AC_.wvu.PrintTitles" hidden="1">#N/A</definedName>
    <definedName name="Z_EEE8DACF_EB5D_11D3_A61D_00C04F5765AC_.wvu.PrintArea" hidden="1">#N/A</definedName>
    <definedName name="Z_EEE8DACF_EB5D_11D3_A61D_00C04F5765AC_.wvu.PrintTitles" hidden="1">#N/A</definedName>
    <definedName name="Z_EEE8DAD1_EB5D_11D3_A61D_00C04F5765AC_.wvu.Cols" hidden="1">#N/A</definedName>
    <definedName name="Z_EEE8DAD1_EB5D_11D3_A61D_00C04F5765AC_.wvu.PrintArea" hidden="1">#N/A</definedName>
    <definedName name="Z_EEE8DAD1_EB5D_11D3_A61D_00C04F5765AC_.wvu.PrintTitles" hidden="1">#N/A</definedName>
    <definedName name="Z_F22509B4_98C1_11D3_924A_00C04F847978_.wvu.Cols" hidden="1">#N/A</definedName>
    <definedName name="Z_F22509B4_98C1_11D3_924A_00C04F847978_.wvu.PrintArea" hidden="1">#N/A</definedName>
    <definedName name="Z_F22509B4_98C1_11D3_924A_00C04F847978_.wvu.PrintTitles" hidden="1">#N/A</definedName>
    <definedName name="Z_F22509B6_98C1_11D3_924A_00C04F847978_.wvu.Cols" hidden="1">#N/A</definedName>
    <definedName name="Z_F22509B6_98C1_11D3_924A_00C04F847978_.wvu.PrintArea" hidden="1">#N/A</definedName>
    <definedName name="Z_F22509B6_98C1_11D3_924A_00C04F847978_.wvu.PrintTitles" hidden="1">#N/A</definedName>
    <definedName name="Z_F22509B8_98C1_11D3_924A_00C04F847978_.wvu.Cols" hidden="1">#N/A</definedName>
    <definedName name="Z_F22509B8_98C1_11D3_924A_00C04F847978_.wvu.PrintArea" hidden="1">#N/A</definedName>
    <definedName name="Z_F22509B8_98C1_11D3_924A_00C04F847978_.wvu.PrintTitles" hidden="1">#N/A</definedName>
    <definedName name="Z_F22509BA_98C1_11D3_924A_00C04F847978_.wvu.Cols" hidden="1">#N/A</definedName>
    <definedName name="Z_F22509BA_98C1_11D3_924A_00C04F847978_.wvu.PrintArea" hidden="1">#N/A</definedName>
    <definedName name="Z_F22509BA_98C1_11D3_924A_00C04F847978_.wvu.PrintTitles" hidden="1">#N/A</definedName>
    <definedName name="Z_F22509BC_98C1_11D3_924A_00C04F847978_.wvu.PrintArea" hidden="1">#N/A</definedName>
    <definedName name="Z_F22509BC_98C1_11D3_924A_00C04F847978_.wvu.PrintTitles" hidden="1">#N/A</definedName>
    <definedName name="Z_F22509BE_98C1_11D3_924A_00C04F847978_.wvu.Cols" hidden="1">#N/A</definedName>
    <definedName name="Z_F22509BE_98C1_11D3_924A_00C04F847978_.wvu.PrintArea" hidden="1">#N/A</definedName>
    <definedName name="Z_F22509BE_98C1_11D3_924A_00C04F847978_.wvu.PrintTitles" hidden="1">#N/A</definedName>
    <definedName name="Z_F2250A1C_98C1_11D3_924A_00C04F847978_.wvu.Cols" hidden="1">#N/A</definedName>
    <definedName name="Z_F2250A1C_98C1_11D3_924A_00C04F847978_.wvu.PrintArea" hidden="1">#N/A</definedName>
    <definedName name="Z_F2250A1C_98C1_11D3_924A_00C04F847978_.wvu.PrintTitles" hidden="1">#N/A</definedName>
    <definedName name="Z_F2250A1E_98C1_11D3_924A_00C04F847978_.wvu.Cols" hidden="1">#N/A</definedName>
    <definedName name="Z_F2250A1E_98C1_11D3_924A_00C04F847978_.wvu.PrintArea" hidden="1">#N/A</definedName>
    <definedName name="Z_F2250A1E_98C1_11D3_924A_00C04F847978_.wvu.PrintTitles" hidden="1">#N/A</definedName>
    <definedName name="Z_F2250A20_98C1_11D3_924A_00C04F847978_.wvu.Cols" hidden="1">#N/A</definedName>
    <definedName name="Z_F2250A20_98C1_11D3_924A_00C04F847978_.wvu.PrintArea" hidden="1">#N/A</definedName>
    <definedName name="Z_F2250A20_98C1_11D3_924A_00C04F847978_.wvu.PrintTitles" hidden="1">#N/A</definedName>
    <definedName name="Z_F2250A22_98C1_11D3_924A_00C04F847978_.wvu.Cols" hidden="1">#N/A</definedName>
    <definedName name="Z_F2250A22_98C1_11D3_924A_00C04F847978_.wvu.PrintArea" hidden="1">#N/A</definedName>
    <definedName name="Z_F2250A22_98C1_11D3_924A_00C04F847978_.wvu.PrintTitles" hidden="1">#N/A</definedName>
    <definedName name="Z_F2250A24_98C1_11D3_924A_00C04F847978_.wvu.PrintArea" hidden="1">#N/A</definedName>
    <definedName name="Z_F2250A24_98C1_11D3_924A_00C04F847978_.wvu.PrintTitles" hidden="1">#N/A</definedName>
    <definedName name="Z_F2250A26_98C1_11D3_924A_00C04F847978_.wvu.Cols" hidden="1">#N/A</definedName>
    <definedName name="Z_F2250A26_98C1_11D3_924A_00C04F847978_.wvu.PrintArea" hidden="1">#N/A</definedName>
    <definedName name="Z_F2250A26_98C1_11D3_924A_00C04F847978_.wvu.PrintTitles" hidden="1">#N/A</definedName>
    <definedName name="Z_F2250A33_98C1_11D3_924A_00C04F847978_.wvu.Cols" hidden="1">#N/A</definedName>
    <definedName name="Z_F2250A33_98C1_11D3_924A_00C04F847978_.wvu.PrintArea" hidden="1">#N/A</definedName>
    <definedName name="Z_F2250A33_98C1_11D3_924A_00C04F847978_.wvu.PrintTitles" hidden="1">#N/A</definedName>
    <definedName name="Z_F2250A34_98C1_11D3_924A_00C04F847978_.wvu.Cols" hidden="1">#N/A</definedName>
    <definedName name="Z_F2250A34_98C1_11D3_924A_00C04F847978_.wvu.PrintArea" hidden="1">#N/A</definedName>
    <definedName name="Z_F2250A34_98C1_11D3_924A_00C04F847978_.wvu.PrintTitles" hidden="1">#N/A</definedName>
    <definedName name="Z_F2250A35_98C1_11D3_924A_00C04F847978_.wvu.Cols" hidden="1">#N/A</definedName>
    <definedName name="Z_F2250A35_98C1_11D3_924A_00C04F847978_.wvu.PrintArea" hidden="1">#N/A</definedName>
    <definedName name="Z_F2250A35_98C1_11D3_924A_00C04F847978_.wvu.PrintTitles" hidden="1">#N/A</definedName>
    <definedName name="Z_F2250A36_98C1_11D3_924A_00C04F847978_.wvu.Cols" hidden="1">#N/A</definedName>
    <definedName name="Z_F2250A36_98C1_11D3_924A_00C04F847978_.wvu.PrintArea" hidden="1">#N/A</definedName>
    <definedName name="Z_F2250A36_98C1_11D3_924A_00C04F847978_.wvu.PrintTitles" hidden="1">#N/A</definedName>
    <definedName name="Z_F2250A37_98C1_11D3_924A_00C04F847978_.wvu.PrintArea" hidden="1">#N/A</definedName>
    <definedName name="Z_F2250A37_98C1_11D3_924A_00C04F847978_.wvu.PrintTitles" hidden="1">#N/A</definedName>
    <definedName name="Z_F2250A38_98C1_11D3_924A_00C04F847978_.wvu.Cols" hidden="1">#N/A</definedName>
    <definedName name="Z_F2250A38_98C1_11D3_924A_00C04F847978_.wvu.PrintArea" hidden="1">#N/A</definedName>
    <definedName name="Z_F2250A38_98C1_11D3_924A_00C04F847978_.wvu.PrintTitles" hidden="1">#N/A</definedName>
    <definedName name="Z_F2250A45_98C1_11D3_924A_00C04F847978_.wvu.Cols" hidden="1">#N/A</definedName>
    <definedName name="Z_F2250A45_98C1_11D3_924A_00C04F847978_.wvu.PrintArea" hidden="1">#N/A</definedName>
    <definedName name="Z_F2250A45_98C1_11D3_924A_00C04F847978_.wvu.PrintTitles" hidden="1">#N/A</definedName>
    <definedName name="Z_F2250A46_98C1_11D3_924A_00C04F847978_.wvu.Cols" hidden="1">#N/A</definedName>
    <definedName name="Z_F2250A46_98C1_11D3_924A_00C04F847978_.wvu.PrintArea" hidden="1">#N/A</definedName>
    <definedName name="Z_F2250A46_98C1_11D3_924A_00C04F847978_.wvu.PrintTitles" hidden="1">#N/A</definedName>
    <definedName name="Z_F2250A47_98C1_11D3_924A_00C04F847978_.wvu.Cols" hidden="1">#N/A</definedName>
    <definedName name="Z_F2250A47_98C1_11D3_924A_00C04F847978_.wvu.PrintArea" hidden="1">#N/A</definedName>
    <definedName name="Z_F2250A47_98C1_11D3_924A_00C04F847978_.wvu.PrintTitles" hidden="1">#N/A</definedName>
    <definedName name="Z_F2250A48_98C1_11D3_924A_00C04F847978_.wvu.Cols" hidden="1">#N/A</definedName>
    <definedName name="Z_F2250A48_98C1_11D3_924A_00C04F847978_.wvu.PrintArea" hidden="1">#N/A</definedName>
    <definedName name="Z_F2250A48_98C1_11D3_924A_00C04F847978_.wvu.PrintTitles" hidden="1">#N/A</definedName>
    <definedName name="Z_F2250A49_98C1_11D3_924A_00C04F847978_.wvu.PrintArea" hidden="1">#N/A</definedName>
    <definedName name="Z_F2250A49_98C1_11D3_924A_00C04F847978_.wvu.PrintTitles" hidden="1">#N/A</definedName>
    <definedName name="Z_F2250A4A_98C1_11D3_924A_00C04F847978_.wvu.Cols" hidden="1">#N/A</definedName>
    <definedName name="Z_F2250A4A_98C1_11D3_924A_00C04F847978_.wvu.PrintArea" hidden="1">#N/A</definedName>
    <definedName name="Z_F2250A4A_98C1_11D3_924A_00C04F847978_.wvu.PrintTitles" hidden="1">#N/A</definedName>
    <definedName name="Z_F3CD109F_B3ED_11D3_924A_00C04F8362DB_.wvu.Cols" hidden="1">#N/A</definedName>
    <definedName name="Z_F3CD109F_B3ED_11D3_924A_00C04F8362DB_.wvu.PrintArea" hidden="1">#N/A</definedName>
    <definedName name="Z_F3CD109F_B3ED_11D3_924A_00C04F8362DB_.wvu.PrintTitles" hidden="1">#N/A</definedName>
    <definedName name="Z_F3CD10A2_B3ED_11D3_924A_00C04F8362DB_.wvu.Cols" hidden="1">#N/A</definedName>
    <definedName name="Z_F3CD10A2_B3ED_11D3_924A_00C04F8362DB_.wvu.PrintArea" hidden="1">#N/A</definedName>
    <definedName name="Z_F3CD10A2_B3ED_11D3_924A_00C04F8362DB_.wvu.PrintTitles" hidden="1">#N/A</definedName>
    <definedName name="Z_F3CD10A5_B3ED_11D3_924A_00C04F8362DB_.wvu.Cols" hidden="1">#N/A</definedName>
    <definedName name="Z_F3CD10A5_B3ED_11D3_924A_00C04F8362DB_.wvu.PrintArea" hidden="1">#N/A</definedName>
    <definedName name="Z_F3CD10A5_B3ED_11D3_924A_00C04F8362DB_.wvu.PrintTitles" hidden="1">#N/A</definedName>
    <definedName name="Z_F3CD10A8_B3ED_11D3_924A_00C04F8362DB_.wvu.Cols" hidden="1">#N/A</definedName>
    <definedName name="Z_F3CD10A8_B3ED_11D3_924A_00C04F8362DB_.wvu.PrintArea" hidden="1">#N/A</definedName>
    <definedName name="Z_F3CD10A8_B3ED_11D3_924A_00C04F8362DB_.wvu.PrintTitles" hidden="1">#N/A</definedName>
    <definedName name="Z_F3CD10AB_B3ED_11D3_924A_00C04F8362DB_.wvu.PrintArea" hidden="1">#N/A</definedName>
    <definedName name="Z_F3CD10AB_B3ED_11D3_924A_00C04F8362DB_.wvu.PrintTitles" hidden="1">#N/A</definedName>
    <definedName name="Z_F3CD10AE_B3ED_11D3_924A_00C04F8362DB_.wvu.Cols" hidden="1">#N/A</definedName>
    <definedName name="Z_F3CD10AE_B3ED_11D3_924A_00C04F8362DB_.wvu.PrintArea" hidden="1">#N/A</definedName>
    <definedName name="Z_F3CD10AE_B3ED_11D3_924A_00C04F8362DB_.wvu.PrintTitles" hidden="1">#N/A</definedName>
    <definedName name="Z_F5E6E2C8_A0CF_11D3_924A_00C04F847978_.wvu.Cols" hidden="1">#N/A</definedName>
    <definedName name="Z_F5E6E2C8_A0CF_11D3_924A_00C04F847978_.wvu.PrintArea" hidden="1">#N/A</definedName>
    <definedName name="Z_F5E6E2C8_A0CF_11D3_924A_00C04F847978_.wvu.PrintTitles" hidden="1">#N/A</definedName>
    <definedName name="Z_F5E6E2CC_A0CF_11D3_924A_00C04F847978_.wvu.Cols" hidden="1">#N/A</definedName>
    <definedName name="Z_F5E6E2CC_A0CF_11D3_924A_00C04F847978_.wvu.PrintArea" hidden="1">#N/A</definedName>
    <definedName name="Z_F5E6E2CC_A0CF_11D3_924A_00C04F847978_.wvu.PrintTitles" hidden="1">#N/A</definedName>
    <definedName name="Z_F5E6E2D0_A0CF_11D3_924A_00C04F847978_.wvu.Cols" hidden="1">#N/A</definedName>
    <definedName name="Z_F5E6E2D0_A0CF_11D3_924A_00C04F847978_.wvu.PrintArea" hidden="1">#N/A</definedName>
    <definedName name="Z_F5E6E2D0_A0CF_11D3_924A_00C04F847978_.wvu.PrintTitles" hidden="1">#N/A</definedName>
    <definedName name="Z_F5E6E2D4_A0CF_11D3_924A_00C04F847978_.wvu.Cols" hidden="1">#N/A</definedName>
    <definedName name="Z_F5E6E2D4_A0CF_11D3_924A_00C04F847978_.wvu.PrintArea" hidden="1">#N/A</definedName>
    <definedName name="Z_F5E6E2D4_A0CF_11D3_924A_00C04F847978_.wvu.PrintTitles" hidden="1">#N/A</definedName>
    <definedName name="Z_F5E6E2D8_A0CF_11D3_924A_00C04F847978_.wvu.PrintArea" hidden="1">#N/A</definedName>
    <definedName name="Z_F5E6E2D8_A0CF_11D3_924A_00C04F847978_.wvu.PrintTitles" hidden="1">#N/A</definedName>
    <definedName name="Z_F5E6E2DC_A0CF_11D3_924A_00C04F847978_.wvu.Cols" hidden="1">#N/A</definedName>
    <definedName name="Z_F5E6E2DC_A0CF_11D3_924A_00C04F847978_.wvu.PrintArea" hidden="1">#N/A</definedName>
    <definedName name="Z_F5E6E2DC_A0CF_11D3_924A_00C04F847978_.wvu.PrintTitles" hidden="1">#N/A</definedName>
    <definedName name="Z_PackList_HU">#REF!</definedName>
    <definedName name="Z_PackList_PU">#REF!</definedName>
    <definedName name="Z_PackMaterial">#REF!</definedName>
    <definedName name="Z_PackType">#REF!</definedName>
    <definedName name="Z_PartList">OFFSET(#REF!,0,0,COUNTA(#REF!))</definedName>
    <definedName name="Z_PartTyp">#REF!</definedName>
    <definedName name="Z_TranspCity">OFFSET(#REF!,0,0,COUNTA(#REF!))</definedName>
    <definedName name="Z186W_STEP_II_Crosstab">#REF!</definedName>
    <definedName name="za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AAZ" hidden="1">{"avrev",#N/A,FALSE,"AVREV";"rates",#N/A,FALSE,"AVREV"}</definedName>
    <definedName name="ZÄHLER">#REF!</definedName>
    <definedName name="ZAZ" hidden="1">{#N/A,#N/A,TRUE,"new model";#N/A,#N/A,TRUE,"facilities";#N/A,#N/A,TRUE,"total"}</definedName>
    <definedName name="zazaza" hidden="1">{0,0,0,0;0,0,0,0;0,0,0,0;0,0,0,0}</definedName>
    <definedName name="ZAZZ" hidden="1">{"avrev",#N/A,FALSE,"AVREV";"rates",#N/A,FALSE,"AVREV"}</definedName>
    <definedName name="ZAZZZZ" hidden="1">{"avrev",#N/A,FALSE,"AVREV";"rates",#N/A,FALSE,"AVREV"}</definedName>
    <definedName name="ZC" hidden="1">{#N/A,#N/A,FALSE,"Chart";#N/A,#N/A,FALSE,"Chart"}</definedName>
    <definedName name="zczc">#REF!</definedName>
    <definedName name="ZDCD" hidden="1">{"avrev",#N/A,FALSE,"AVREV";"rates",#N/A,FALSE,"AVREV"}</definedName>
    <definedName name="zeazey" hidden="1">{#N/A,#N/A,FALSE,"Profit Status";#N/A,#N/A,FALSE,"Invest";#N/A,#N/A,FALSE,"Revenue";#N/A,#N/A,FALSE,"Variable Cost";#N/A,#N/A,FALSE,"Options &amp; Series"}</definedName>
    <definedName name="ZF">#REF!</definedName>
    <definedName name="zgfv" hidden="1">{0,0,0,0;0,0,0,0;0,0,0,0;0,0,0,0;0,0,TRUE,0}</definedName>
    <definedName name="Zip">#REF!</definedName>
    <definedName name="Zone">"02"</definedName>
    <definedName name="zq" hidden="1">{"Presentation",#N/A,FALSE,"Feb96 - ALL"}</definedName>
    <definedName name="zsdgrs" hidden="1">{#VALUE!,#N/A,FALSE,0;#N/A,#N/A,FALSE,0;#N/A,#N/A,FALSE,0;#N/A,#N/A,FALSE,0;#N/A,#N/A,FALSE,0}</definedName>
    <definedName name="ztttttttttttt" hidden="1">{#N/A,#N/A,FALSE,"TOP10";#N/A,#N/A,FALSE,"Cover";#N/A,#N/A,FALSE,"MOGRAPH"}</definedName>
    <definedName name="zu" hidden="1">{#N/A,#N/A,FALSE,"TOP10";#N/A,#N/A,FALSE,"Cover";#N/A,#N/A,FALSE,"MOGRAPH"}</definedName>
    <definedName name="zx" hidden="1">#REF!</definedName>
    <definedName name="zxc" hidden="1">{#N/A,#N/A,FALSE,"Profit Status";#N/A,#N/A,FALSE,"Invest";#N/A,#N/A,FALSE,"Revenue";#N/A,#N/A,FALSE,"Variable Cost";#N/A,#N/A,FALSE,"Options &amp; Series"}</definedName>
    <definedName name="zxcdscsdc">#REF!</definedName>
    <definedName name="zxcv" hidden="1">{#N/A,#N/A,FALSE,"Title-W";#N/A,#N/A,FALSE,"Insert";#N/A,#N/A,FALSE,"Rpt-98-W PG_1";#N/A,#N/A,FALSE,"Rpt-98-W PG_2f";#N/A,#N/A,FALSE,"Rpt-98-W  PG_2";#N/A,#N/A,FALSE,"Insert";#N/A,#N/A,FALSE,"Rpt-98-W PG_3"}</definedName>
    <definedName name="zxcvxzcv" hidden="1">{#N/A,#N/A,TRUE,"dew_x200";#N/A,#N/A,TRUE,"cvgm_twncr_must";#N/A,#N/A,TRUE,"x100_x300_falcn";#N/A,#N/A,TRUE,"t_mark_scorp";#N/A,#N/A,TRUE,"VC3GRAF"}</definedName>
    <definedName name="zxcvzxcv" hidden="1">{"Presentation",#N/A,FALSE,"Feb96 - ALL"}</definedName>
    <definedName name="zxzczczczc">#REF!</definedName>
    <definedName name="zxzxzx">#REF!</definedName>
    <definedName name="ｚｚ">#N/A</definedName>
    <definedName name="zzxzxzxz">#REF!</definedName>
    <definedName name="zzz" hidden="1">{#N/A,#N/A,FALSE,"Cover";#N/A,#N/A,FALSE,"Profits";#N/A,#N/A,FALSE,"ABS";#N/A,#N/A,FALSE,"TFLE Detail";#N/A,#N/A,FALSE,"TFLE Walk";#N/A,#N/A,FALSE,"Variable Cost";#N/A,#N/A,FALSE,"V.C. Walk"}</definedName>
    <definedName name="zzz_1" hidden="1">{"iiPage2",#N/A,FALSE,"II DIV MARKETING EQUATION"}</definedName>
    <definedName name="zzzz" hidden="1">{"Fiesta Facer Page",#N/A,FALSE,"Q_C_S";"Fiesta Main Page",#N/A,FALSE,"V_L";"Fiesta 95BP Struct",#N/A,FALSE,"StructBP";"Fiesta Post 95BP Struct",#N/A,FALSE,"AdjStructBP"}</definedName>
    <definedName name="ZZZZZZZZZZ" hidden="1">{"avrev",#N/A,FALSE,"AVREV";"rates",#N/A,FALSE,"AVREV"}</definedName>
    <definedName name="zzzzzzzzzzzzz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あ">#REF!</definedName>
    <definedName name="ああ">#N/A</definedName>
    <definedName name="あああ" hidden="1">{#N/A,#N/A,TRUE,"RIDE";#N/A,#N/A,TRUE,"STEERING";#N/A,#N/A,TRUE,"HANDLING";#N/A,#N/A,TRUE,"BRAKING"}</definedName>
    <definedName name="ああああ">#N/A</definedName>
    <definedName name="ああいいうう">#N/A</definedName>
    <definedName name="ああいう">#N/A</definedName>
    <definedName name="あいう">#N/A</definedName>
    <definedName name="あかさ">#N/A</definedName>
    <definedName name="あさああ">#N/A</definedName>
    <definedName name="ｱｼﾞｱ計">#REF!</definedName>
    <definedName name="さあ">#N/A</definedName>
    <definedName name="サイト">#REF!</definedName>
    <definedName name="ｽﾃ10">#REF!</definedName>
    <definedName name="ｽﾃ11">#REF!</definedName>
    <definedName name="ｽﾃ12">#REF!</definedName>
    <definedName name="ｽﾃ13">#REF!</definedName>
    <definedName name="ｽﾃ14">#REF!</definedName>
    <definedName name="ｽﾃ15">#REF!</definedName>
    <definedName name="ｽﾃ16">#REF!</definedName>
    <definedName name="ｽﾃ17">#REF!</definedName>
    <definedName name="ｽﾃ18">#REF!</definedName>
    <definedName name="ｽﾃ19">#REF!</definedName>
    <definedName name="ｽﾃ２">#REF!</definedName>
    <definedName name="ｽﾃ３">#REF!</definedName>
    <definedName name="ｽﾃ４">#REF!</definedName>
    <definedName name="ｽﾃ５">#REF!</definedName>
    <definedName name="ｽﾃ６">#REF!</definedName>
    <definedName name="ｽﾃ７">#REF!</definedName>
    <definedName name="ｽﾃ８">#REF!</definedName>
    <definedName name="ｽﾃ９">#REF!</definedName>
    <definedName name="ｽﾃﾀ１">#REF!</definedName>
    <definedName name="すべてのﾃｰﾌﾞﾙ照合_01">#REF!</definedName>
    <definedName name="ﾋﾞｸ">#N/A</definedName>
    <definedName name="ボデ機能明細一覧表">#REF!</definedName>
    <definedName name="เงินถอน">#REF!</definedName>
    <definedName name="กกก">#REF!</definedName>
    <definedName name="ฟ">#REF!</definedName>
    <definedName name="ฟ1">#REF!</definedName>
    <definedName name="인쇄제목">#REF!</definedName>
    <definedName name="事業区分">#REF!</definedName>
    <definedName name="仕向地機能明細一覧表">#REF!</definedName>
    <definedName name="仕様書号口試作">#REF!</definedName>
    <definedName name="元車5桁一覧">#REF!</definedName>
    <definedName name="共用全共">#REF!</definedName>
    <definedName name="円2">#REF!</definedName>
    <definedName name="円3">#REF!</definedName>
    <definedName name="加工種">#REF!</definedName>
    <definedName name="加工費1">#REF!</definedName>
    <definedName name="加工費2">#REF!</definedName>
    <definedName name="加工費3">#REF!</definedName>
    <definedName name="効率日々">#N/A</definedName>
    <definedName name="効率項目">#N/A</definedName>
    <definedName name="取扱区分">#REF!</definedName>
    <definedName name="合いう">#N/A</definedName>
    <definedName name="地域コード">#REF!</definedName>
    <definedName name="型製作内外作">#REF!</definedName>
    <definedName name="戻り">#N/A</definedName>
    <definedName name="拠点">#REF!</definedName>
    <definedName name="日付">#REF!</definedName>
    <definedName name="日付・色">#REF!</definedName>
    <definedName name="材料費1">#REF!</definedName>
    <definedName name="材料費2">#REF!</definedName>
    <definedName name="材料費3">#REF!</definedName>
    <definedName name="板金ﾚｰﾄ">#REF!</definedName>
    <definedName name="業種">#REF!</definedName>
    <definedName name="治工具ﾚｰﾄ">#REF!</definedName>
    <definedName name="現図4WDDZ">#REF!</definedName>
    <definedName name="現図4WDDZL">#REF!</definedName>
    <definedName name="現図4WDDZX">#REF!</definedName>
    <definedName name="現図4WD共用">#REF!</definedName>
    <definedName name="現図DOMDZ">#REF!</definedName>
    <definedName name="現図DOMDZL">#REF!</definedName>
    <definedName name="現図DOM共用">#REF!</definedName>
    <definedName name="現図LHDDZ">#REF!</definedName>
    <definedName name="現図LHDDZL">#REF!</definedName>
    <definedName name="現図LHD共用">#REF!</definedName>
    <definedName name="現図まとめ">#REF!</definedName>
    <definedName name="現図共用">#REF!</definedName>
    <definedName name="現図共用DZ">#REF!</definedName>
    <definedName name="現図共用DZX">#REF!</definedName>
    <definedName name="目標" hidden="1">{#N/A,"VA",FALSE,"output";#N/A,"VB",FALSE,"output";#N/A,"VS",FALSE,"output";#N/A,"VC",FALSE,"output";#N/A,"VG",FALSE,"output";#N/A,"J1",FALSE,"output";#N/A,"J2",FALSE,"output";#N/A,"PT",FALSE,"output"}</definedName>
    <definedName name="短縮日程">#REF!</definedName>
    <definedName name="石井CACOMS">#N/A</definedName>
    <definedName name="石井RAIREKI1">#N/A</definedName>
    <definedName name="総効率Menu">#N/A</definedName>
    <definedName name="自動半田付">#REF!</definedName>
    <definedName name="英" hidden="1">{#N/A,#N/A,TRUE,"RIDE";#N/A,#N/A,TRUE,"STEERING";#N/A,#N/A,TRUE,"HANDLING";#N/A,#N/A,TRUE,"BRAKING"}</definedName>
    <definedName name="英語" hidden="1">{#VALUE!,#N/A,FALSE,0;#N/A,#N/A,FALSE,0;#N/A,#N/A,FALSE,0;#N/A,#N/A,FALSE,0}</definedName>
    <definedName name="表紙" hidden="1">{#N/A,"VA",FALSE,"output";#N/A,"VB",FALSE,"output";#N/A,"VS",FALSE,"output";#N/A,"VC",FALSE,"output";#N/A,"VG",FALSE,"output";#N/A,"J1",FALSE,"output";#N/A,"J2",FALSE,"output";#N/A,"PT",FALSE,"output"}</definedName>
    <definedName name="製造拠点区分">#REF!</definedName>
    <definedName name="計画" hidden="1">{#N/A,"VB",FALSE,"output";#N/A,"VS",FALSE,"output";#N/A,"VC",FALSE,"output";#N/A,"VG",FALSE,"output";#N/A,"J1",FALSE,"output";#N/A,"PT",FALSE,"output"}</definedName>
    <definedName name="計画機種">#REF!</definedName>
    <definedName name="車名・車名コード一覧">#REF!</definedName>
    <definedName name="采购订单">#REF!</definedName>
    <definedName name="金型検収予定">#REF!</definedName>
    <definedName name="開発ランク">#REF!</definedName>
    <definedName name="開発計画" hidden="1">{#N/A,"VA",FALSE,"output";#N/A,"VB",FALSE,"output";#N/A,"VS",FALSE,"output";#N/A,"VC",FALSE,"output";#N/A,"VG",FALSE,"output";#N/A,"J1",FALSE,"output";#N/A,"J2",FALSE,"output";#N/A,"PT",FALSE,"output"}</definedName>
    <definedName name="頭">#REF!</definedName>
    <definedName name="高ﾊﾞﾘ低減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8" l="1"/>
  <c r="I15" i="18" l="1"/>
  <c r="T170" i="5" l="1"/>
  <c r="T169" i="5"/>
  <c r="G19" i="18"/>
  <c r="G20" i="18"/>
  <c r="G21" i="18"/>
  <c r="F25" i="15"/>
  <c r="D25" i="15"/>
  <c r="C25" i="15"/>
  <c r="T168" i="5"/>
  <c r="T166" i="5"/>
  <c r="T167" i="5"/>
  <c r="D21" i="18"/>
  <c r="B19" i="18"/>
  <c r="B18" i="18"/>
  <c r="C18" i="18"/>
  <c r="C36" i="17"/>
  <c r="C37" i="17"/>
  <c r="C36" i="20"/>
  <c r="C37" i="20"/>
  <c r="C35" i="20"/>
  <c r="C34" i="20"/>
  <c r="C33" i="20"/>
  <c r="C32" i="20"/>
  <c r="C31" i="20"/>
  <c r="C30" i="20"/>
  <c r="C29" i="20"/>
  <c r="C28" i="20"/>
  <c r="C27" i="20"/>
  <c r="B25" i="20"/>
  <c r="D25" i="20" s="1"/>
  <c r="F25" i="20" s="1"/>
  <c r="K17" i="20"/>
  <c r="K6" i="20"/>
  <c r="B6" i="20"/>
  <c r="D6" i="20" s="1"/>
  <c r="B5" i="20"/>
  <c r="B4" i="20"/>
  <c r="C19" i="18" l="1"/>
  <c r="C25" i="20"/>
  <c r="C6" i="20"/>
  <c r="T165" i="5" l="1"/>
  <c r="T164" i="5"/>
  <c r="AF19" i="10"/>
  <c r="AF21" i="10"/>
  <c r="AF17" i="10"/>
  <c r="B25" i="16"/>
  <c r="C25" i="16" s="1"/>
  <c r="T163" i="5"/>
  <c r="T162" i="5"/>
  <c r="AE19" i="10"/>
  <c r="AE21" i="10"/>
  <c r="C20" i="18" l="1"/>
  <c r="B20" i="18"/>
  <c r="X8" i="18"/>
  <c r="Y8" i="18"/>
  <c r="B17" i="18"/>
  <c r="B21" i="18" s="1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S18" i="18" s="1"/>
  <c r="R17" i="18"/>
  <c r="Q17" i="18"/>
  <c r="P17" i="18"/>
  <c r="O17" i="18"/>
  <c r="N17" i="18"/>
  <c r="M17" i="18"/>
  <c r="L17" i="18"/>
  <c r="K17" i="18"/>
  <c r="J17" i="18"/>
  <c r="I17" i="18"/>
  <c r="H17" i="18"/>
  <c r="H21" i="18" s="1"/>
  <c r="G17" i="18"/>
  <c r="F17" i="18"/>
  <c r="F18" i="18" s="1"/>
  <c r="E17" i="18"/>
  <c r="E21" i="18" s="1"/>
  <c r="F21" i="18" s="1"/>
  <c r="D17" i="18"/>
  <c r="C17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L18" i="18" s="1"/>
  <c r="K16" i="18"/>
  <c r="J16" i="18"/>
  <c r="I16" i="18"/>
  <c r="H16" i="18"/>
  <c r="G16" i="18"/>
  <c r="F16" i="18"/>
  <c r="E16" i="18"/>
  <c r="D16" i="18"/>
  <c r="C16" i="18"/>
  <c r="B16" i="18"/>
  <c r="AF15" i="18"/>
  <c r="AE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H15" i="18"/>
  <c r="G15" i="18"/>
  <c r="F15" i="18"/>
  <c r="E15" i="18"/>
  <c r="D15" i="18"/>
  <c r="C15" i="18"/>
  <c r="B15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AG12" i="18"/>
  <c r="AG11" i="18"/>
  <c r="AG10" i="18"/>
  <c r="AF8" i="18"/>
  <c r="AE8" i="18"/>
  <c r="AD8" i="18"/>
  <c r="AC8" i="18"/>
  <c r="AB8" i="18"/>
  <c r="AA8" i="18"/>
  <c r="Z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B8" i="18"/>
  <c r="AG7" i="18"/>
  <c r="AG6" i="18"/>
  <c r="AG5" i="18"/>
  <c r="C21" i="18" l="1"/>
  <c r="AE18" i="18"/>
  <c r="G18" i="18"/>
  <c r="D20" i="18"/>
  <c r="E20" i="18" s="1"/>
  <c r="F20" i="18" s="1"/>
  <c r="I20" i="18" s="1"/>
  <c r="J20" i="18" s="1"/>
  <c r="K20" i="18" s="1"/>
  <c r="L20" i="18" s="1"/>
  <c r="M20" i="18" s="1"/>
  <c r="N20" i="18" s="1"/>
  <c r="O20" i="18" s="1"/>
  <c r="P20" i="18" s="1"/>
  <c r="Q20" i="18" s="1"/>
  <c r="R20" i="18" s="1"/>
  <c r="S20" i="18" s="1"/>
  <c r="T20" i="18" s="1"/>
  <c r="U20" i="18" s="1"/>
  <c r="V20" i="18" s="1"/>
  <c r="W20" i="18" s="1"/>
  <c r="X20" i="18" s="1"/>
  <c r="Y20" i="18" s="1"/>
  <c r="Z20" i="18" s="1"/>
  <c r="AA20" i="18" s="1"/>
  <c r="AB20" i="18" s="1"/>
  <c r="AC20" i="18" s="1"/>
  <c r="AD20" i="18" s="1"/>
  <c r="AE20" i="18" s="1"/>
  <c r="AF20" i="18" s="1"/>
  <c r="AH13" i="18"/>
  <c r="Z18" i="18"/>
  <c r="N18" i="18"/>
  <c r="O18" i="18"/>
  <c r="AA18" i="18"/>
  <c r="J18" i="18"/>
  <c r="V18" i="18"/>
  <c r="U18" i="18"/>
  <c r="K18" i="18"/>
  <c r="X18" i="18"/>
  <c r="I18" i="18"/>
  <c r="W18" i="18"/>
  <c r="M18" i="18"/>
  <c r="Y18" i="18"/>
  <c r="E18" i="18"/>
  <c r="Q18" i="18"/>
  <c r="AC18" i="18"/>
  <c r="AG15" i="18"/>
  <c r="AB18" i="18"/>
  <c r="R18" i="18"/>
  <c r="AG16" i="18"/>
  <c r="D18" i="18"/>
  <c r="P18" i="18"/>
  <c r="AD18" i="18"/>
  <c r="AH8" i="18"/>
  <c r="H18" i="18"/>
  <c r="H19" i="18" s="1"/>
  <c r="T18" i="18"/>
  <c r="AF18" i="18"/>
  <c r="AG17" i="18"/>
  <c r="AG8" i="18"/>
  <c r="AG13" i="18"/>
  <c r="D19" i="18" l="1"/>
  <c r="E19" i="18" s="1"/>
  <c r="F19" i="18" s="1"/>
  <c r="AH19" i="18"/>
  <c r="AG19" i="18"/>
  <c r="B25" i="15" l="1"/>
  <c r="T160" i="5"/>
  <c r="T161" i="5"/>
  <c r="T158" i="5"/>
  <c r="T159" i="5"/>
  <c r="AB21" i="10"/>
  <c r="AB19" i="10"/>
  <c r="AC15" i="10"/>
  <c r="AB15" i="10"/>
  <c r="T157" i="5"/>
  <c r="AA21" i="10"/>
  <c r="AA19" i="10"/>
  <c r="Z21" i="10"/>
  <c r="Z19" i="10"/>
  <c r="T156" i="5"/>
  <c r="Y21" i="10"/>
  <c r="Y19" i="10"/>
  <c r="X19" i="10"/>
  <c r="X21" i="10"/>
  <c r="T155" i="5"/>
  <c r="T154" i="5" l="1"/>
  <c r="T153" i="5"/>
  <c r="U21" i="10" l="1"/>
  <c r="U19" i="10"/>
  <c r="T152" i="5"/>
  <c r="T151" i="5"/>
  <c r="T149" i="5" l="1"/>
  <c r="T150" i="5"/>
  <c r="S19" i="10"/>
  <c r="S21" i="10"/>
  <c r="T147" i="5" l="1"/>
  <c r="T148" i="5"/>
  <c r="R19" i="10"/>
  <c r="R21" i="10"/>
  <c r="T146" i="5" l="1"/>
  <c r="W15" i="10" l="1"/>
  <c r="P18" i="10"/>
  <c r="C31" i="15"/>
  <c r="C32" i="15"/>
  <c r="C33" i="15"/>
  <c r="N19" i="10"/>
  <c r="N21" i="10"/>
  <c r="C28" i="16"/>
  <c r="C27" i="16"/>
  <c r="C27" i="15"/>
  <c r="C28" i="15"/>
  <c r="C29" i="15"/>
  <c r="C30" i="15"/>
  <c r="C28" i="17"/>
  <c r="C29" i="17"/>
  <c r="C30" i="17"/>
  <c r="C31" i="17"/>
  <c r="C32" i="17"/>
  <c r="C33" i="17"/>
  <c r="C34" i="17"/>
  <c r="C35" i="17"/>
  <c r="C27" i="17"/>
  <c r="K17" i="16"/>
  <c r="T145" i="5"/>
  <c r="T144" i="5"/>
  <c r="M21" i="10"/>
  <c r="M19" i="10"/>
  <c r="T143" i="5"/>
  <c r="L19" i="10" l="1"/>
  <c r="L20" i="10"/>
  <c r="L21" i="10"/>
  <c r="B5" i="16"/>
  <c r="T141" i="5"/>
  <c r="T142" i="5"/>
  <c r="K19" i="10"/>
  <c r="K21" i="10"/>
  <c r="B25" i="17"/>
  <c r="K17" i="17"/>
  <c r="K6" i="17"/>
  <c r="B5" i="17"/>
  <c r="B4" i="17"/>
  <c r="I19" i="10"/>
  <c r="T139" i="5"/>
  <c r="T140" i="5"/>
  <c r="C25" i="17" l="1"/>
  <c r="D25" i="17"/>
  <c r="F25" i="17" s="1"/>
  <c r="B6" i="17"/>
  <c r="D6" i="17" s="1"/>
  <c r="O15" i="10"/>
  <c r="P15" i="10"/>
  <c r="K6" i="16"/>
  <c r="B4" i="16"/>
  <c r="D21" i="10"/>
  <c r="E21" i="10"/>
  <c r="F21" i="10"/>
  <c r="G21" i="10" s="1"/>
  <c r="H21" i="10" s="1"/>
  <c r="I21" i="10" s="1"/>
  <c r="C21" i="10"/>
  <c r="B21" i="10"/>
  <c r="C6" i="17" l="1"/>
  <c r="B6" i="16"/>
  <c r="T138" i="5"/>
  <c r="T137" i="5"/>
  <c r="T136" i="5"/>
  <c r="B4" i="15" l="1"/>
  <c r="B5" i="15"/>
  <c r="K17" i="15"/>
  <c r="K6" i="15"/>
  <c r="C56" i="14"/>
  <c r="D56" i="14"/>
  <c r="E56" i="14"/>
  <c r="F56" i="14"/>
  <c r="G56" i="14"/>
  <c r="H56" i="14"/>
  <c r="I56" i="14"/>
  <c r="J56" i="14"/>
  <c r="B56" i="14"/>
  <c r="C47" i="14"/>
  <c r="D47" i="14"/>
  <c r="E47" i="14"/>
  <c r="B47" i="14"/>
  <c r="B6" i="15" l="1"/>
  <c r="D6" i="15" s="1"/>
  <c r="C6" i="15" l="1"/>
  <c r="T135" i="5"/>
  <c r="T133" i="5" l="1"/>
  <c r="T134" i="5"/>
  <c r="T132" i="5"/>
  <c r="T131" i="5"/>
  <c r="B23" i="12"/>
  <c r="B42" i="12" s="1"/>
  <c r="B4" i="12"/>
  <c r="C1" i="13"/>
  <c r="D1" i="13"/>
  <c r="E1" i="13"/>
  <c r="F1" i="13"/>
  <c r="G1" i="13"/>
  <c r="H1" i="13"/>
  <c r="I1" i="13"/>
  <c r="J1" i="13"/>
  <c r="K1" i="13"/>
  <c r="L1" i="13"/>
  <c r="M1" i="13"/>
  <c r="N1" i="13"/>
  <c r="O1" i="13"/>
  <c r="P1" i="13"/>
  <c r="Q1" i="13"/>
  <c r="B1" i="13"/>
  <c r="B41" i="12"/>
  <c r="B40" i="12"/>
  <c r="T130" i="5"/>
  <c r="X15" i="10"/>
  <c r="Y15" i="10"/>
  <c r="Z15" i="10"/>
  <c r="AA15" i="10"/>
  <c r="R15" i="10"/>
  <c r="S15" i="10"/>
  <c r="T15" i="10"/>
  <c r="U15" i="10"/>
  <c r="V15" i="10"/>
  <c r="L15" i="10"/>
  <c r="M15" i="10"/>
  <c r="N15" i="10"/>
  <c r="AE17" i="10"/>
  <c r="AD17" i="10"/>
  <c r="AC17" i="10"/>
  <c r="AC21" i="10" s="1"/>
  <c r="AD21" i="10" s="1"/>
  <c r="AB17" i="10"/>
  <c r="AA17" i="10"/>
  <c r="Z17" i="10"/>
  <c r="Y17" i="10"/>
  <c r="Y18" i="10" s="1"/>
  <c r="X17" i="10"/>
  <c r="X18" i="10" s="1"/>
  <c r="W17" i="10"/>
  <c r="V17" i="10"/>
  <c r="U17" i="10"/>
  <c r="T17" i="10"/>
  <c r="S17" i="10"/>
  <c r="S18" i="10" s="1"/>
  <c r="R17" i="10"/>
  <c r="R18" i="10" s="1"/>
  <c r="Q17" i="10"/>
  <c r="Q21" i="10" s="1"/>
  <c r="P17" i="10"/>
  <c r="O17" i="10"/>
  <c r="N17" i="10"/>
  <c r="M17" i="10"/>
  <c r="M18" i="10" s="1"/>
  <c r="L17" i="10"/>
  <c r="L18" i="10" s="1"/>
  <c r="K17" i="10"/>
  <c r="K18" i="10" s="1"/>
  <c r="J17" i="10"/>
  <c r="I17" i="10"/>
  <c r="H17" i="10"/>
  <c r="H18" i="10" s="1"/>
  <c r="G17" i="10"/>
  <c r="F17" i="10"/>
  <c r="E17" i="10"/>
  <c r="D17" i="10"/>
  <c r="C17" i="10"/>
  <c r="B17" i="10"/>
  <c r="AF16" i="10"/>
  <c r="AE16" i="10"/>
  <c r="AD16" i="10"/>
  <c r="AD18" i="10" s="1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C20" i="10" s="1"/>
  <c r="B16" i="10"/>
  <c r="AF15" i="10"/>
  <c r="AE15" i="10"/>
  <c r="Q15" i="10"/>
  <c r="K15" i="10"/>
  <c r="J15" i="10"/>
  <c r="H15" i="10"/>
  <c r="G15" i="10"/>
  <c r="F15" i="10"/>
  <c r="E15" i="10"/>
  <c r="D15" i="10"/>
  <c r="C15" i="10"/>
  <c r="B15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G12" i="10"/>
  <c r="AG11" i="10"/>
  <c r="AG10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G7" i="10"/>
  <c r="AG6" i="10"/>
  <c r="AG5" i="10"/>
  <c r="T129" i="5"/>
  <c r="T128" i="5"/>
  <c r="T127" i="5"/>
  <c r="AB19" i="4"/>
  <c r="AC19" i="4" s="1"/>
  <c r="AB20" i="4"/>
  <c r="AC20" i="4"/>
  <c r="T125" i="5"/>
  <c r="T126" i="5"/>
  <c r="AA19" i="4"/>
  <c r="AA20" i="4"/>
  <c r="V18" i="10" l="1"/>
  <c r="V19" i="10" s="1"/>
  <c r="V21" i="10"/>
  <c r="W18" i="10"/>
  <c r="W21" i="10"/>
  <c r="T18" i="10"/>
  <c r="T19" i="10" s="1"/>
  <c r="T21" i="10"/>
  <c r="O18" i="10"/>
  <c r="O19" i="10" s="1"/>
  <c r="P19" i="10" s="1"/>
  <c r="O21" i="10"/>
  <c r="P21" i="10" s="1"/>
  <c r="J18" i="10"/>
  <c r="J19" i="10" s="1"/>
  <c r="J21" i="10"/>
  <c r="D20" i="10"/>
  <c r="E20" i="10"/>
  <c r="F20" i="10" s="1"/>
  <c r="N18" i="10"/>
  <c r="Z18" i="10"/>
  <c r="C18" i="10"/>
  <c r="C19" i="10" s="1"/>
  <c r="AA18" i="10"/>
  <c r="AB18" i="10"/>
  <c r="E18" i="10"/>
  <c r="Q18" i="10"/>
  <c r="Q19" i="10" s="1"/>
  <c r="AC18" i="10"/>
  <c r="AC19" i="10" s="1"/>
  <c r="AD19" i="10" s="1"/>
  <c r="F18" i="10"/>
  <c r="D18" i="10"/>
  <c r="AE18" i="10"/>
  <c r="AF18" i="10"/>
  <c r="U18" i="10"/>
  <c r="G18" i="10"/>
  <c r="I18" i="10"/>
  <c r="AH13" i="10"/>
  <c r="AG16" i="10"/>
  <c r="AH8" i="10"/>
  <c r="AG17" i="10"/>
  <c r="AG15" i="10"/>
  <c r="B19" i="10"/>
  <c r="AG8" i="10"/>
  <c r="AG13" i="10"/>
  <c r="T124" i="5"/>
  <c r="Z19" i="4"/>
  <c r="Z20" i="4"/>
  <c r="T123" i="5"/>
  <c r="Y19" i="4"/>
  <c r="Y20" i="4"/>
  <c r="T122" i="5"/>
  <c r="T121" i="5"/>
  <c r="Y17" i="4"/>
  <c r="Y18" i="4" s="1"/>
  <c r="Z17" i="4"/>
  <c r="AA17" i="4"/>
  <c r="AA18" i="4" s="1"/>
  <c r="AB17" i="4"/>
  <c r="AC17" i="4"/>
  <c r="X17" i="4"/>
  <c r="W17" i="4"/>
  <c r="W18" i="4" s="1"/>
  <c r="V17" i="4"/>
  <c r="X18" i="4"/>
  <c r="U17" i="4"/>
  <c r="T120" i="5"/>
  <c r="T119" i="5"/>
  <c r="T118" i="5"/>
  <c r="T117" i="5"/>
  <c r="T116" i="5"/>
  <c r="T112" i="5"/>
  <c r="T113" i="5"/>
  <c r="T114" i="5"/>
  <c r="T115" i="5"/>
  <c r="AD16" i="4"/>
  <c r="AD17" i="4"/>
  <c r="AD19" i="4" s="1"/>
  <c r="AD13" i="4"/>
  <c r="AD8" i="4"/>
  <c r="T110" i="5"/>
  <c r="T111" i="5"/>
  <c r="E20" i="4"/>
  <c r="F20" i="4" s="1"/>
  <c r="D20" i="4"/>
  <c r="C20" i="4"/>
  <c r="E19" i="4"/>
  <c r="F19" i="4" s="1"/>
  <c r="D19" i="4"/>
  <c r="C19" i="4"/>
  <c r="D18" i="4"/>
  <c r="E18" i="4"/>
  <c r="F18" i="4"/>
  <c r="H18" i="4"/>
  <c r="I18" i="4"/>
  <c r="Z18" i="4"/>
  <c r="AB18" i="4"/>
  <c r="AC18" i="4"/>
  <c r="C18" i="4"/>
  <c r="W19" i="10" l="1"/>
  <c r="G20" i="10"/>
  <c r="H20" i="10" s="1"/>
  <c r="I20" i="10" s="1"/>
  <c r="J20" i="10" s="1"/>
  <c r="K20" i="10" s="1"/>
  <c r="M20" i="10" s="1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D19" i="10"/>
  <c r="E19" i="10" s="1"/>
  <c r="F19" i="10" s="1"/>
  <c r="G19" i="10" s="1"/>
  <c r="H19" i="10" s="1"/>
  <c r="AH19" i="10"/>
  <c r="AG19" i="10"/>
  <c r="T109" i="5"/>
  <c r="T108" i="5"/>
  <c r="I17" i="4"/>
  <c r="T107" i="5"/>
  <c r="T106" i="5"/>
  <c r="T104" i="5"/>
  <c r="T105" i="5"/>
  <c r="T103" i="5"/>
  <c r="T102" i="5" l="1"/>
  <c r="T101" i="5"/>
  <c r="B41" i="9"/>
  <c r="B42" i="9"/>
  <c r="B40" i="9"/>
  <c r="T4" i="5"/>
  <c r="T5" i="5"/>
  <c r="T6" i="5"/>
  <c r="T7" i="5"/>
  <c r="T8" i="5"/>
  <c r="T9" i="5"/>
  <c r="T10" i="5"/>
  <c r="T11" i="5"/>
  <c r="T12" i="5"/>
  <c r="T13" i="5"/>
  <c r="T14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L17" i="4"/>
  <c r="S17" i="4"/>
  <c r="S18" i="4" s="1"/>
  <c r="E17" i="4"/>
  <c r="D17" i="4"/>
  <c r="C17" i="4"/>
  <c r="E13" i="4"/>
  <c r="D13" i="4"/>
  <c r="C13" i="4"/>
  <c r="E8" i="4"/>
  <c r="D8" i="4"/>
  <c r="C8" i="4"/>
  <c r="AF17" i="4"/>
  <c r="AE17" i="4"/>
  <c r="T17" i="4"/>
  <c r="T18" i="4" s="1"/>
  <c r="R17" i="4"/>
  <c r="R18" i="4" s="1"/>
  <c r="Q17" i="4"/>
  <c r="Q18" i="4" s="1"/>
  <c r="P17" i="4"/>
  <c r="O17" i="4"/>
  <c r="N17" i="4"/>
  <c r="M17" i="4"/>
  <c r="K17" i="4"/>
  <c r="J17" i="4"/>
  <c r="J18" i="4" s="1"/>
  <c r="H17" i="4"/>
  <c r="G17" i="4"/>
  <c r="F17" i="4"/>
  <c r="B17" i="4"/>
  <c r="AF16" i="4"/>
  <c r="AE16" i="4"/>
  <c r="AC16" i="4"/>
  <c r="AB16" i="4"/>
  <c r="AA16" i="4"/>
  <c r="Z16" i="4"/>
  <c r="Y16" i="4"/>
  <c r="X16" i="4"/>
  <c r="W16" i="4"/>
  <c r="V16" i="4"/>
  <c r="V18" i="4" s="1"/>
  <c r="U16" i="4"/>
  <c r="U18" i="4" s="1"/>
  <c r="T16" i="4"/>
  <c r="S16" i="4"/>
  <c r="R16" i="4"/>
  <c r="Q16" i="4"/>
  <c r="P16" i="4"/>
  <c r="P18" i="4" s="1"/>
  <c r="O16" i="4"/>
  <c r="N16" i="4"/>
  <c r="M16" i="4"/>
  <c r="L16" i="4"/>
  <c r="L18" i="4" s="1"/>
  <c r="K16" i="4"/>
  <c r="J16" i="4"/>
  <c r="I16" i="4"/>
  <c r="H16" i="4"/>
  <c r="G16" i="4"/>
  <c r="F16" i="4"/>
  <c r="E16" i="4"/>
  <c r="D16" i="4"/>
  <c r="C16" i="4"/>
  <c r="B16" i="4"/>
  <c r="B19" i="4" s="1"/>
  <c r="AF15" i="4"/>
  <c r="AE15" i="4"/>
  <c r="AD15" i="4"/>
  <c r="AC15" i="4"/>
  <c r="AB15" i="4"/>
  <c r="AA15" i="4"/>
  <c r="Z15" i="4"/>
  <c r="Y15" i="4"/>
  <c r="X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F13" i="4"/>
  <c r="AE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B13" i="4"/>
  <c r="AG12" i="4"/>
  <c r="AG11" i="4"/>
  <c r="AG10" i="4"/>
  <c r="AF8" i="4"/>
  <c r="AE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B8" i="4"/>
  <c r="AG7" i="4"/>
  <c r="AG6" i="4"/>
  <c r="AG5" i="4"/>
  <c r="Y17" i="3"/>
  <c r="Y18" i="3"/>
  <c r="X13" i="3"/>
  <c r="X8" i="3"/>
  <c r="Y13" i="3"/>
  <c r="Y8" i="3"/>
  <c r="AF15" i="3"/>
  <c r="AC15" i="3"/>
  <c r="AD15" i="3"/>
  <c r="AE15" i="3"/>
  <c r="V15" i="3"/>
  <c r="H15" i="3"/>
  <c r="AF17" i="3"/>
  <c r="AE17" i="3"/>
  <c r="AD17" i="3"/>
  <c r="AC17" i="3"/>
  <c r="AB17" i="3"/>
  <c r="AA17" i="3"/>
  <c r="Z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B15" i="3"/>
  <c r="AA15" i="3"/>
  <c r="Z15" i="3"/>
  <c r="Y15" i="3"/>
  <c r="X15" i="3"/>
  <c r="W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G15" i="3"/>
  <c r="F15" i="3"/>
  <c r="E15" i="3"/>
  <c r="D15" i="3"/>
  <c r="C15" i="3"/>
  <c r="B15" i="3"/>
  <c r="AF13" i="3"/>
  <c r="AE13" i="3"/>
  <c r="AD13" i="3"/>
  <c r="AC13" i="3"/>
  <c r="AB13" i="3"/>
  <c r="AA13" i="3"/>
  <c r="Z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G12" i="3"/>
  <c r="AG11" i="3"/>
  <c r="AG10" i="3"/>
  <c r="AF8" i="3"/>
  <c r="AE8" i="3"/>
  <c r="AD8" i="3"/>
  <c r="AC8" i="3"/>
  <c r="AB8" i="3"/>
  <c r="AA8" i="3"/>
  <c r="Z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G7" i="3"/>
  <c r="AG6" i="3"/>
  <c r="AG5" i="3"/>
  <c r="AB15" i="2"/>
  <c r="AA15" i="2"/>
  <c r="Z15" i="2"/>
  <c r="Y15" i="2"/>
  <c r="X15" i="2"/>
  <c r="W15" i="2"/>
  <c r="U15" i="2"/>
  <c r="T15" i="2"/>
  <c r="S15" i="2"/>
  <c r="R15" i="2"/>
  <c r="Q15" i="2"/>
  <c r="P15" i="2"/>
  <c r="G18" i="4" l="1"/>
  <c r="G19" i="4" s="1"/>
  <c r="H19" i="4" s="1"/>
  <c r="I19" i="4" s="1"/>
  <c r="J19" i="4" s="1"/>
  <c r="G20" i="4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O18" i="4"/>
  <c r="N18" i="4"/>
  <c r="M18" i="4"/>
  <c r="K18" i="4"/>
  <c r="AE19" i="4"/>
  <c r="AF19" i="4"/>
  <c r="AH13" i="4"/>
  <c r="AG13" i="4"/>
  <c r="AG8" i="4"/>
  <c r="AH8" i="4"/>
  <c r="AG17" i="4"/>
  <c r="AH17" i="4" s="1"/>
  <c r="AG16" i="4"/>
  <c r="AG15" i="4"/>
  <c r="B18" i="3"/>
  <c r="Z18" i="3"/>
  <c r="D18" i="3"/>
  <c r="AB18" i="3"/>
  <c r="P18" i="3"/>
  <c r="N18" i="3"/>
  <c r="S18" i="3"/>
  <c r="AF18" i="3"/>
  <c r="AE18" i="3"/>
  <c r="AD18" i="3"/>
  <c r="AC18" i="3"/>
  <c r="AH8" i="3"/>
  <c r="G18" i="3"/>
  <c r="AG8" i="3"/>
  <c r="AH13" i="3"/>
  <c r="AG13" i="3"/>
  <c r="E18" i="3"/>
  <c r="Q18" i="3"/>
  <c r="F18" i="3"/>
  <c r="R18" i="3"/>
  <c r="K18" i="3"/>
  <c r="AG15" i="3"/>
  <c r="T18" i="3"/>
  <c r="H18" i="3"/>
  <c r="I18" i="3"/>
  <c r="U18" i="3"/>
  <c r="AG16" i="3"/>
  <c r="J18" i="3"/>
  <c r="V18" i="3"/>
  <c r="W18" i="3"/>
  <c r="L18" i="3"/>
  <c r="X18" i="3"/>
  <c r="M18" i="3"/>
  <c r="C18" i="3"/>
  <c r="O18" i="3"/>
  <c r="AA18" i="3"/>
  <c r="AG17" i="3"/>
  <c r="O15" i="2"/>
  <c r="N15" i="2"/>
  <c r="M15" i="2"/>
  <c r="L15" i="2"/>
  <c r="K15" i="2"/>
  <c r="J15" i="2"/>
  <c r="I15" i="2"/>
  <c r="AG15" i="2" s="1"/>
  <c r="AG10" i="2"/>
  <c r="AG5" i="2"/>
  <c r="G15" i="2"/>
  <c r="F15" i="2"/>
  <c r="E15" i="2"/>
  <c r="D15" i="2"/>
  <c r="C15" i="2"/>
  <c r="B15" i="2"/>
  <c r="AF15" i="1"/>
  <c r="AF10" i="1"/>
  <c r="AF5" i="1"/>
  <c r="AD15" i="1"/>
  <c r="AC15" i="1"/>
  <c r="AB15" i="1"/>
  <c r="AA15" i="1"/>
  <c r="Z15" i="1"/>
  <c r="Y15" i="1"/>
  <c r="W15" i="1"/>
  <c r="V15" i="1"/>
  <c r="U15" i="1"/>
  <c r="T15" i="1"/>
  <c r="S15" i="1"/>
  <c r="R15" i="1"/>
  <c r="P15" i="1"/>
  <c r="O15" i="1"/>
  <c r="N15" i="1"/>
  <c r="M15" i="1"/>
  <c r="L15" i="1"/>
  <c r="K15" i="1"/>
  <c r="H15" i="1"/>
  <c r="G15" i="1"/>
  <c r="F15" i="1"/>
  <c r="E15" i="1"/>
  <c r="D15" i="1"/>
  <c r="B15" i="1"/>
  <c r="AE16" i="2"/>
  <c r="AE17" i="2"/>
  <c r="AE13" i="2"/>
  <c r="AE8" i="2"/>
  <c r="AF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F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F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G12" i="2"/>
  <c r="AG11" i="2"/>
  <c r="AF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G7" i="2"/>
  <c r="AG6" i="2"/>
  <c r="K19" i="4" l="1"/>
  <c r="L19" i="4" s="1"/>
  <c r="M19" i="4"/>
  <c r="N19" i="4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AG19" i="4"/>
  <c r="AH19" i="4"/>
  <c r="AG18" i="3"/>
  <c r="AH18" i="3"/>
  <c r="AH8" i="2"/>
  <c r="AH13" i="2"/>
  <c r="L18" i="2"/>
  <c r="AE18" i="2"/>
  <c r="AG13" i="2"/>
  <c r="AG8" i="2"/>
  <c r="Y18" i="2"/>
  <c r="S18" i="2"/>
  <c r="N18" i="2"/>
  <c r="H18" i="2"/>
  <c r="C18" i="2"/>
  <c r="I18" i="2"/>
  <c r="D18" i="2"/>
  <c r="P18" i="2"/>
  <c r="AB18" i="2"/>
  <c r="M18" i="2"/>
  <c r="AF18" i="2"/>
  <c r="T18" i="2"/>
  <c r="O18" i="2"/>
  <c r="U18" i="2"/>
  <c r="E18" i="2"/>
  <c r="Q18" i="2"/>
  <c r="AC18" i="2"/>
  <c r="AG17" i="2"/>
  <c r="AH18" i="2" s="1"/>
  <c r="Z18" i="2"/>
  <c r="AA18" i="2"/>
  <c r="F18" i="2"/>
  <c r="R18" i="2"/>
  <c r="AD18" i="2"/>
  <c r="J18" i="2"/>
  <c r="X18" i="2"/>
  <c r="W18" i="2"/>
  <c r="AG16" i="2"/>
  <c r="V18" i="2"/>
  <c r="K18" i="2"/>
  <c r="B18" i="2"/>
  <c r="G18" i="2"/>
  <c r="AG18" i="2" l="1"/>
  <c r="AE13" i="1" l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I16" i="1"/>
  <c r="J16" i="1"/>
  <c r="I17" i="1"/>
  <c r="J17" i="1"/>
  <c r="AF12" i="1" l="1"/>
  <c r="AF11" i="1"/>
  <c r="AF7" i="1"/>
  <c r="AF6" i="1"/>
  <c r="D16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8" i="1"/>
  <c r="H17" i="1"/>
  <c r="G17" i="1"/>
  <c r="F17" i="1"/>
  <c r="E17" i="1"/>
  <c r="D17" i="1"/>
  <c r="C17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I18" i="1"/>
  <c r="H16" i="1"/>
  <c r="G16" i="1"/>
  <c r="F16" i="1"/>
  <c r="E16" i="1"/>
  <c r="C16" i="1"/>
  <c r="B17" i="1"/>
  <c r="B16" i="1"/>
  <c r="C18" i="1" l="1"/>
  <c r="AF13" i="1"/>
  <c r="AF8" i="1"/>
  <c r="AE18" i="1"/>
  <c r="AA18" i="1"/>
  <c r="O18" i="1"/>
  <c r="U18" i="1"/>
  <c r="AF16" i="1"/>
  <c r="AF17" i="1"/>
  <c r="X18" i="1"/>
  <c r="E18" i="1"/>
  <c r="Q18" i="1"/>
  <c r="D18" i="1"/>
  <c r="AD18" i="1"/>
  <c r="AC18" i="1"/>
  <c r="AB18" i="1"/>
  <c r="Z18" i="1"/>
  <c r="Y18" i="1"/>
  <c r="W18" i="1"/>
  <c r="V18" i="1"/>
  <c r="T18" i="1"/>
  <c r="S18" i="1"/>
  <c r="R18" i="1"/>
  <c r="P18" i="1"/>
  <c r="N18" i="1"/>
  <c r="M18" i="1"/>
  <c r="L18" i="1"/>
  <c r="K18" i="1"/>
  <c r="H18" i="1"/>
  <c r="G18" i="1"/>
  <c r="F18" i="1"/>
  <c r="B18" i="1"/>
  <c r="AF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B7" authorId="0" shapeId="0" xr:uid="{ECB8F4D1-8809-486C-9B72-23BA115C5FC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Ambient light shortage 230mins</t>
        </r>
      </text>
    </comment>
    <comment ref="D7" authorId="0" shapeId="0" xr:uid="{0D6E4C5B-59CA-4473-9F3E-5604D055E92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St.4 and 9 and Remain 3 units =&gt;&gt; Produce off line because no caliper brake (St.3-19)</t>
        </r>
      </text>
    </comment>
    <comment ref="E7" authorId="0" shapeId="0" xr:uid="{8AF4EEE6-A1B4-4DBF-A707-1BFB28CC4BB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st.12-19 (Fastener) total 360 mins</t>
        </r>
      </text>
    </comment>
    <comment ref="F7" authorId="0" shapeId="0" xr:uid="{9426F9BD-BCE5-4517-A422-9EB9A55FDAC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Mudcover and Rubber St.17 shortage 09:45-13:15</t>
        </r>
      </text>
    </comment>
    <comment ref="G7" authorId="0" shapeId="0" xr:uid="{34A043C8-8808-429A-9D1D-AC6FED68F42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St.2 Part Y Wiring shortage 240 mins (Stop 13:30-19:00) Effect to production line have gap from St.11-22</t>
        </r>
      </text>
    </comment>
    <comment ref="H7" authorId="0" shapeId="0" xr:uid="{4488E562-D87B-481C-AE81-AA0E145C5E9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total 480 mins (St.6 300mins, St.10 = 160mins)</t>
        </r>
      </text>
    </comment>
    <comment ref="K7" authorId="0" shapeId="0" xr:uid="{65D68AD6-1D8C-4079-993A-C600E14B346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 and Fill line from st.9-20 (180 mins), Quality issue Chassis NG (220mins)</t>
        </r>
      </text>
    </comment>
    <comment ref="L7" authorId="0" shapeId="0" xr:uid="{AC42BEA8-B383-4E5C-B6B6-36EB99CC48E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Big 5S all production area</t>
        </r>
      </text>
    </comment>
    <comment ref="M7" authorId="0" shapeId="0" xr:uid="{B6CB42FE-9659-450C-A9EB-F799778E00D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Quality issue, chassis NG from supplier, moved to rework offline</t>
        </r>
      </text>
    </comment>
    <comment ref="N7" authorId="0" shapeId="0" xr:uid="{93C8368C-8389-41C9-B0D6-5E0A0F08FD8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Balance job for reduce 8 Op to support 4X4 Project (Trial on 16:30-20:45)</t>
        </r>
      </text>
    </comment>
    <comment ref="P7" authorId="0" shapeId="0" xr:uid="{6A049E89-1864-463D-B7FD-A7AE5BA8D3BA}">
      <text>
        <r>
          <rPr>
            <b/>
            <sz val="9"/>
            <color indexed="81"/>
            <rFont val="Tahoma"/>
            <family val="2"/>
          </rPr>
          <t>Chalit Mukpradub (Nu):
Line1 :  Part shortage from part supply at St.11, Total 240 mins (Model J2+0 Part number F0304016016 (16:40-20:00) at St.11)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" authorId="0" shapeId="0" xr:uid="{941AA5CF-4E78-4341-A3BC-FD3B9E19AF4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Line 1 stop 310 mins (Fuse Box shortage 08:30-13:40)</t>
        </r>
      </text>
    </comment>
    <comment ref="S7" authorId="0" shapeId="0" xr:uid="{26A6C5E8-7D74-456F-AAA1-11CD3D7CACF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 15:25-17:25 because of no spare wheel and tire, No OT</t>
        </r>
      </text>
    </comment>
    <comment ref="T7" authorId="0" shapeId="0" xr:uid="{E7110FF3-EDDB-40E9-BA03-FED9782F7F8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Plan stop 08:30-17:25 No stock wheel and tire</t>
        </r>
      </text>
    </comment>
    <comment ref="U7" authorId="0" shapeId="0" xr:uid="{7433590F-7AA4-40DF-B96B-8699E059D1D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 total 280 mins</t>
        </r>
      </text>
    </comment>
    <comment ref="Y7" authorId="0" shapeId="0" xr:uid="{9A74B261-0D8D-4FE4-A99D-F5BA8C75932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St.15 part shortage 60mins</t>
        </r>
      </text>
    </comment>
    <comment ref="Z7" authorId="0" shapeId="0" xr:uid="{238C73B9-E0AF-4552-8893-8A36324C24E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Loss time from 08:30-13:30, no output from production line because of continue produce the cart without rear cover and uncomplete fitments (Total 19 cart =&gt;&gt; Plastic rear shortage 13 units, Wait rear spot repair 6 units)</t>
        </r>
      </text>
    </comment>
    <comment ref="AA7" authorId="0" shapeId="0" xr:uid="{F4084178-FB20-4E14-8FA5-CAA9D787547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Line1 Part shortage from part supply 120mins</t>
        </r>
      </text>
    </comment>
    <comment ref="B12" authorId="0" shapeId="0" xr:uid="{C117625E-6EF1-4CD6-877C-79AB284DCB6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Change model</t>
        </r>
      </text>
    </comment>
    <comment ref="K12" authorId="0" shapeId="0" xr:uid="{1EC24B8D-12BF-42AC-AA05-BEEB84BA5CB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Wait painted part 60 mins</t>
        </r>
      </text>
    </comment>
    <comment ref="L12" authorId="0" shapeId="0" xr:uid="{080CE323-3842-4CF9-BE3B-ADFEBE60BD1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Big 5S all production area</t>
        </r>
      </text>
    </comment>
    <comment ref="N12" authorId="0" shapeId="0" xr:uid="{15FABCDC-6E14-4D03-93F7-30B58B7A79D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St.4 part shortage from part supply delay total 120mins</t>
        </r>
      </text>
    </comment>
    <comment ref="T12" authorId="0" shapeId="0" xr:uid="{4B8C7BB7-5F80-4F6E-BC61-AD037524F52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Plan stop 08:30-17:25 No stock wheel and tire</t>
        </r>
      </text>
    </comment>
    <comment ref="Y12" authorId="0" shapeId="0" xr:uid="{C127B413-93CB-425C-B6C4-C6358373446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Microstoppage 240mins for OJT and training model V1G to team</t>
        </r>
      </text>
    </comment>
    <comment ref="AA12" authorId="0" shapeId="0" xr:uid="{08DD4865-9119-48E1-A1A4-64E7F461F7C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Missing 2 Op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F6" authorId="0" shapeId="0" xr:uid="{24E0E23B-7F0F-4149-9BAC-3F4542EDEA3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Plan to request OT for support customer demand and shipment plan</t>
        </r>
      </text>
    </comment>
    <comment ref="G6" authorId="0" shapeId="0" xr:uid="{DAE4537B-E593-42B3-873F-6F871151551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Plan to request OT for support customer demand and shipment plan</t>
        </r>
      </text>
    </comment>
    <comment ref="C7" authorId="0" shapeId="0" xr:uid="{33A50569-F367-4878-927A-938F91304CBB}">
      <text>
        <r>
          <rPr>
            <sz val="11"/>
            <color theme="1"/>
            <rFont val="Aptos Narrow"/>
            <family val="2"/>
            <scheme val="minor"/>
          </rPr>
          <t>Chalit Mukpradub (Nu):
Line1 Part delay from part supply total 260 mins (Wait part from st.10-19)
Line 1 Quality issue from assembly : Wrong fill the axel oil</t>
        </r>
      </text>
    </comment>
    <comment ref="L7" authorId="0" shapeId="0" xr:uid="{59FF64E1-70F7-4BD0-9289-C8204009759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 08:00-13:21 wait part from part supply</t>
        </r>
      </text>
    </comment>
    <comment ref="Q7" authorId="0" shapeId="0" xr:uid="{6BD18C69-B77E-4E1A-A581-728EDC00257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Screw #3007,#3010 Quality issue and shortage</t>
        </r>
      </text>
    </comment>
    <comment ref="S7" authorId="0" shapeId="0" xr:uid="{B4B2D31B-EB44-4875-8546-1C28EC6F89A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supply delay to prepare part and supply to production line 08:00-15:30 =&gt;&gt; Total loss time 408 mins</t>
        </r>
      </text>
    </comment>
    <comment ref="Y7" authorId="0" shapeId="0" xr:uid="{D8A70027-EF2C-452F-AAA6-398BB33AE78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224 mins</t>
        </r>
      </text>
    </comment>
    <comment ref="Z7" authorId="0" shapeId="0" xr:uid="{A9340082-708C-4CC2-AD41-C23A9C93694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Urgent change model from V2S--&gt;&gt; Y2+2</t>
        </r>
      </text>
    </comment>
    <comment ref="D12" authorId="0" shapeId="0" xr:uid="{0D290AA0-B155-4325-9C76-AF6BFAAD8C9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supply delay station3 120mins, Quality issue the screw for tighten the mud cover loosen 145 mins</t>
        </r>
      </text>
    </comment>
    <comment ref="I12" authorId="0" shapeId="0" xr:uid="{A2A91215-4BBE-4758-88E8-A4605F33049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Front caliper brake shortage, No production</t>
        </r>
      </text>
    </comment>
    <comment ref="J12" authorId="0" shapeId="0" xr:uid="{BDE9ADED-F781-41B1-91B3-B659C979E91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Change model and fill line model G2+2</t>
        </r>
      </text>
    </comment>
    <comment ref="Q12" authorId="0" shapeId="0" xr:uid="{091616D7-DD98-48B0-9E3E-AE98F54648F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Screw #3007,#3010 Quality issue and shortage</t>
        </r>
      </text>
    </comment>
    <comment ref="Y12" authorId="0" shapeId="0" xr:uid="{88CFED3E-CCA9-4A1B-8657-8F31BC0F8FB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Change model, No smooth production wait part from part supply 265 mins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H7" authorId="0" shapeId="0" xr:uid="{2C92673D-9B0A-4FD3-92C3-3DC818455C1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Start production =&gt;&gt; Part supply delay
</t>
        </r>
      </text>
    </comment>
    <comment ref="I7" authorId="0" shapeId="0" xr:uid="{062549E1-82AA-4CB0-A243-BEBBB8F2BF4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and part supply delay total 472 mins</t>
        </r>
      </text>
    </comment>
    <comment ref="N7" authorId="0" shapeId="0" xr:uid="{5727C4D8-1286-4ECC-A79D-0B14863D7CB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Change model, Delay supply part to line and full fill buffer stock in line</t>
        </r>
      </text>
    </comment>
    <comment ref="O7" authorId="0" shapeId="0" xr:uid="{F55FABAD-E56E-4306-8491-074D626E98B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Screw shortage 180 mins</t>
        </r>
      </text>
    </comment>
    <comment ref="V7" authorId="0" shapeId="0" xr:uid="{646CBAD6-162C-4E8E-BD3C-70EA84E16FA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240 mins
1.Wait IP
2.Wait un pack and check part painted from supplier</t>
        </r>
      </text>
    </comment>
    <comment ref="W7" authorId="0" shapeId="0" xr:uid="{AC173B0F-7433-4056-B602-5EE253B0AC3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Wait part painted (rear cover from supplier) total 135 mins</t>
        </r>
      </text>
    </comment>
    <comment ref="Y7" authorId="0" shapeId="0" xr:uid="{48CCFB94-5EAB-46B4-B1FF-7B6BE9219CD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supply shortage (Front and Rear wheel cover)  Total 550mins</t>
        </r>
      </text>
    </comment>
    <comment ref="AB7" authorId="0" shapeId="0" xr:uid="{E1E1B4B0-57BD-41A1-921B-926CD8DDFD9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supply shrtage at st.9,10 =&gt;&gt; Total 330mins</t>
        </r>
      </text>
    </comment>
    <comment ref="AD7" authorId="0" shapeId="0" xr:uid="{D20913EF-5EEC-4615-9DCE-C6EF44D82D2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total 240 mins (Screw 3007)</t>
        </r>
      </text>
    </comment>
    <comment ref="AF7" authorId="0" shapeId="0" xr:uid="{480E1FB4-BFF0-41A2-B684-C13D838E08F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Wait part supply F0102080505M / St 7 / 11.00-17.00 mins</t>
        </r>
      </text>
    </comment>
    <comment ref="P12" authorId="0" shapeId="0" xr:uid="{90DAF0E3-5AE9-4CA9-A255-AA1E57067CB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360mins, Missing 4 Op</t>
        </r>
      </text>
    </comment>
    <comment ref="T12" authorId="0" shapeId="0" xr:uid="{F1211641-3294-4F11-919E-300409CD552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supply delay 550mins for supply model G4+2 (64)</t>
        </r>
      </text>
    </comment>
    <comment ref="U12" authorId="0" shapeId="0" xr:uid="{A7FFCFF6-656F-4A0A-B54E-5DB11B3228D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Missing 5 Op, CT=30 min/units</t>
        </r>
      </text>
    </comment>
    <comment ref="V12" authorId="0" shapeId="0" xr:uid="{588F5498-3F8D-43BE-B02A-D55D851EA38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 (Floor) =&gt;&gt; 120mins</t>
        </r>
      </text>
    </comment>
    <comment ref="W12" authorId="0" shapeId="0" xr:uid="{630C867B-F2CA-4181-92F7-19F0DDA32D4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Change model to run Model Y, 1st cart at station 10</t>
        </r>
      </text>
    </comment>
    <comment ref="Y12" authorId="0" shapeId="0" xr:uid="{0818D302-D409-4ED6-9288-D22BC9D0DBD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Loss time 120mins due to supplier PM X lift effect to transportation part from 2nd floor to 1st floor</t>
        </r>
      </text>
    </comment>
    <comment ref="AA12" authorId="0" shapeId="0" xr:uid="{60A5D39B-626F-41B2-A256-5570E64F123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Change model, fill line 100mins, wait part 150mins</t>
        </r>
      </text>
    </comment>
    <comment ref="AE12" authorId="0" shapeId="0" xr:uid="{2494C449-DD7B-4328-9C41-B43FF5A72A3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Wait part supply screw OD 13   St 9 / 14.00-17.25 mins</t>
        </r>
      </text>
    </comment>
    <comment ref="AF12" authorId="0" shapeId="0" xr:uid="{0DD1F621-A5D2-4BAD-AD4D-B5DDCEE0952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Wait part supply cover paint / St  8/ 8.00-14.40 mins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C7" authorId="0" shapeId="0" xr:uid="{8CFE7975-2446-4F3B-A666-884E6D2959E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Line#1, Part painted shortage from un pack and supplier, Total loss time 360mins</t>
        </r>
      </text>
    </comment>
    <comment ref="E7" authorId="0" shapeId="0" xr:uid="{7AE94CE0-BC94-4A96-A480-145F74DF77D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13:00-17:25 =&gt;&gt; No Wheel and Tire</t>
        </r>
      </text>
    </comment>
    <comment ref="F7" authorId="0" shapeId="0" xr:uid="{5464D5C3-BB59-4A2F-A00A-E7E2681903F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Line#1 stop production because no wheel and Tire 08:00-15:10</t>
        </r>
      </text>
    </comment>
    <comment ref="H7" authorId="0" shapeId="0" xr:uid="{83595A65-5A37-45A4-A176-131CFE35B77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1.Wait painted part 90mins
2.Missing 6 Op (Loss time 219 mins)</t>
        </r>
      </text>
    </comment>
    <comment ref="E12" authorId="0" shapeId="0" xr:uid="{DB424FEB-C857-4EC6-84DE-94AFB65B90E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15:00-17:00 =&gt;&gt; No wheel and tire</t>
        </r>
      </text>
    </comment>
    <comment ref="F12" authorId="0" shapeId="0" xr:uid="{CF73AF77-5300-463E-BB87-A596D71D89A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Line#2 Change model and prepare part (376mins)</t>
        </r>
      </text>
    </comment>
    <comment ref="H12" authorId="0" shapeId="0" xr:uid="{FA35E2B1-9BEC-4AC9-AD32-A51B5DB0575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Missing 2 Op (Loss time 157 mins)</t>
        </r>
      </text>
    </comment>
  </commentList>
</comments>
</file>

<file path=xl/sharedStrings.xml><?xml version="1.0" encoding="utf-8"?>
<sst xmlns="http://schemas.openxmlformats.org/spreadsheetml/2006/main" count="685" uniqueCount="290">
  <si>
    <t>G12 Assembly Production Output Dashboard</t>
  </si>
  <si>
    <t>Sum.</t>
  </si>
  <si>
    <t>Assembly Line#1</t>
  </si>
  <si>
    <t>Balance Job (Reduce 8 Op) and grouping work station from 22---&gt;&gt; 13</t>
  </si>
  <si>
    <t>Working minute</t>
  </si>
  <si>
    <t>Plan (units)</t>
  </si>
  <si>
    <t>Actual (units)</t>
  </si>
  <si>
    <t>Diff</t>
  </si>
  <si>
    <t>Assembly Line#2</t>
  </si>
  <si>
    <t>Total Working minute</t>
  </si>
  <si>
    <t>Total Production Plan</t>
  </si>
  <si>
    <t>Total Actual Output</t>
  </si>
  <si>
    <t>Working time (min)</t>
  </si>
  <si>
    <t>Total Working time (min)</t>
  </si>
  <si>
    <t>Assembly Line#2 / Line#3</t>
  </si>
  <si>
    <t>Start production at line#3</t>
  </si>
  <si>
    <t>Assembly Line#3</t>
  </si>
  <si>
    <t>Balance Actual vs Plan</t>
  </si>
  <si>
    <t>Accum. Plan</t>
  </si>
  <si>
    <t>Accum. Actual</t>
  </si>
  <si>
    <t xml:space="preserve">Date </t>
  </si>
  <si>
    <t>Down time / Loss time (mins)</t>
  </si>
  <si>
    <t>Details / Issue</t>
  </si>
  <si>
    <t>Remark</t>
  </si>
  <si>
    <t>Part shortage
(Supplier)-China</t>
  </si>
  <si>
    <t>Part shortage
(Supplier)-Local</t>
  </si>
  <si>
    <t>Part shortage
(Supplier)-Xcellent part</t>
  </si>
  <si>
    <t>Part shortage
(Part supply)</t>
  </si>
  <si>
    <t>MC/Tooling Break down</t>
  </si>
  <si>
    <t>Quality Issue/Rework</t>
  </si>
  <si>
    <t>Part shortage (Sub assembly)</t>
  </si>
  <si>
    <t>No Wheel and Tire</t>
  </si>
  <si>
    <t>Labor shortage</t>
  </si>
  <si>
    <t>Trial new model</t>
  </si>
  <si>
    <t>Change model (Wait prepare-Supply part)</t>
  </si>
  <si>
    <t>Microstoppage /Other</t>
  </si>
  <si>
    <t>Total Down time (mins)</t>
  </si>
  <si>
    <t>Delay/ Shortage from Supply team.</t>
  </si>
  <si>
    <t>Missing Parts from BOM</t>
  </si>
  <si>
    <t>Missing Parts from WIP (WIP wrong)</t>
  </si>
  <si>
    <t>Waiting for parts receive</t>
  </si>
  <si>
    <t>Supply Wrong Part</t>
  </si>
  <si>
    <t>Incoming supplier part quality</t>
  </si>
  <si>
    <t xml:space="preserve">Assembly Line and Sub Assy Line quality </t>
  </si>
  <si>
    <t>Paintshop / Wiring  quality</t>
  </si>
  <si>
    <t xml:space="preserve"> -Stop line for gap issue at midel seat cover (8:10-13:00)
 -Middle seat paint crack issue
 -Chassis issue : No bracket (Break line) welding 
 -Cycle time impact : OJT and training for produce V1G model</t>
  </si>
  <si>
    <t>Wrong part supply to production line
OK : Chassis V1G Hunting
NOK : Chassis V1G Golf
Total 4 units</t>
  </si>
  <si>
    <t xml:space="preserve">Part supply shortage : Clamp lock hose break </t>
  </si>
  <si>
    <t>Slow down for rework, retrofit and support sub assy seat, boxes</t>
  </si>
  <si>
    <t>Chassis and break padle bracket shortage</t>
  </si>
  <si>
    <t>Fill line from st.12-22 , due to part shortage on Thu</t>
  </si>
  <si>
    <t>Trial new model V2J Golf</t>
  </si>
  <si>
    <t>Model V2J prepare production line, part shortage, Lower floor shortage from supplier, wrong part supply</t>
  </si>
  <si>
    <t>Middle frame shortage from supplier 120 mins</t>
  </si>
  <si>
    <t>Part shortage from part supply</t>
  </si>
  <si>
    <t>Line#2 Chassis issue, the steering bracket mis alignment</t>
  </si>
  <si>
    <t>Start with new symptoms of the problem part shortage from part supply</t>
  </si>
  <si>
    <t>Chassis NG and shortage from Excellent supplier / Stop production line</t>
  </si>
  <si>
    <t>Chassis NG from Excellent, need to rework infront of line and supply to production line, no smooth production because wait rework part from supplier</t>
  </si>
  <si>
    <t>Change model from G4+2 to V2J
Loss for prepare and delay supply part to production line
Microstoppage for re drill at station 9 and 16 because the hole not align</t>
  </si>
  <si>
    <t>Chassis shortage from supplier (15:00-17:25)</t>
  </si>
  <si>
    <t>Delay part supply from warehouse (Must be done on 27-Sep-25)
Training new model (Model S)</t>
  </si>
  <si>
    <t>ssue
-Model S
1.Qualiy issue
-Nut weld at steering column loosen, take off line to re welding 2 units
-chassis NG, not weld nut at rear bumper 1 units
-Steering column alignment NG and we found when we assy the cover at the last station : 2 units
-Loss time for investigate the gap issue at the rear bumper around 2 hrs because take time for finding the real root cause and take action by re wiring the hardness at the chassis
-Station 15, difficult to assy the front bumper ornament into the front cover (will check wth china team tomorrow)</t>
  </si>
  <si>
    <t>Issues Encountered:
1.Chassis NG: Unable to assemble cover; units taken offline for repair
2.Continued production of Model S to complete 48 units before switching to Model G4+2, Production delay due to after change model, still waiting part supply some part to PD line</t>
  </si>
  <si>
    <t>Part shortage from part supply (Delay supply to production) model G4+2</t>
  </si>
  <si>
    <t xml:space="preserve">Delay supply part (St.1-5) stop 08:00-11:00, Aimbientlight shortage 120 mins
and delay supply part to station 11-19 </t>
  </si>
  <si>
    <t>Part shortage from station 10-19 because of supply delay from part supply  (08:00-15:30)</t>
  </si>
  <si>
    <t>1.Part shortage from United coating (Part paint) 60 mins
2.Machine break down (Brake oil machine) 240 mins
3.Chassis issue at Line#1, and Line#2 total 60 mins</t>
  </si>
  <si>
    <t>Change model from G4+2 to S, Loss time around 120 mins because to clear part model G and supply part model S to production line by PD team</t>
  </si>
  <si>
    <t>1.Part shortage from part supply delay (fastener) 180 mins
2.Training new model at zone3</t>
  </si>
  <si>
    <t>Part shortage because of BOM and WI mismatch
Wait Part from Painted and Sub assy 2nd floor</t>
  </si>
  <si>
    <t>1.Part shortage from part supply (Delay supply nut M10 steering gear assembly)
2.Chassis issue, Need 100%  rework insert nut</t>
  </si>
  <si>
    <t>Stop production because of full stock of cart and no spare wheel&amp;Tires</t>
  </si>
  <si>
    <t>Part supply delay from part supply team total 210 mins</t>
  </si>
  <si>
    <t>Part supply delay from part supply team total 480  mins</t>
  </si>
  <si>
    <t>Fiull stock parking area</t>
  </si>
  <si>
    <t xml:space="preserve">Line2 stop 11:30-17:25 because wait part blower from warehouse </t>
  </si>
  <si>
    <t>Line#1 stop for wait the wheel&amp;tire</t>
  </si>
  <si>
    <t>Line#1 Part shortage (Silicone 120 mins, Mud cover 40 mins)</t>
  </si>
  <si>
    <t>Line#1 Part shortage (Ambient light 230  mins)</t>
  </si>
  <si>
    <t>Line#1 Part shortage 240 mins</t>
  </si>
  <si>
    <t>Line#2 Part shortage 180 mins</t>
  </si>
  <si>
    <t>Line 1 part shortage st.12-19, total 360 mins (Fastener)</t>
  </si>
  <si>
    <t>Line1 Part shortage st.15,18 (9:45-13:15) : Rubber front strorage, RR Mudcover</t>
  </si>
  <si>
    <t>Line1 Part shortage at St.2 Y-Wiring shortage (13:30-19:00)</t>
  </si>
  <si>
    <t>Line1 Part shortage St.6 (300mins), St.10 (160mins)</t>
  </si>
  <si>
    <t>Line1 Fill line 180 mins, Quality issue (Chassis NG) 220mins</t>
  </si>
  <si>
    <t>Stop line1, 2 for Big 5S and moved 5 op to support sub assy seat and roof</t>
  </si>
  <si>
    <t>Line1 Quality issue, Chassis NG moved to rework offline</t>
  </si>
  <si>
    <t>Line1 balance line and balance job , reduce 8 Op to support 4X4 Project
Line2 Part supply delay st.4 total 120 mins</t>
  </si>
  <si>
    <t>Line1 St.11 Part shortage from part supply 240 mins</t>
  </si>
  <si>
    <t>Libe1 stop line 310 mins (Fuse Box  shortage)</t>
  </si>
  <si>
    <t>Line1 stop 15:25-17:25, No spare wheel and Tires</t>
  </si>
  <si>
    <t>Plan stop production, No stock wheel and Tire (08:30-17:25) =&gt;&gt; Moved Op to retrofit, Produce sub assy and training safety topics</t>
  </si>
  <si>
    <t>Line 1 change model and part shortage from part supply total 280 mins</t>
  </si>
  <si>
    <t>Line1 part shortage 60mins, Line2 OJT new model V1G to team</t>
  </si>
  <si>
    <t>Line1 Rear cover shortage total 13 pcs (08:30-13:30)</t>
  </si>
  <si>
    <t>Line1 st.18 part shortge 120mins, townhall meeting 30 mins</t>
  </si>
  <si>
    <t>Start tracking by separate the quality issue / Defect</t>
  </si>
  <si>
    <t>Line2 Chassis NG =&gt;&gt; Can't assy rear cover into the chassis and can't fitment because of welding NG =&gt;&gt; Sent to rework offline 7 units</t>
  </si>
  <si>
    <t>Line2 missing 4 Op, Effect to low output</t>
  </si>
  <si>
    <t>Line1 Part delay from part supply total 260 mins (Wait part from st.10-19)
Line 1 Quality issue from assembly : Wrong fill the axel oil</t>
  </si>
  <si>
    <t>Line2 St.3 Part shortage 120mins, Part quality issue Screw for tighten the front mud cover loosen
Line1 Chassis NG =&gt;&gt; Can't insert washer , can't assy the rear stabilizer bar into chassis total 16 units</t>
  </si>
  <si>
    <t>Line 1 part supply delay 312 mins to prepared part and supply to line</t>
  </si>
  <si>
    <t>Line 1 part supply delay 472 mins to prepared part and supply to line</t>
  </si>
  <si>
    <t>Line1 part supply delay for prepared part and supply to PD line</t>
  </si>
  <si>
    <t>Line2 Front caliper brake shortage</t>
  </si>
  <si>
    <t>Line1 Part supply delay, Stop production 18:00-19:45</t>
  </si>
  <si>
    <t>Line1 Stop 08:00-13:21, Wait part from part supplt St.15-22</t>
  </si>
  <si>
    <t>Line1 Microstoppage, Re drill and sorting screw OD13</t>
  </si>
  <si>
    <t>Screw NG from supplier #3007, #3010 =&gt;&gt; Loss time for rework and sorting</t>
  </si>
  <si>
    <t>Line 1 Screw #3007,#3010 Quality issue and shortage</t>
  </si>
  <si>
    <t>Line 2 Screw #3007,#3010 Quality issue and shortage</t>
  </si>
  <si>
    <t>Line2 Quality issue after assembly steering colume into the chassis (Unsmooth)</t>
  </si>
  <si>
    <t xml:space="preserve">Line1 Part supply delay 08:00-15:30 </t>
  </si>
  <si>
    <t>Line1 Wait part from part supply 120mins, Middle frame and Midle bucket</t>
  </si>
  <si>
    <t>Line1 part shortage screw  F2101013001 total 232 mins</t>
  </si>
  <si>
    <t>Line1 stop 180 mins =&gt;&gt; rework screw by spray the black color</t>
  </si>
  <si>
    <t>Line1 Loss time 224 mins, Part shortage from part supply model V2S</t>
  </si>
  <si>
    <t>Line1 Losstime for waiting part supply</t>
  </si>
  <si>
    <t>Line1 Part supply delay 472 mins</t>
  </si>
  <si>
    <t>Line1 change model and delay supply and make stock in line</t>
  </si>
  <si>
    <t>Line#1 Screw shortage total 180 mins</t>
  </si>
  <si>
    <t>Line#3 Part shortage 360mins, Misssing 4 Op</t>
  </si>
  <si>
    <t>Line1 Part shortage from part supply total 120mins</t>
  </si>
  <si>
    <t>Line#3 Part shortage 70mins, Misssing 5 Op</t>
  </si>
  <si>
    <t>Line#3, Part supply delay 550mins</t>
  </si>
  <si>
    <t>Line#1 Steering cover st.10 shortage 60 mins</t>
  </si>
  <si>
    <t>Line#3 Missing 5Op</t>
  </si>
  <si>
    <t>Line1 IP and Body shortage 240 mins (Wait part and wait un pack process)</t>
  </si>
  <si>
    <t>Line#3 Floor shortage 120mins</t>
  </si>
  <si>
    <t>Line#1 Rear cover shortage from supplier 135mins</t>
  </si>
  <si>
    <t>Line#2, Change model to run model Y, full fill line 125mins</t>
  </si>
  <si>
    <t>Line#1 Front and Rear wheel cover shortage 550mins</t>
  </si>
  <si>
    <t>Line#3 Loss time for change model 100 mins, Wait part from art supply after change model 150mins</t>
  </si>
  <si>
    <t>Line#1 Part supply shortage 330mins</t>
  </si>
  <si>
    <t>Line#1 Part shuuply shortage 350mins</t>
  </si>
  <si>
    <t>Line#1 Screw shortage total 240 mins</t>
  </si>
  <si>
    <t xml:space="preserve">Line#1 Wait part supply F0102080505M / St 7 / 11.00-17.00 </t>
  </si>
  <si>
    <t xml:space="preserve">Line#3 Wait part supply cover paint / St  8/ 8.00-14.40 </t>
  </si>
  <si>
    <t>Line#1, Part painted shortage from un pack and supplier</t>
  </si>
  <si>
    <t>Line#3 Part ambienth light shortage 60mins, ECN discussed 60mins</t>
  </si>
  <si>
    <t>Line#3 Floor and battery tray shortage 135 mins (From Supplier)</t>
  </si>
  <si>
    <t>Line#1 stop production because no wheel and Tire</t>
  </si>
  <si>
    <t>Line#2 Change model and prepare part (376mins)</t>
  </si>
  <si>
    <t>Line#1: Sub assy shortage (Painted) 90 mins, Labor shortage 6 Op (219 mins)</t>
  </si>
  <si>
    <t>Line#3 : Labor shortage 2 Op (157mins)</t>
  </si>
  <si>
    <t>Line#1 Stop 15:30-17:15, No wheel and Tire, full stock golf cart</t>
  </si>
  <si>
    <t>Line#2 Stop 15:30-17:15, No wheel and Tire, full stock golf cart</t>
  </si>
  <si>
    <t>No production plan, full stock and moved Op to rework and retrofit</t>
  </si>
  <si>
    <t>No major issue</t>
  </si>
  <si>
    <t>Line#3 Loss time for change model 127mins</t>
  </si>
  <si>
    <t>Line#3 Loss time for change model 277mins</t>
  </si>
  <si>
    <t>Line#3 : Wrong part supply 70mins, Trial new production run 100mins</t>
  </si>
  <si>
    <t>Line#1 : Chassis Quality issue (Hole NG, EDP issue) 90mins, No wheel and tire 73 mins</t>
  </si>
  <si>
    <t>Line#3 : Chassis Quality issue (Hole NG, EDP issue) 120mins, No wheel and tire 100 mins</t>
  </si>
  <si>
    <t>Line#1 : Full stock golf cart</t>
  </si>
  <si>
    <t xml:space="preserve">Line#1 : Full stock and no wheel and tire </t>
  </si>
  <si>
    <t>Line#3 : Wait wheel and tire</t>
  </si>
  <si>
    <t>Line#3 Change model, Loss time for prepare and fill line</t>
  </si>
  <si>
    <t>Line#3 Change model from G4+2--&gt;&gt; V1G, Loss time for prepare and fill line</t>
  </si>
  <si>
    <t>Close OT, No wheel and tire return</t>
  </si>
  <si>
    <t>Line 1 Full stock and no wheel and tire return</t>
  </si>
  <si>
    <t>Line3 Full stock and no wheel and tire return</t>
  </si>
  <si>
    <t xml:space="preserve">Line 3, part shortage, Stop line waiting Ambient Light   9 .10-17.00 </t>
  </si>
  <si>
    <t>Line#3 Wrong part supply to PD line
OK : Model J2+2
Wrong part : Model J4+2</t>
  </si>
  <si>
    <t>Line#1 Change model, Loss time for wait part from warehouse 315 mins</t>
  </si>
  <si>
    <t>Line#3 Change model, Loss time for wait part and wheel and tire return from warehouse 240 mins</t>
  </si>
  <si>
    <t>Line#1 Loss time 100mins - Wait chassis from supplier</t>
  </si>
  <si>
    <t>Line#3 Loss time 119mins - Wait wheel and tire return from warehouse</t>
  </si>
  <si>
    <t>Line1 Quality issue, Connector of wiring loosen
Line1 Change model, continue prepare part and supply to PD line</t>
  </si>
  <si>
    <t>Line#3-Wait wheel and Tire</t>
  </si>
  <si>
    <t xml:space="preserve">Change model </t>
  </si>
  <si>
    <t>Line1
-Quality issue, Pipe brake not flow
-Missing 3 Op
-Wait front grill 68mins</t>
  </si>
  <si>
    <t>Line3 -Wait part from part supply St.9-13, 1st cart-11:00
-No middle frame 50mins
-Front cover shortage from UC 40mins, Moved out PD line</t>
  </si>
  <si>
    <t>Line1, No wheel and tire 81 mins / Closed OT</t>
  </si>
  <si>
    <t>Line#3 Close OT no wheel and Tire</t>
  </si>
  <si>
    <t>Line#1, No wheel and tire, Moved Op to checked part missing and retrofit model S, V2S and V2J</t>
  </si>
  <si>
    <t>Loss from continue produced old cart model V2S-Checked the missing part from st.7-13</t>
  </si>
  <si>
    <t>Change model-Loss time 391mins&gt;&gt; Wait WH prepared-supply part to production line</t>
  </si>
  <si>
    <t>Line1 Loss time 50mins for changed model and wait WH prepared-supply part to PD line</t>
  </si>
  <si>
    <t>Line1-Loss time 119 for change model, prepared and supply part to PD line, Closed OT-No wheel and tire</t>
  </si>
  <si>
    <t>Line2-Closed OT-No wheel and tire</t>
  </si>
  <si>
    <t>Line1-No wheel and tire return</t>
  </si>
  <si>
    <t>Line2-No wheel and tire return</t>
  </si>
  <si>
    <t>Line1-Closed OT, No wheel and Tire</t>
  </si>
  <si>
    <t>Line2-Closed OT-No wheel and tire, Screw #3010-Quality issue</t>
  </si>
  <si>
    <t>Line2-Changed model-Wait prepared and supply  part</t>
  </si>
  <si>
    <t>Line1-Changed model-Wait prepared part-supply part-Confirmed part</t>
  </si>
  <si>
    <t>Line1-Part shortage from part supply -FRT COVER LOWER BRKT COAT
TotalLoss : 300mins
Line1 : Troal new model 180mins</t>
  </si>
  <si>
    <t>Line1-Closed OT, Suspension shortage</t>
  </si>
  <si>
    <t>Line3-Change model, Wait WH prepared part and supply to PD line</t>
  </si>
  <si>
    <t>Line1-Part supply delay 100mins, Closed OT-No chassis 120mins</t>
  </si>
  <si>
    <t>Line3-Change model 100mins, Closed OT-No chassis 120mins</t>
  </si>
  <si>
    <t>Line1-Cancel OT, No chassis from supplier</t>
  </si>
  <si>
    <t>Line3-Cancel OT, No chassis from supplier</t>
  </si>
  <si>
    <t>Line1-Change model and loss time for wait WH prepared and supply part to line</t>
  </si>
  <si>
    <t>Line3-Changed model, Wait WH prepared part and supply part to line
No production, Moved Op to support packing, stacking and retrofit</t>
  </si>
  <si>
    <t>Line1-Closed OT, Moved Op to support packing and stacking</t>
  </si>
  <si>
    <t>Line3-Changed model, Wait WH prepared part and supply part to line</t>
  </si>
  <si>
    <t>Line1-Closed OT--Chassis shortage</t>
  </si>
  <si>
    <t>Line3-Closed OT--Chassis delay from supplier</t>
  </si>
  <si>
    <t>Line1-Cancel OT, Chassis shortage  from supplier</t>
  </si>
  <si>
    <t>Line1-Wait middle 100mins, Closed OT-Wait chassis 120</t>
  </si>
  <si>
    <t>Date</t>
  </si>
  <si>
    <t>Part shortage
(Supplier)</t>
  </si>
  <si>
    <t>Change model</t>
  </si>
  <si>
    <t>Total Assembly line</t>
  </si>
  <si>
    <t>Main Assembly line#1</t>
  </si>
  <si>
    <t>Loss (units)</t>
  </si>
  <si>
    <t>Main Assembly line#3</t>
  </si>
  <si>
    <t>Total working time</t>
  </si>
  <si>
    <t>Total loss time</t>
  </si>
  <si>
    <t>Downtime Topic</t>
  </si>
  <si>
    <t>Donwtime loss (Mins)</t>
  </si>
  <si>
    <t>Part shortage (Supplier)-Xcellent part</t>
  </si>
  <si>
    <t>Change model (Prepare-Supply part)</t>
  </si>
  <si>
    <t>No Wheel and Tire (Return from WH)</t>
  </si>
  <si>
    <t>Delay from Part Supply team.</t>
  </si>
  <si>
    <t>Assembly Line quality issue</t>
  </si>
  <si>
    <t>Sub Assy Line quality issue</t>
  </si>
  <si>
    <t>Wrong part assy/Rework</t>
  </si>
  <si>
    <t>Cycle time issue
(Training Op)</t>
  </si>
  <si>
    <t>Part shortage (Supplier)-China</t>
  </si>
  <si>
    <t>Part shortage (Supplier)-Local</t>
  </si>
  <si>
    <t>Weekly Results : 1-5 Apr'2026</t>
  </si>
  <si>
    <t>Loss</t>
  </si>
  <si>
    <t>Days</t>
  </si>
  <si>
    <t>Total loss output</t>
  </si>
  <si>
    <t>units</t>
  </si>
  <si>
    <t xml:space="preserve">Assembly Line quality </t>
  </si>
  <si>
    <t xml:space="preserve">Sub Assy Line quality </t>
  </si>
  <si>
    <t>Part supply Time line</t>
  </si>
  <si>
    <t>Details</t>
  </si>
  <si>
    <t>D-9</t>
  </si>
  <si>
    <t>D-8</t>
  </si>
  <si>
    <t>D-7</t>
  </si>
  <si>
    <t>D-6</t>
  </si>
  <si>
    <t>D-5</t>
  </si>
  <si>
    <t>D-4</t>
  </si>
  <si>
    <t>D-3</t>
  </si>
  <si>
    <t>D-2</t>
  </si>
  <si>
    <t>D-1</t>
  </si>
  <si>
    <t>D</t>
  </si>
  <si>
    <t xml:space="preserve">1.Start production </t>
  </si>
  <si>
    <t>Start St.1</t>
  </si>
  <si>
    <t>2.Supply part to production line</t>
  </si>
  <si>
    <t>Zone1-2</t>
  </si>
  <si>
    <t>Zone3</t>
  </si>
  <si>
    <t>3.Prepare part</t>
  </si>
  <si>
    <t>4.Picking part</t>
  </si>
  <si>
    <t>5.Unpack part</t>
  </si>
  <si>
    <t>6.Receiving</t>
  </si>
  <si>
    <t>7.WIP / Part supply Kits</t>
  </si>
  <si>
    <t>8.Request part and delivery to ADC</t>
  </si>
  <si>
    <t>9.Part shortage review</t>
  </si>
  <si>
    <t>10.Master plan</t>
  </si>
  <si>
    <t>MTD Loss time monitoring (1-31 Mar'2026)</t>
  </si>
  <si>
    <t>Ramp up plan</t>
  </si>
  <si>
    <t>Review (Songkran Hoilday)</t>
  </si>
  <si>
    <t>Month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</si>
  <si>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</si>
  <si>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</si>
  <si>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</si>
  <si>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</si>
  <si>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</si>
  <si>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</si>
  <si>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</si>
  <si>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</si>
  <si>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</si>
  <si>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</si>
  <si>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</si>
  <si>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</si>
  <si>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Nov'26</t>
  </si>
  <si>
    <t>Dec-26</t>
  </si>
  <si>
    <t>Target</t>
  </si>
  <si>
    <t>Actual</t>
  </si>
  <si>
    <t>Productivity Improvement</t>
  </si>
  <si>
    <t>Line1</t>
  </si>
  <si>
    <t>Line3</t>
  </si>
  <si>
    <t>Avg</t>
  </si>
  <si>
    <t>Working Day</t>
  </si>
  <si>
    <t>JPD</t>
  </si>
  <si>
    <t>JPM</t>
  </si>
  <si>
    <t>Main Assembly line#1, Line#3</t>
  </si>
  <si>
    <t>Part shortage-Waiting for parts receiving</t>
  </si>
  <si>
    <t>Part shortage(Supplier)</t>
  </si>
  <si>
    <t>Main Assembly line#2-3</t>
  </si>
  <si>
    <t>Cycle time issue
(Missing Op.)</t>
  </si>
  <si>
    <t>Daily Down time : 7-Apr-26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</si>
</sst>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F800]dddd\,\ mmmm\ dd\,\ yyyy"/>
    <numFmt numFmtId="166" formatCode="[$-409]d\-mmm\-yy;@"/>
    <numFmt numFmtId="167" formatCode="[$-409]mmm\-yy;@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3" tint="9.9978637043366805E-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theme="1"/>
      </right>
      <top style="dotted">
        <color theme="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1"/>
      </right>
      <top style="dotted">
        <color theme="1"/>
      </top>
      <bottom style="medium">
        <color theme="1"/>
      </bottom>
      <diagonal/>
    </border>
    <border>
      <left/>
      <right style="thin">
        <color theme="1"/>
      </right>
      <top style="dotted">
        <color theme="1"/>
      </top>
      <bottom style="dotted">
        <color theme="1"/>
      </bottom>
      <diagonal/>
    </border>
    <border>
      <left style="thin">
        <color theme="0" tint="-0.14999847407452621"/>
      </left>
      <right style="thin">
        <color theme="1"/>
      </right>
      <top style="dotted">
        <color theme="1"/>
      </top>
      <bottom style="dotted">
        <color theme="1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/>
      <right style="thin">
        <color theme="1"/>
      </right>
      <top/>
      <bottom style="dotted">
        <color theme="1"/>
      </bottom>
      <diagonal/>
    </border>
    <border>
      <left style="thin">
        <color theme="0" tint="-0.14999847407452621"/>
      </left>
      <right style="thin">
        <color theme="1"/>
      </right>
      <top/>
      <bottom style="dotted">
        <color theme="1"/>
      </bottom>
      <diagonal/>
    </border>
    <border>
      <left/>
      <right/>
      <top/>
      <bottom style="dotted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6">
    <xf numFmtId="0" fontId="0" fillId="0" borderId="0" xfId="0"/>
    <xf numFmtId="0" fontId="0" fillId="3" borderId="4" xfId="0" applyFill="1" applyBorder="1"/>
    <xf numFmtId="0" fontId="0" fillId="3" borderId="5" xfId="0" applyFill="1" applyBorder="1"/>
    <xf numFmtId="0" fontId="0" fillId="0" borderId="5" xfId="0" applyBorder="1"/>
    <xf numFmtId="0" fontId="0" fillId="3" borderId="6" xfId="0" applyFill="1" applyBorder="1"/>
    <xf numFmtId="0" fontId="7" fillId="0" borderId="0" xfId="0" applyFont="1" applyAlignment="1">
      <alignment horizontal="left"/>
    </xf>
    <xf numFmtId="0" fontId="6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4" fillId="0" borderId="17" xfId="0" applyFont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0" borderId="8" xfId="0" applyFont="1" applyBorder="1"/>
    <xf numFmtId="0" fontId="4" fillId="3" borderId="9" xfId="0" applyFont="1" applyFill="1" applyBorder="1"/>
    <xf numFmtId="0" fontId="2" fillId="0" borderId="8" xfId="0" applyFont="1" applyBorder="1"/>
    <xf numFmtId="0" fontId="0" fillId="4" borderId="5" xfId="0" applyFill="1" applyBorder="1"/>
    <xf numFmtId="164" fontId="5" fillId="0" borderId="20" xfId="1" applyNumberFormat="1" applyFont="1" applyBorder="1"/>
    <xf numFmtId="164" fontId="5" fillId="0" borderId="21" xfId="1" applyNumberFormat="1" applyFont="1" applyBorder="1" applyAlignment="1"/>
    <xf numFmtId="0" fontId="7" fillId="0" borderId="23" xfId="0" applyFont="1" applyBorder="1" applyAlignment="1">
      <alignment horizontal="left"/>
    </xf>
    <xf numFmtId="164" fontId="5" fillId="0" borderId="23" xfId="1" applyNumberFormat="1" applyFont="1" applyBorder="1"/>
    <xf numFmtId="0" fontId="5" fillId="0" borderId="19" xfId="0" applyFont="1" applyBorder="1"/>
    <xf numFmtId="0" fontId="4" fillId="3" borderId="13" xfId="0" applyFont="1" applyFill="1" applyBorder="1" applyAlignment="1">
      <alignment horizontal="right"/>
    </xf>
    <xf numFmtId="0" fontId="4" fillId="3" borderId="14" xfId="0" applyFont="1" applyFill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6" borderId="14" xfId="0" applyFont="1" applyFill="1" applyBorder="1" applyAlignment="1">
      <alignment horizontal="right"/>
    </xf>
    <xf numFmtId="0" fontId="4" fillId="3" borderId="15" xfId="0" applyFont="1" applyFill="1" applyBorder="1" applyAlignment="1">
      <alignment horizontal="right"/>
    </xf>
    <xf numFmtId="0" fontId="4" fillId="3" borderId="10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3" borderId="12" xfId="0" applyFont="1" applyFill="1" applyBorder="1" applyAlignment="1">
      <alignment horizontal="right"/>
    </xf>
    <xf numFmtId="164" fontId="4" fillId="3" borderId="13" xfId="1" applyNumberFormat="1" applyFont="1" applyFill="1" applyBorder="1" applyAlignment="1">
      <alignment horizontal="right"/>
    </xf>
    <xf numFmtId="164" fontId="4" fillId="3" borderId="14" xfId="1" applyNumberFormat="1" applyFont="1" applyFill="1" applyBorder="1" applyAlignment="1">
      <alignment horizontal="right"/>
    </xf>
    <xf numFmtId="164" fontId="4" fillId="0" borderId="14" xfId="1" applyNumberFormat="1" applyFont="1" applyBorder="1" applyAlignment="1">
      <alignment horizontal="right"/>
    </xf>
    <xf numFmtId="164" fontId="4" fillId="3" borderId="15" xfId="1" applyNumberFormat="1" applyFont="1" applyFill="1" applyBorder="1" applyAlignment="1">
      <alignment horizontal="right"/>
    </xf>
    <xf numFmtId="164" fontId="4" fillId="3" borderId="16" xfId="1" applyNumberFormat="1" applyFont="1" applyFill="1" applyBorder="1" applyAlignment="1">
      <alignment horizontal="right"/>
    </xf>
    <xf numFmtId="164" fontId="4" fillId="3" borderId="17" xfId="1" applyNumberFormat="1" applyFont="1" applyFill="1" applyBorder="1" applyAlignment="1">
      <alignment horizontal="right"/>
    </xf>
    <xf numFmtId="164" fontId="4" fillId="0" borderId="17" xfId="1" applyNumberFormat="1" applyFont="1" applyBorder="1" applyAlignment="1">
      <alignment horizontal="right"/>
    </xf>
    <xf numFmtId="164" fontId="4" fillId="3" borderId="18" xfId="1" applyNumberFormat="1" applyFont="1" applyFill="1" applyBorder="1" applyAlignment="1">
      <alignment horizontal="right"/>
    </xf>
    <xf numFmtId="0" fontId="7" fillId="0" borderId="21" xfId="0" applyFont="1" applyBorder="1" applyAlignment="1">
      <alignment horizontal="left"/>
    </xf>
    <xf numFmtId="0" fontId="4" fillId="3" borderId="7" xfId="0" applyFont="1" applyFill="1" applyBorder="1" applyAlignment="1">
      <alignment horizontal="right"/>
    </xf>
    <xf numFmtId="0" fontId="4" fillId="3" borderId="8" xfId="0" applyFont="1" applyFill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3" borderId="9" xfId="0" applyFont="1" applyFill="1" applyBorder="1" applyAlignment="1">
      <alignment horizontal="right"/>
    </xf>
    <xf numFmtId="164" fontId="5" fillId="0" borderId="19" xfId="1" applyNumberFormat="1" applyFont="1" applyBorder="1"/>
    <xf numFmtId="0" fontId="0" fillId="0" borderId="4" xfId="0" applyBorder="1"/>
    <xf numFmtId="0" fontId="0" fillId="0" borderId="24" xfId="0" applyBorder="1"/>
    <xf numFmtId="0" fontId="4" fillId="0" borderId="7" xfId="0" applyFont="1" applyBorder="1"/>
    <xf numFmtId="0" fontId="4" fillId="0" borderId="25" xfId="0" applyFont="1" applyBorder="1"/>
    <xf numFmtId="0" fontId="4" fillId="0" borderId="13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164" fontId="4" fillId="0" borderId="16" xfId="1" applyNumberFormat="1" applyFont="1" applyFill="1" applyBorder="1" applyAlignment="1">
      <alignment horizontal="right"/>
    </xf>
    <xf numFmtId="164" fontId="4" fillId="0" borderId="17" xfId="1" applyNumberFormat="1" applyFont="1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27" xfId="0" applyFont="1" applyBorder="1" applyAlignment="1">
      <alignment horizontal="right"/>
    </xf>
    <xf numFmtId="164" fontId="4" fillId="0" borderId="13" xfId="1" applyNumberFormat="1" applyFont="1" applyFill="1" applyBorder="1" applyAlignment="1">
      <alignment horizontal="right"/>
    </xf>
    <xf numFmtId="164" fontId="4" fillId="0" borderId="14" xfId="1" applyNumberFormat="1" applyFont="1" applyFill="1" applyBorder="1" applyAlignment="1">
      <alignment horizontal="right"/>
    </xf>
    <xf numFmtId="0" fontId="0" fillId="8" borderId="5" xfId="0" applyFill="1" applyBorder="1"/>
    <xf numFmtId="0" fontId="4" fillId="8" borderId="8" xfId="0" applyFont="1" applyFill="1" applyBorder="1"/>
    <xf numFmtId="0" fontId="4" fillId="8" borderId="14" xfId="0" applyFont="1" applyFill="1" applyBorder="1" applyAlignment="1">
      <alignment horizontal="right"/>
    </xf>
    <xf numFmtId="164" fontId="4" fillId="8" borderId="17" xfId="1" applyNumberFormat="1" applyFont="1" applyFill="1" applyBorder="1" applyAlignment="1">
      <alignment horizontal="right"/>
    </xf>
    <xf numFmtId="0" fontId="4" fillId="8" borderId="8" xfId="0" applyFont="1" applyFill="1" applyBorder="1" applyAlignment="1">
      <alignment horizontal="right"/>
    </xf>
    <xf numFmtId="0" fontId="4" fillId="8" borderId="11" xfId="0" applyFont="1" applyFill="1" applyBorder="1" applyAlignment="1">
      <alignment horizontal="right"/>
    </xf>
    <xf numFmtId="164" fontId="4" fillId="8" borderId="14" xfId="1" applyNumberFormat="1" applyFont="1" applyFill="1" applyBorder="1" applyAlignment="1">
      <alignment horizontal="right"/>
    </xf>
    <xf numFmtId="0" fontId="2" fillId="8" borderId="8" xfId="0" applyFont="1" applyFill="1" applyBorder="1"/>
    <xf numFmtId="0" fontId="0" fillId="8" borderId="6" xfId="0" applyFill="1" applyBorder="1"/>
    <xf numFmtId="0" fontId="4" fillId="8" borderId="9" xfId="0" applyFont="1" applyFill="1" applyBorder="1"/>
    <xf numFmtId="0" fontId="4" fillId="8" borderId="15" xfId="0" applyFont="1" applyFill="1" applyBorder="1" applyAlignment="1">
      <alignment horizontal="right"/>
    </xf>
    <xf numFmtId="164" fontId="4" fillId="8" borderId="18" xfId="1" applyNumberFormat="1" applyFont="1" applyFill="1" applyBorder="1" applyAlignment="1">
      <alignment horizontal="right"/>
    </xf>
    <xf numFmtId="0" fontId="4" fillId="8" borderId="9" xfId="0" applyFont="1" applyFill="1" applyBorder="1" applyAlignment="1">
      <alignment horizontal="right"/>
    </xf>
    <xf numFmtId="0" fontId="4" fillId="8" borderId="12" xfId="0" applyFont="1" applyFill="1" applyBorder="1" applyAlignment="1">
      <alignment horizontal="right"/>
    </xf>
    <xf numFmtId="164" fontId="4" fillId="8" borderId="15" xfId="1" applyNumberFormat="1" applyFont="1" applyFill="1" applyBorder="1" applyAlignment="1">
      <alignment horizontal="right"/>
    </xf>
    <xf numFmtId="0" fontId="6" fillId="0" borderId="23" xfId="0" applyFont="1" applyBorder="1" applyAlignment="1">
      <alignment horizontal="left"/>
    </xf>
    <xf numFmtId="0" fontId="4" fillId="3" borderId="10" xfId="0" applyFont="1" applyFill="1" applyBorder="1"/>
    <xf numFmtId="0" fontId="4" fillId="3" borderId="11" xfId="0" applyFont="1" applyFill="1" applyBorder="1"/>
    <xf numFmtId="0" fontId="4" fillId="0" borderId="11" xfId="0" applyFont="1" applyBorder="1"/>
    <xf numFmtId="0" fontId="4" fillId="3" borderId="12" xfId="0" applyFont="1" applyFill="1" applyBorder="1"/>
    <xf numFmtId="0" fontId="4" fillId="0" borderId="10" xfId="0" applyFont="1" applyBorder="1"/>
    <xf numFmtId="0" fontId="4" fillId="8" borderId="11" xfId="0" applyFont="1" applyFill="1" applyBorder="1"/>
    <xf numFmtId="0" fontId="4" fillId="0" borderId="27" xfId="0" applyFont="1" applyBorder="1"/>
    <xf numFmtId="0" fontId="4" fillId="8" borderId="12" xfId="0" applyFont="1" applyFill="1" applyBorder="1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0" fontId="0" fillId="8" borderId="4" xfId="0" applyFill="1" applyBorder="1"/>
    <xf numFmtId="0" fontId="4" fillId="8" borderId="7" xfId="0" applyFont="1" applyFill="1" applyBorder="1"/>
    <xf numFmtId="0" fontId="4" fillId="8" borderId="10" xfId="0" applyFont="1" applyFill="1" applyBorder="1"/>
    <xf numFmtId="0" fontId="4" fillId="8" borderId="13" xfId="0" applyFont="1" applyFill="1" applyBorder="1" applyAlignment="1">
      <alignment horizontal="right"/>
    </xf>
    <xf numFmtId="164" fontId="4" fillId="8" borderId="16" xfId="1" applyNumberFormat="1" applyFont="1" applyFill="1" applyBorder="1" applyAlignment="1">
      <alignment horizontal="right"/>
    </xf>
    <xf numFmtId="0" fontId="4" fillId="8" borderId="7" xfId="0" applyFont="1" applyFill="1" applyBorder="1" applyAlignment="1">
      <alignment horizontal="right"/>
    </xf>
    <xf numFmtId="0" fontId="4" fillId="8" borderId="10" xfId="0" applyFont="1" applyFill="1" applyBorder="1" applyAlignment="1">
      <alignment horizontal="right"/>
    </xf>
    <xf numFmtId="164" fontId="4" fillId="8" borderId="13" xfId="1" applyNumberFormat="1" applyFont="1" applyFill="1" applyBorder="1" applyAlignment="1">
      <alignment horizontal="right"/>
    </xf>
    <xf numFmtId="0" fontId="11" fillId="0" borderId="8" xfId="0" applyFont="1" applyBorder="1" applyAlignment="1">
      <alignment horizontal="left"/>
    </xf>
    <xf numFmtId="0" fontId="4" fillId="0" borderId="28" xfId="0" applyFont="1" applyBorder="1" applyAlignment="1">
      <alignment horizontal="right"/>
    </xf>
    <xf numFmtId="0" fontId="0" fillId="0" borderId="6" xfId="0" applyBorder="1"/>
    <xf numFmtId="0" fontId="4" fillId="0" borderId="15" xfId="0" applyFont="1" applyBorder="1" applyAlignment="1">
      <alignment horizontal="right"/>
    </xf>
    <xf numFmtId="164" fontId="4" fillId="0" borderId="18" xfId="1" applyNumberFormat="1" applyFont="1" applyFill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164" fontId="4" fillId="0" borderId="15" xfId="1" applyNumberFormat="1" applyFont="1" applyFill="1" applyBorder="1" applyAlignment="1">
      <alignment horizontal="right"/>
    </xf>
    <xf numFmtId="165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/>
    </xf>
    <xf numFmtId="0" fontId="0" fillId="0" borderId="29" xfId="0" applyBorder="1" applyAlignment="1">
      <alignment horizontal="left" vertical="center" wrapText="1"/>
    </xf>
    <xf numFmtId="1" fontId="14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0" fontId="0" fillId="0" borderId="31" xfId="0" applyBorder="1" applyAlignment="1">
      <alignment horizontal="left" vertical="center" wrapText="1"/>
    </xf>
    <xf numFmtId="1" fontId="14" fillId="0" borderId="31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5" fontId="0" fillId="0" borderId="31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66" fontId="0" fillId="9" borderId="32" xfId="0" applyNumberFormat="1" applyFill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166" fontId="0" fillId="2" borderId="32" xfId="0" applyNumberFormat="1" applyFill="1" applyBorder="1" applyAlignment="1">
      <alignment horizontal="center" vertical="center"/>
    </xf>
    <xf numFmtId="0" fontId="0" fillId="10" borderId="31" xfId="0" applyFill="1" applyBorder="1" applyAlignment="1">
      <alignment horizontal="left" vertical="center" wrapText="1"/>
    </xf>
    <xf numFmtId="1" fontId="15" fillId="10" borderId="31" xfId="0" applyNumberFormat="1" applyFont="1" applyFill="1" applyBorder="1" applyAlignment="1">
      <alignment horizontal="center" vertical="center"/>
    </xf>
    <xf numFmtId="1" fontId="0" fillId="10" borderId="31" xfId="0" applyNumberFormat="1" applyFill="1" applyBorder="1" applyAlignment="1">
      <alignment horizontal="center" vertical="center"/>
    </xf>
    <xf numFmtId="166" fontId="0" fillId="10" borderId="32" xfId="0" applyNumberFormat="1" applyFill="1" applyBorder="1" applyAlignment="1">
      <alignment horizontal="center" vertical="center"/>
    </xf>
    <xf numFmtId="0" fontId="0" fillId="9" borderId="31" xfId="0" applyFill="1" applyBorder="1" applyAlignment="1">
      <alignment horizontal="left" vertical="center" wrapText="1"/>
    </xf>
    <xf numFmtId="1" fontId="0" fillId="9" borderId="31" xfId="0" applyNumberFormat="1" applyFill="1" applyBorder="1" applyAlignment="1">
      <alignment horizontal="center" vertical="center"/>
    </xf>
    <xf numFmtId="0" fontId="0" fillId="0" borderId="34" xfId="0" applyBorder="1" applyAlignment="1">
      <alignment horizontal="left" vertical="center" wrapText="1"/>
    </xf>
    <xf numFmtId="1" fontId="15" fillId="0" borderId="34" xfId="0" applyNumberFormat="1" applyFon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166" fontId="0" fillId="9" borderId="35" xfId="0" applyNumberFormat="1" applyFill="1" applyBorder="1" applyAlignment="1">
      <alignment horizontal="center" vertical="center"/>
    </xf>
    <xf numFmtId="165" fontId="12" fillId="11" borderId="36" xfId="0" applyNumberFormat="1" applyFont="1" applyFill="1" applyBorder="1" applyAlignment="1">
      <alignment horizontal="center" vertical="center" wrapText="1"/>
    </xf>
    <xf numFmtId="0" fontId="3" fillId="0" borderId="0" xfId="0" applyFont="1"/>
    <xf numFmtId="165" fontId="0" fillId="12" borderId="37" xfId="0" applyNumberForma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left"/>
    </xf>
    <xf numFmtId="164" fontId="4" fillId="8" borderId="45" xfId="1" applyNumberFormat="1" applyFont="1" applyFill="1" applyBorder="1" applyAlignment="1">
      <alignment horizontal="right"/>
    </xf>
    <xf numFmtId="164" fontId="5" fillId="0" borderId="44" xfId="1" applyNumberFormat="1" applyFont="1" applyBorder="1"/>
    <xf numFmtId="164" fontId="4" fillId="0" borderId="46" xfId="1" applyNumberFormat="1" applyFont="1" applyFill="1" applyBorder="1" applyAlignment="1">
      <alignment horizontal="right"/>
    </xf>
    <xf numFmtId="164" fontId="4" fillId="0" borderId="47" xfId="1" applyNumberFormat="1" applyFont="1" applyFill="1" applyBorder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64" fontId="16" fillId="0" borderId="0" xfId="0" applyNumberFormat="1" applyFont="1" applyAlignment="1">
      <alignment horizontal="center"/>
    </xf>
    <xf numFmtId="0" fontId="17" fillId="6" borderId="14" xfId="0" applyFont="1" applyFill="1" applyBorder="1" applyAlignment="1">
      <alignment horizontal="right"/>
    </xf>
    <xf numFmtId="0" fontId="17" fillId="6" borderId="11" xfId="0" applyFont="1" applyFill="1" applyBorder="1" applyAlignment="1">
      <alignment horizontal="right"/>
    </xf>
    <xf numFmtId="164" fontId="0" fillId="0" borderId="0" xfId="0" applyNumberFormat="1" applyAlignment="1">
      <alignment horizontal="center"/>
    </xf>
    <xf numFmtId="0" fontId="11" fillId="10" borderId="11" xfId="0" applyFont="1" applyFill="1" applyBorder="1" applyAlignment="1">
      <alignment horizontal="right"/>
    </xf>
    <xf numFmtId="167" fontId="0" fillId="0" borderId="0" xfId="0" quotePrefix="1" applyNumberFormat="1" applyAlignment="1">
      <alignment horizontal="center"/>
    </xf>
    <xf numFmtId="9" fontId="0" fillId="0" borderId="0" xfId="0" applyNumberFormat="1"/>
    <xf numFmtId="0" fontId="19" fillId="0" borderId="0" xfId="0" applyFont="1"/>
    <xf numFmtId="0" fontId="0" fillId="0" borderId="37" xfId="0" applyBorder="1"/>
    <xf numFmtId="167" fontId="0" fillId="0" borderId="37" xfId="0" quotePrefix="1" applyNumberFormat="1" applyBorder="1" applyAlignment="1">
      <alignment horizontal="center"/>
    </xf>
    <xf numFmtId="0" fontId="0" fillId="13" borderId="0" xfId="0" applyFill="1"/>
    <xf numFmtId="0" fontId="6" fillId="0" borderId="0" xfId="0" applyFont="1"/>
    <xf numFmtId="0" fontId="2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0" fillId="10" borderId="0" xfId="0" applyFont="1" applyFill="1"/>
    <xf numFmtId="0" fontId="0" fillId="0" borderId="0" xfId="0" applyAlignment="1">
      <alignment horizontal="right"/>
    </xf>
    <xf numFmtId="0" fontId="3" fillId="14" borderId="0" xfId="0" applyFont="1" applyFill="1"/>
    <xf numFmtId="9" fontId="2" fillId="0" borderId="0" xfId="2" applyFont="1"/>
    <xf numFmtId="0" fontId="3" fillId="15" borderId="37" xfId="0" applyFont="1" applyFill="1" applyBorder="1"/>
    <xf numFmtId="0" fontId="3" fillId="15" borderId="37" xfId="0" applyFont="1" applyFill="1" applyBorder="1" applyAlignment="1">
      <alignment horizontal="center"/>
    </xf>
    <xf numFmtId="0" fontId="13" fillId="16" borderId="37" xfId="0" applyFont="1" applyFill="1" applyBorder="1"/>
    <xf numFmtId="0" fontId="13" fillId="16" borderId="37" xfId="0" applyFont="1" applyFill="1" applyBorder="1" applyAlignment="1">
      <alignment horizontal="center"/>
    </xf>
    <xf numFmtId="0" fontId="0" fillId="16" borderId="37" xfId="0" applyFill="1" applyBorder="1"/>
    <xf numFmtId="9" fontId="0" fillId="0" borderId="37" xfId="0" applyNumberFormat="1" applyBorder="1"/>
    <xf numFmtId="0" fontId="23" fillId="0" borderId="37" xfId="0" applyFont="1" applyBorder="1"/>
    <xf numFmtId="9" fontId="23" fillId="0" borderId="37" xfId="0" applyNumberFormat="1" applyFont="1" applyBorder="1"/>
    <xf numFmtId="0" fontId="0" fillId="0" borderId="0" xfId="0" applyAlignment="1">
      <alignment horizontal="left"/>
    </xf>
    <xf numFmtId="9" fontId="0" fillId="0" borderId="0" xfId="2" applyFont="1" applyAlignment="1">
      <alignment horizontal="left"/>
    </xf>
    <xf numFmtId="164" fontId="0" fillId="0" borderId="0" xfId="0" applyNumberFormat="1"/>
    <xf numFmtId="9" fontId="20" fillId="0" borderId="0" xfId="2" applyFont="1"/>
    <xf numFmtId="0" fontId="20" fillId="0" borderId="0" xfId="0" applyFont="1" applyAlignment="1">
      <alignment horizontal="right"/>
    </xf>
    <xf numFmtId="2" fontId="20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24" fillId="0" borderId="0" xfId="0" applyFont="1" applyAlignment="1">
      <alignment horizontal="left"/>
    </xf>
    <xf numFmtId="164" fontId="24" fillId="0" borderId="0" xfId="0" applyNumberFormat="1" applyFont="1"/>
    <xf numFmtId="164" fontId="24" fillId="0" borderId="0" xfId="0" applyNumberFormat="1" applyFont="1" applyAlignment="1">
      <alignment horizontal="center"/>
    </xf>
    <xf numFmtId="0" fontId="24" fillId="0" borderId="0" xfId="0" applyFont="1"/>
    <xf numFmtId="0" fontId="17" fillId="0" borderId="14" xfId="0" applyFont="1" applyBorder="1" applyAlignment="1">
      <alignment horizontal="right"/>
    </xf>
    <xf numFmtId="164" fontId="4" fillId="3" borderId="46" xfId="1" applyNumberFormat="1" applyFont="1" applyFill="1" applyBorder="1" applyAlignment="1">
      <alignment horizontal="right"/>
    </xf>
    <xf numFmtId="0" fontId="17" fillId="3" borderId="14" xfId="0" applyFont="1" applyFill="1" applyBorder="1" applyAlignment="1">
      <alignment horizontal="right"/>
    </xf>
    <xf numFmtId="165" fontId="3" fillId="12" borderId="41" xfId="0" applyNumberFormat="1" applyFont="1" applyFill="1" applyBorder="1" applyAlignment="1">
      <alignment horizontal="center" vertical="center" wrapText="1"/>
    </xf>
    <xf numFmtId="1" fontId="25" fillId="10" borderId="0" xfId="0" applyNumberFormat="1" applyFont="1" applyFill="1"/>
    <xf numFmtId="0" fontId="25" fillId="10" borderId="0" xfId="0" applyFont="1" applyFill="1"/>
    <xf numFmtId="166" fontId="0" fillId="9" borderId="34" xfId="0" applyNumberFormat="1" applyFill="1" applyBorder="1" applyAlignment="1">
      <alignment horizontal="center" vertical="center"/>
    </xf>
    <xf numFmtId="166" fontId="0" fillId="9" borderId="31" xfId="0" applyNumberFormat="1" applyFill="1" applyBorder="1" applyAlignment="1">
      <alignment horizontal="center" vertical="center"/>
    </xf>
    <xf numFmtId="166" fontId="0" fillId="10" borderId="31" xfId="0" applyNumberFormat="1" applyFill="1" applyBorder="1" applyAlignment="1">
      <alignment horizontal="center" vertical="center"/>
    </xf>
    <xf numFmtId="166" fontId="0" fillId="2" borderId="31" xfId="0" applyNumberForma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0" fontId="26" fillId="0" borderId="11" xfId="0" applyFont="1" applyBorder="1" applyAlignment="1">
      <alignment horizontal="right"/>
    </xf>
    <xf numFmtId="0" fontId="26" fillId="0" borderId="14" xfId="0" applyFont="1" applyBorder="1" applyAlignment="1">
      <alignment horizontal="right"/>
    </xf>
    <xf numFmtId="0" fontId="26" fillId="3" borderId="11" xfId="0" applyFont="1" applyFill="1" applyBorder="1" applyAlignment="1">
      <alignment horizontal="right"/>
    </xf>
    <xf numFmtId="0" fontId="26" fillId="0" borderId="12" xfId="0" applyFont="1" applyBorder="1" applyAlignment="1">
      <alignment horizontal="right"/>
    </xf>
    <xf numFmtId="0" fontId="10" fillId="7" borderId="0" xfId="0" applyFont="1" applyFill="1" applyAlignment="1">
      <alignment horizontal="left" vertical="center" wrapText="1"/>
    </xf>
    <xf numFmtId="0" fontId="10" fillId="7" borderId="22" xfId="0" applyFont="1" applyFill="1" applyBorder="1" applyAlignment="1">
      <alignment horizontal="left" vertical="center" wrapText="1"/>
    </xf>
    <xf numFmtId="17" fontId="7" fillId="2" borderId="1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65" fontId="3" fillId="12" borderId="41" xfId="0" applyNumberFormat="1" applyFont="1" applyFill="1" applyBorder="1" applyAlignment="1">
      <alignment horizontal="center" vertical="center" wrapText="1"/>
    </xf>
    <xf numFmtId="165" fontId="3" fillId="12" borderId="42" xfId="0" applyNumberFormat="1" applyFont="1" applyFill="1" applyBorder="1" applyAlignment="1">
      <alignment horizontal="center" vertical="center" wrapText="1"/>
    </xf>
    <xf numFmtId="165" fontId="3" fillId="12" borderId="43" xfId="0" applyNumberFormat="1" applyFont="1" applyFill="1" applyBorder="1" applyAlignment="1">
      <alignment horizontal="center" vertical="center" wrapText="1"/>
    </xf>
    <xf numFmtId="165" fontId="0" fillId="12" borderId="40" xfId="0" applyNumberFormat="1" applyFill="1" applyBorder="1" applyAlignment="1">
      <alignment horizontal="center" vertical="center" wrapText="1"/>
    </xf>
    <xf numFmtId="165" fontId="0" fillId="12" borderId="39" xfId="0" applyNumberFormat="1" applyFill="1" applyBorder="1" applyAlignment="1">
      <alignment horizontal="center" vertical="center" wrapText="1"/>
    </xf>
    <xf numFmtId="165" fontId="0" fillId="12" borderId="38" xfId="0" applyNumberFormat="1" applyFill="1" applyBorder="1" applyAlignment="1">
      <alignment horizontal="center" vertical="center" wrapText="1"/>
    </xf>
    <xf numFmtId="165" fontId="3" fillId="10" borderId="33" xfId="0" applyNumberFormat="1" applyFont="1" applyFill="1" applyBorder="1" applyAlignment="1">
      <alignment horizontal="center" vertical="center"/>
    </xf>
    <xf numFmtId="165" fontId="3" fillId="10" borderId="31" xfId="0" applyNumberFormat="1" applyFont="1" applyFill="1" applyBorder="1" applyAlignment="1">
      <alignment horizontal="center" vertical="center"/>
    </xf>
    <xf numFmtId="165" fontId="12" fillId="11" borderId="0" xfId="0" applyNumberFormat="1" applyFont="1" applyFill="1" applyAlignment="1">
      <alignment horizontal="center" vertical="center" wrapText="1"/>
    </xf>
    <xf numFmtId="165" fontId="12" fillId="11" borderId="36" xfId="0" applyNumberFormat="1" applyFont="1" applyFill="1" applyBorder="1" applyAlignment="1">
      <alignment horizontal="center" vertical="center" wrapText="1"/>
    </xf>
    <xf numFmtId="165" fontId="3" fillId="12" borderId="37" xfId="0" applyNumberFormat="1" applyFont="1" applyFill="1" applyBorder="1" applyAlignment="1">
      <alignment horizontal="center" vertical="center" wrapText="1"/>
    </xf>
    <xf numFmtId="165" fontId="0" fillId="12" borderId="37" xfId="0" applyNumberFormat="1" applyFill="1" applyBorder="1" applyAlignment="1">
      <alignment horizontal="center" vertical="center" wrapText="1"/>
    </xf>
    <xf numFmtId="165" fontId="13" fillId="6" borderId="37" xfId="0" applyNumberFormat="1" applyFont="1" applyFill="1" applyBorder="1" applyAlignment="1">
      <alignment horizontal="center" vertical="center" wrapText="1"/>
    </xf>
    <xf numFmtId="0" fontId="25" fillId="10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8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G12 Assembly Output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'Nov2025'!$A$17</c:f>
              <c:strCache>
                <c:ptCount val="1"/>
                <c:pt idx="0">
                  <c:v>Total Actual Output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'Nov2025'!$B$3:$AE$3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'Nov2025'!$B$17:$AE$17</c:f>
              <c:numCache>
                <c:formatCode>_(* #,##0_);_(* \(#,##0\);_(* "-"??_);_(@_)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32</c:v>
                </c:pt>
                <c:pt idx="3">
                  <c:v>25</c:v>
                </c:pt>
                <c:pt idx="4">
                  <c:v>30</c:v>
                </c:pt>
                <c:pt idx="5">
                  <c:v>44</c:v>
                </c:pt>
                <c:pt idx="6">
                  <c:v>26</c:v>
                </c:pt>
                <c:pt idx="7">
                  <c:v>0</c:v>
                </c:pt>
                <c:pt idx="8">
                  <c:v>0</c:v>
                </c:pt>
                <c:pt idx="9">
                  <c:v>24</c:v>
                </c:pt>
                <c:pt idx="10">
                  <c:v>9</c:v>
                </c:pt>
                <c:pt idx="11">
                  <c:v>43</c:v>
                </c:pt>
                <c:pt idx="12">
                  <c:v>35</c:v>
                </c:pt>
                <c:pt idx="13">
                  <c:v>34</c:v>
                </c:pt>
                <c:pt idx="14">
                  <c:v>29</c:v>
                </c:pt>
                <c:pt idx="15">
                  <c:v>0</c:v>
                </c:pt>
                <c:pt idx="16">
                  <c:v>32</c:v>
                </c:pt>
                <c:pt idx="17">
                  <c:v>29</c:v>
                </c:pt>
                <c:pt idx="18">
                  <c:v>17</c:v>
                </c:pt>
                <c:pt idx="19">
                  <c:v>32</c:v>
                </c:pt>
                <c:pt idx="20">
                  <c:v>28</c:v>
                </c:pt>
                <c:pt idx="21">
                  <c:v>23</c:v>
                </c:pt>
                <c:pt idx="22">
                  <c:v>0</c:v>
                </c:pt>
                <c:pt idx="23">
                  <c:v>30</c:v>
                </c:pt>
                <c:pt idx="24">
                  <c:v>25</c:v>
                </c:pt>
                <c:pt idx="25">
                  <c:v>34</c:v>
                </c:pt>
                <c:pt idx="26">
                  <c:v>41</c:v>
                </c:pt>
                <c:pt idx="27">
                  <c:v>17</c:v>
                </c:pt>
                <c:pt idx="28">
                  <c:v>31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F-4FB7-B28A-026DE8FB6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6965856"/>
        <c:axId val="1375061008"/>
      </c:barChart>
      <c:lineChart>
        <c:grouping val="standard"/>
        <c:varyColors val="0"/>
        <c:ser>
          <c:idx val="0"/>
          <c:order val="0"/>
          <c:tx>
            <c:strRef>
              <c:f>'Nov2025'!$A$16</c:f>
              <c:strCache>
                <c:ptCount val="1"/>
                <c:pt idx="0">
                  <c:v>Total Production 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'Nov2025'!$B$3:$AE$3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'Nov2025'!$B$16:$AE$16</c:f>
              <c:numCache>
                <c:formatCode>_(* #,##0_);_(* \(#,##0\);_(* "-"??_);_(@_)</c:formatCode>
                <c:ptCount val="30"/>
                <c:pt idx="0">
                  <c:v>49</c:v>
                </c:pt>
                <c:pt idx="1">
                  <c:v>0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38</c:v>
                </c:pt>
                <c:pt idx="7">
                  <c:v>0</c:v>
                </c:pt>
                <c:pt idx="8">
                  <c:v>0</c:v>
                </c:pt>
                <c:pt idx="9">
                  <c:v>49</c:v>
                </c:pt>
                <c:pt idx="10">
                  <c:v>0</c:v>
                </c:pt>
                <c:pt idx="11">
                  <c:v>49</c:v>
                </c:pt>
                <c:pt idx="12">
                  <c:v>49</c:v>
                </c:pt>
                <c:pt idx="13">
                  <c:v>34</c:v>
                </c:pt>
                <c:pt idx="14">
                  <c:v>44</c:v>
                </c:pt>
                <c:pt idx="15">
                  <c:v>0</c:v>
                </c:pt>
                <c:pt idx="16">
                  <c:v>44</c:v>
                </c:pt>
                <c:pt idx="17">
                  <c:v>44</c:v>
                </c:pt>
                <c:pt idx="18">
                  <c:v>44</c:v>
                </c:pt>
                <c:pt idx="19">
                  <c:v>44</c:v>
                </c:pt>
                <c:pt idx="20">
                  <c:v>34</c:v>
                </c:pt>
                <c:pt idx="21">
                  <c:v>44</c:v>
                </c:pt>
                <c:pt idx="22">
                  <c:v>0</c:v>
                </c:pt>
                <c:pt idx="23">
                  <c:v>44</c:v>
                </c:pt>
                <c:pt idx="24">
                  <c:v>44</c:v>
                </c:pt>
                <c:pt idx="25">
                  <c:v>44</c:v>
                </c:pt>
                <c:pt idx="26">
                  <c:v>44</c:v>
                </c:pt>
                <c:pt idx="27">
                  <c:v>34</c:v>
                </c:pt>
                <c:pt idx="28">
                  <c:v>44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8F-4FB7-B28A-026DE8FB6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65856"/>
        <c:axId val="1375061008"/>
      </c:lineChart>
      <c:catAx>
        <c:axId val="14569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61008"/>
        <c:crosses val="autoZero"/>
        <c:auto val="1"/>
        <c:lblAlgn val="ctr"/>
        <c:lblOffset val="100"/>
        <c:noMultiLvlLbl val="0"/>
      </c:catAx>
      <c:valAx>
        <c:axId val="13750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6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G12 Assembly Output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'Dec2025'!$A$17</c:f>
              <c:strCache>
                <c:ptCount val="1"/>
                <c:pt idx="0">
                  <c:v>Total Actual Output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'Dec2025'!$B$3:$AF$3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'Dec2025'!$B$17:$AF$17</c:f>
              <c:numCache>
                <c:formatCode>_(* #,##0_);_(* \(#,##0\);_(* "-"??_);_(@_)</c:formatCode>
                <c:ptCount val="31"/>
                <c:pt idx="0">
                  <c:v>41</c:v>
                </c:pt>
                <c:pt idx="1">
                  <c:v>24</c:v>
                </c:pt>
                <c:pt idx="2">
                  <c:v>35</c:v>
                </c:pt>
                <c:pt idx="3">
                  <c:v>31</c:v>
                </c:pt>
                <c:pt idx="4">
                  <c:v>16</c:v>
                </c:pt>
                <c:pt idx="5">
                  <c:v>11</c:v>
                </c:pt>
                <c:pt idx="6">
                  <c:v>0</c:v>
                </c:pt>
                <c:pt idx="7">
                  <c:v>31</c:v>
                </c:pt>
                <c:pt idx="8">
                  <c:v>32</c:v>
                </c:pt>
                <c:pt idx="9">
                  <c:v>40</c:v>
                </c:pt>
                <c:pt idx="10">
                  <c:v>30</c:v>
                </c:pt>
                <c:pt idx="11">
                  <c:v>45</c:v>
                </c:pt>
                <c:pt idx="12">
                  <c:v>42</c:v>
                </c:pt>
                <c:pt idx="13">
                  <c:v>34</c:v>
                </c:pt>
                <c:pt idx="14">
                  <c:v>41</c:v>
                </c:pt>
                <c:pt idx="15">
                  <c:v>13</c:v>
                </c:pt>
                <c:pt idx="16">
                  <c:v>43</c:v>
                </c:pt>
                <c:pt idx="17">
                  <c:v>26</c:v>
                </c:pt>
                <c:pt idx="18">
                  <c:v>36</c:v>
                </c:pt>
                <c:pt idx="19">
                  <c:v>41</c:v>
                </c:pt>
                <c:pt idx="20">
                  <c:v>0</c:v>
                </c:pt>
                <c:pt idx="21">
                  <c:v>37</c:v>
                </c:pt>
                <c:pt idx="22">
                  <c:v>34</c:v>
                </c:pt>
                <c:pt idx="23">
                  <c:v>21</c:v>
                </c:pt>
                <c:pt idx="24">
                  <c:v>28</c:v>
                </c:pt>
                <c:pt idx="25">
                  <c:v>45</c:v>
                </c:pt>
                <c:pt idx="26">
                  <c:v>28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F-4A97-8E1E-80C9E164D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6965856"/>
        <c:axId val="1375061008"/>
      </c:barChart>
      <c:lineChart>
        <c:grouping val="standard"/>
        <c:varyColors val="0"/>
        <c:ser>
          <c:idx val="0"/>
          <c:order val="0"/>
          <c:tx>
            <c:strRef>
              <c:f>'Dec2025'!$A$16</c:f>
              <c:strCache>
                <c:ptCount val="1"/>
                <c:pt idx="0">
                  <c:v>Total Production 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'Dec2025'!$B$3:$AF$3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'Dec2025'!$B$16:$AF$16</c:f>
              <c:numCache>
                <c:formatCode>_(* #,##0_);_(* \(#,##0\);_(* "-"??_);_(@_)</c:formatCode>
                <c:ptCount val="31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36</c:v>
                </c:pt>
                <c:pt idx="5">
                  <c:v>36</c:v>
                </c:pt>
                <c:pt idx="6">
                  <c:v>0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44</c:v>
                </c:pt>
                <c:pt idx="11">
                  <c:v>44</c:v>
                </c:pt>
                <c:pt idx="12">
                  <c:v>44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44</c:v>
                </c:pt>
                <c:pt idx="18">
                  <c:v>44</c:v>
                </c:pt>
                <c:pt idx="19">
                  <c:v>44</c:v>
                </c:pt>
                <c:pt idx="20">
                  <c:v>0</c:v>
                </c:pt>
                <c:pt idx="21">
                  <c:v>44</c:v>
                </c:pt>
                <c:pt idx="22">
                  <c:v>44</c:v>
                </c:pt>
                <c:pt idx="23">
                  <c:v>44</c:v>
                </c:pt>
                <c:pt idx="24">
                  <c:v>44</c:v>
                </c:pt>
                <c:pt idx="25">
                  <c:v>35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F-4A97-8E1E-80C9E164D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65856"/>
        <c:axId val="1375061008"/>
      </c:lineChart>
      <c:catAx>
        <c:axId val="14569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61008"/>
        <c:crosses val="autoZero"/>
        <c:auto val="1"/>
        <c:lblAlgn val="ctr"/>
        <c:lblOffset val="100"/>
        <c:noMultiLvlLbl val="0"/>
      </c:catAx>
      <c:valAx>
        <c:axId val="13750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6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G12 Assembly Output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'Jan2026'!$A$17</c:f>
              <c:strCache>
                <c:ptCount val="1"/>
                <c:pt idx="0">
                  <c:v>Total Actual Output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'Jan2026'!$B$3:$AF$3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'Jan2026'!$B$17:$AF$17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</c:v>
                </c:pt>
                <c:pt idx="7">
                  <c:v>21</c:v>
                </c:pt>
                <c:pt idx="8">
                  <c:v>46</c:v>
                </c:pt>
                <c:pt idx="9">
                  <c:v>45</c:v>
                </c:pt>
                <c:pt idx="10">
                  <c:v>0</c:v>
                </c:pt>
                <c:pt idx="11">
                  <c:v>37</c:v>
                </c:pt>
                <c:pt idx="12">
                  <c:v>16</c:v>
                </c:pt>
                <c:pt idx="13">
                  <c:v>23</c:v>
                </c:pt>
                <c:pt idx="14">
                  <c:v>40</c:v>
                </c:pt>
                <c:pt idx="15">
                  <c:v>55</c:v>
                </c:pt>
                <c:pt idx="16">
                  <c:v>32</c:v>
                </c:pt>
                <c:pt idx="17">
                  <c:v>0</c:v>
                </c:pt>
                <c:pt idx="18">
                  <c:v>36</c:v>
                </c:pt>
                <c:pt idx="19">
                  <c:v>50</c:v>
                </c:pt>
                <c:pt idx="20">
                  <c:v>42</c:v>
                </c:pt>
                <c:pt idx="21">
                  <c:v>42</c:v>
                </c:pt>
                <c:pt idx="22">
                  <c:v>28</c:v>
                </c:pt>
                <c:pt idx="23">
                  <c:v>28</c:v>
                </c:pt>
                <c:pt idx="24">
                  <c:v>0</c:v>
                </c:pt>
                <c:pt idx="25">
                  <c:v>50</c:v>
                </c:pt>
                <c:pt idx="26">
                  <c:v>54</c:v>
                </c:pt>
                <c:pt idx="27">
                  <c:v>42</c:v>
                </c:pt>
                <c:pt idx="28">
                  <c:v>47</c:v>
                </c:pt>
                <c:pt idx="29">
                  <c:v>42</c:v>
                </c:pt>
                <c:pt idx="3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F-4ACB-A5E6-1B0C1CA3C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6965856"/>
        <c:axId val="1375061008"/>
      </c:barChart>
      <c:lineChart>
        <c:grouping val="standard"/>
        <c:varyColors val="0"/>
        <c:ser>
          <c:idx val="0"/>
          <c:order val="0"/>
          <c:tx>
            <c:strRef>
              <c:f>'Jan2026'!$A$16</c:f>
              <c:strCache>
                <c:ptCount val="1"/>
                <c:pt idx="0">
                  <c:v>Total Production 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'Jan2026'!$B$3:$AF$3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'Jan2026'!$B$16:$AF$16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0</c:v>
                </c:pt>
                <c:pt idx="11">
                  <c:v>44</c:v>
                </c:pt>
                <c:pt idx="12">
                  <c:v>40</c:v>
                </c:pt>
                <c:pt idx="13">
                  <c:v>30</c:v>
                </c:pt>
                <c:pt idx="14">
                  <c:v>60</c:v>
                </c:pt>
                <c:pt idx="15">
                  <c:v>60</c:v>
                </c:pt>
                <c:pt idx="16">
                  <c:v>48</c:v>
                </c:pt>
                <c:pt idx="17">
                  <c:v>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7F-4ACB-A5E6-1B0C1CA3C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65856"/>
        <c:axId val="1375061008"/>
      </c:lineChart>
      <c:catAx>
        <c:axId val="14569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61008"/>
        <c:crosses val="autoZero"/>
        <c:auto val="1"/>
        <c:lblAlgn val="ctr"/>
        <c:lblOffset val="100"/>
        <c:noMultiLvlLbl val="0"/>
      </c:catAx>
      <c:valAx>
        <c:axId val="13750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6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G12 Assembly Output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'Feb2026'!$A$17</c:f>
              <c:strCache>
                <c:ptCount val="1"/>
                <c:pt idx="0">
                  <c:v>Total Actual Output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'Feb2026'!$B$3:$AF$3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'Feb2026'!$B$17:$AF$17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44</c:v>
                </c:pt>
                <c:pt idx="2">
                  <c:v>65</c:v>
                </c:pt>
                <c:pt idx="3">
                  <c:v>31</c:v>
                </c:pt>
                <c:pt idx="4">
                  <c:v>32</c:v>
                </c:pt>
                <c:pt idx="5">
                  <c:v>26</c:v>
                </c:pt>
                <c:pt idx="6">
                  <c:v>26</c:v>
                </c:pt>
                <c:pt idx="7">
                  <c:v>0</c:v>
                </c:pt>
                <c:pt idx="8">
                  <c:v>63</c:v>
                </c:pt>
                <c:pt idx="9">
                  <c:v>34</c:v>
                </c:pt>
                <c:pt idx="10">
                  <c:v>0</c:v>
                </c:pt>
                <c:pt idx="11">
                  <c:v>24</c:v>
                </c:pt>
                <c:pt idx="12">
                  <c:v>38</c:v>
                </c:pt>
                <c:pt idx="13">
                  <c:v>0</c:v>
                </c:pt>
                <c:pt idx="14">
                  <c:v>0</c:v>
                </c:pt>
                <c:pt idx="15">
                  <c:v>58</c:v>
                </c:pt>
                <c:pt idx="16">
                  <c:v>50</c:v>
                </c:pt>
                <c:pt idx="17">
                  <c:v>53</c:v>
                </c:pt>
                <c:pt idx="18">
                  <c:v>42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31</c:v>
                </c:pt>
                <c:pt idx="23">
                  <c:v>50</c:v>
                </c:pt>
                <c:pt idx="24">
                  <c:v>52</c:v>
                </c:pt>
                <c:pt idx="25">
                  <c:v>21</c:v>
                </c:pt>
                <c:pt idx="26">
                  <c:v>16</c:v>
                </c:pt>
                <c:pt idx="27">
                  <c:v>27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7-4DFE-9500-EA0BEA54F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6965856"/>
        <c:axId val="1375061008"/>
      </c:barChart>
      <c:lineChart>
        <c:grouping val="standard"/>
        <c:varyColors val="0"/>
        <c:ser>
          <c:idx val="0"/>
          <c:order val="0"/>
          <c:tx>
            <c:strRef>
              <c:f>'Feb2026'!$A$16</c:f>
              <c:strCache>
                <c:ptCount val="1"/>
                <c:pt idx="0">
                  <c:v>Total Production 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'Feb2026'!$B$3:$AF$3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'Feb2026'!$B$16:$AF$16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48</c:v>
                </c:pt>
                <c:pt idx="6">
                  <c:v>48</c:v>
                </c:pt>
                <c:pt idx="7">
                  <c:v>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48</c:v>
                </c:pt>
                <c:pt idx="14">
                  <c:v>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54</c:v>
                </c:pt>
                <c:pt idx="20">
                  <c:v>48</c:v>
                </c:pt>
                <c:pt idx="21">
                  <c:v>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47-4DFE-9500-EA0BEA54F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65856"/>
        <c:axId val="1375061008"/>
      </c:lineChart>
      <c:catAx>
        <c:axId val="14569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61008"/>
        <c:crosses val="autoZero"/>
        <c:auto val="1"/>
        <c:lblAlgn val="ctr"/>
        <c:lblOffset val="100"/>
        <c:noMultiLvlLbl val="0"/>
      </c:catAx>
      <c:valAx>
        <c:axId val="13750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6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G12 Assembly Output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'Mar2026'!$A$17</c:f>
              <c:strCache>
                <c:ptCount val="1"/>
                <c:pt idx="0">
                  <c:v>Total Actual Output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'Mar2026'!$B$3:$AF$3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'Mar2026'!$B$17:$AF$17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34</c:v>
                </c:pt>
                <c:pt idx="4">
                  <c:v>39</c:v>
                </c:pt>
                <c:pt idx="5">
                  <c:v>25</c:v>
                </c:pt>
                <c:pt idx="6">
                  <c:v>32</c:v>
                </c:pt>
                <c:pt idx="7">
                  <c:v>0</c:v>
                </c:pt>
                <c:pt idx="8">
                  <c:v>44</c:v>
                </c:pt>
                <c:pt idx="9">
                  <c:v>46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19</c:v>
                </c:pt>
                <c:pt idx="14">
                  <c:v>0</c:v>
                </c:pt>
                <c:pt idx="15">
                  <c:v>59</c:v>
                </c:pt>
                <c:pt idx="16">
                  <c:v>43</c:v>
                </c:pt>
                <c:pt idx="17">
                  <c:v>0</c:v>
                </c:pt>
                <c:pt idx="18">
                  <c:v>60</c:v>
                </c:pt>
                <c:pt idx="19">
                  <c:v>47</c:v>
                </c:pt>
                <c:pt idx="20">
                  <c:v>53</c:v>
                </c:pt>
                <c:pt idx="21">
                  <c:v>44</c:v>
                </c:pt>
                <c:pt idx="22">
                  <c:v>24</c:v>
                </c:pt>
                <c:pt idx="23">
                  <c:v>59</c:v>
                </c:pt>
                <c:pt idx="24">
                  <c:v>25</c:v>
                </c:pt>
                <c:pt idx="25">
                  <c:v>61</c:v>
                </c:pt>
                <c:pt idx="26">
                  <c:v>42</c:v>
                </c:pt>
                <c:pt idx="27">
                  <c:v>0</c:v>
                </c:pt>
                <c:pt idx="28">
                  <c:v>0</c:v>
                </c:pt>
                <c:pt idx="29">
                  <c:v>12</c:v>
                </c:pt>
                <c:pt idx="3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1-40B2-80DD-94AD3D1A4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6965856"/>
        <c:axId val="1375061008"/>
      </c:barChart>
      <c:lineChart>
        <c:grouping val="standard"/>
        <c:varyColors val="0"/>
        <c:ser>
          <c:idx val="0"/>
          <c:order val="0"/>
          <c:tx>
            <c:strRef>
              <c:f>'Mar2026'!$A$16</c:f>
              <c:strCache>
                <c:ptCount val="1"/>
                <c:pt idx="0">
                  <c:v>Total Production 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'Mar2026'!$B$3:$AF$3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'Mar2026'!$B$16:$AF$16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48</c:v>
                </c:pt>
                <c:pt idx="7">
                  <c:v>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0</c:v>
                </c:pt>
                <c:pt idx="14">
                  <c:v>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48</c:v>
                </c:pt>
                <c:pt idx="21">
                  <c:v>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48</c:v>
                </c:pt>
                <c:pt idx="28">
                  <c:v>0</c:v>
                </c:pt>
                <c:pt idx="29">
                  <c:v>60</c:v>
                </c:pt>
                <c:pt idx="3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11-40B2-80DD-94AD3D1A4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65856"/>
        <c:axId val="1375061008"/>
      </c:lineChart>
      <c:catAx>
        <c:axId val="14569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61008"/>
        <c:crosses val="autoZero"/>
        <c:auto val="1"/>
        <c:lblAlgn val="ctr"/>
        <c:lblOffset val="100"/>
        <c:noMultiLvlLbl val="0"/>
      </c:catAx>
      <c:valAx>
        <c:axId val="13750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6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G12 Assembly Output accumulate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'Mar2026'!$A$20</c:f>
              <c:strCache>
                <c:ptCount val="1"/>
                <c:pt idx="0">
                  <c:v>Accum. 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'Mar2026'!$B$3:$AF$3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'Mar2026'!$B$20:$AF$20</c:f>
              <c:numCache>
                <c:formatCode>_(* #,##0_);_(* \(#,##0\);_(* "-"??_);_(@_)</c:formatCode>
                <c:ptCount val="31"/>
                <c:pt idx="1">
                  <c:v>60</c:v>
                </c:pt>
                <c:pt idx="2">
                  <c:v>60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  <c:pt idx="6">
                  <c:v>288</c:v>
                </c:pt>
                <c:pt idx="7">
                  <c:v>288</c:v>
                </c:pt>
                <c:pt idx="8">
                  <c:v>348</c:v>
                </c:pt>
                <c:pt idx="9">
                  <c:v>408</c:v>
                </c:pt>
                <c:pt idx="10">
                  <c:v>468</c:v>
                </c:pt>
                <c:pt idx="11">
                  <c:v>528</c:v>
                </c:pt>
                <c:pt idx="12">
                  <c:v>588</c:v>
                </c:pt>
                <c:pt idx="13">
                  <c:v>588</c:v>
                </c:pt>
                <c:pt idx="14">
                  <c:v>588</c:v>
                </c:pt>
                <c:pt idx="15">
                  <c:v>648</c:v>
                </c:pt>
                <c:pt idx="16">
                  <c:v>708</c:v>
                </c:pt>
                <c:pt idx="17">
                  <c:v>768</c:v>
                </c:pt>
                <c:pt idx="18">
                  <c:v>828</c:v>
                </c:pt>
                <c:pt idx="19">
                  <c:v>888</c:v>
                </c:pt>
                <c:pt idx="20">
                  <c:v>936</c:v>
                </c:pt>
                <c:pt idx="21">
                  <c:v>936</c:v>
                </c:pt>
                <c:pt idx="22">
                  <c:v>996</c:v>
                </c:pt>
                <c:pt idx="23">
                  <c:v>1056</c:v>
                </c:pt>
                <c:pt idx="24">
                  <c:v>1116</c:v>
                </c:pt>
                <c:pt idx="25">
                  <c:v>1176</c:v>
                </c:pt>
                <c:pt idx="26">
                  <c:v>1236</c:v>
                </c:pt>
                <c:pt idx="27">
                  <c:v>1284</c:v>
                </c:pt>
                <c:pt idx="28">
                  <c:v>1284</c:v>
                </c:pt>
                <c:pt idx="29">
                  <c:v>1344</c:v>
                </c:pt>
                <c:pt idx="30">
                  <c:v>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4-4B1D-A73C-6CF2606D1B49}"/>
            </c:ext>
          </c:extLst>
        </c:ser>
        <c:ser>
          <c:idx val="1"/>
          <c:order val="1"/>
          <c:tx>
            <c:strRef>
              <c:f>'Mar2026'!$A$21</c:f>
              <c:strCache>
                <c:ptCount val="1"/>
                <c:pt idx="0">
                  <c:v>Accum.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'Mar2026'!$B$3:$AF$3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'Mar2026'!$B$21:$AF$21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45</c:v>
                </c:pt>
                <c:pt idx="2">
                  <c:v>45</c:v>
                </c:pt>
                <c:pt idx="3">
                  <c:v>79</c:v>
                </c:pt>
                <c:pt idx="4">
                  <c:v>118</c:v>
                </c:pt>
                <c:pt idx="5">
                  <c:v>143</c:v>
                </c:pt>
                <c:pt idx="6">
                  <c:v>175</c:v>
                </c:pt>
                <c:pt idx="7">
                  <c:v>175</c:v>
                </c:pt>
                <c:pt idx="8">
                  <c:v>219</c:v>
                </c:pt>
                <c:pt idx="9">
                  <c:v>265</c:v>
                </c:pt>
                <c:pt idx="10">
                  <c:v>298</c:v>
                </c:pt>
                <c:pt idx="11">
                  <c:v>333</c:v>
                </c:pt>
                <c:pt idx="12">
                  <c:v>379</c:v>
                </c:pt>
                <c:pt idx="13">
                  <c:v>398</c:v>
                </c:pt>
                <c:pt idx="14">
                  <c:v>398</c:v>
                </c:pt>
                <c:pt idx="15">
                  <c:v>457</c:v>
                </c:pt>
                <c:pt idx="16">
                  <c:v>500</c:v>
                </c:pt>
                <c:pt idx="17">
                  <c:v>500</c:v>
                </c:pt>
                <c:pt idx="18">
                  <c:v>560</c:v>
                </c:pt>
                <c:pt idx="19">
                  <c:v>607</c:v>
                </c:pt>
                <c:pt idx="20">
                  <c:v>660</c:v>
                </c:pt>
                <c:pt idx="21">
                  <c:v>704</c:v>
                </c:pt>
                <c:pt idx="22">
                  <c:v>728</c:v>
                </c:pt>
                <c:pt idx="23">
                  <c:v>787</c:v>
                </c:pt>
                <c:pt idx="24">
                  <c:v>812</c:v>
                </c:pt>
                <c:pt idx="25">
                  <c:v>873</c:v>
                </c:pt>
                <c:pt idx="26">
                  <c:v>915</c:v>
                </c:pt>
                <c:pt idx="27">
                  <c:v>915</c:v>
                </c:pt>
                <c:pt idx="28">
                  <c:v>915</c:v>
                </c:pt>
                <c:pt idx="29">
                  <c:v>927</c:v>
                </c:pt>
                <c:pt idx="30">
                  <c:v>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4-4B1D-A73C-6CF2606D1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65856"/>
        <c:axId val="1375061008"/>
      </c:lineChart>
      <c:catAx>
        <c:axId val="14569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61008"/>
        <c:crosses val="autoZero"/>
        <c:auto val="1"/>
        <c:lblAlgn val="ctr"/>
        <c:lblOffset val="100"/>
        <c:noMultiLvlLbl val="0"/>
      </c:catAx>
      <c:valAx>
        <c:axId val="13750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6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G12 Assembly Output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'Apr2026'!$A$17</c:f>
              <c:strCache>
                <c:ptCount val="1"/>
                <c:pt idx="0">
                  <c:v>Total Actual Output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'Apr2026'!$B$3:$AF$3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'Apr2026'!$B$17:$AF$17</c:f>
              <c:numCache>
                <c:formatCode>_(* #,##0_);_(* \(#,##0\);_(* "-"??_);_(@_)</c:formatCode>
                <c:ptCount val="31"/>
                <c:pt idx="0">
                  <c:v>61</c:v>
                </c:pt>
                <c:pt idx="1">
                  <c:v>60</c:v>
                </c:pt>
                <c:pt idx="2">
                  <c:v>50</c:v>
                </c:pt>
                <c:pt idx="3">
                  <c:v>25</c:v>
                </c:pt>
                <c:pt idx="4">
                  <c:v>0</c:v>
                </c:pt>
                <c:pt idx="5">
                  <c:v>45</c:v>
                </c:pt>
                <c:pt idx="6">
                  <c:v>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5-4E82-BF28-2BA5B6318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6965856"/>
        <c:axId val="1375061008"/>
      </c:barChart>
      <c:lineChart>
        <c:grouping val="standard"/>
        <c:varyColors val="0"/>
        <c:ser>
          <c:idx val="0"/>
          <c:order val="0"/>
          <c:tx>
            <c:strRef>
              <c:f>'Apr2026'!$A$16</c:f>
              <c:strCache>
                <c:ptCount val="1"/>
                <c:pt idx="0">
                  <c:v>Total Production 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'Apr2026'!$B$3:$AF$3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'Apr2026'!$B$16:$AF$16</c:f>
              <c:numCache>
                <c:formatCode>_(* #,##0_);_(* \(#,##0\);_(* "-"??_);_(@_)</c:formatCode>
                <c:ptCount val="31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50</c:v>
                </c:pt>
                <c:pt idx="4">
                  <c:v>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50</c:v>
                </c:pt>
                <c:pt idx="25">
                  <c:v>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5-4E82-BF28-2BA5B6318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65856"/>
        <c:axId val="1375061008"/>
      </c:lineChart>
      <c:catAx>
        <c:axId val="14569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61008"/>
        <c:crosses val="autoZero"/>
        <c:auto val="1"/>
        <c:lblAlgn val="ctr"/>
        <c:lblOffset val="100"/>
        <c:noMultiLvlLbl val="0"/>
      </c:catAx>
      <c:valAx>
        <c:axId val="13750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6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G12 Assembly Output accumulate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'Apr2026'!$A$20</c:f>
              <c:strCache>
                <c:ptCount val="1"/>
                <c:pt idx="0">
                  <c:v>Accum. 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'Apr2026'!$B$3:$AF$3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'Apr2026'!$B$20:$AF$20</c:f>
              <c:numCache>
                <c:formatCode>_(* #,##0_);_(* \(#,##0\);_(* "-"??_);_(@_)</c:formatCode>
                <c:ptCount val="31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230</c:v>
                </c:pt>
                <c:pt idx="4">
                  <c:v>230</c:v>
                </c:pt>
                <c:pt idx="5">
                  <c:v>290</c:v>
                </c:pt>
                <c:pt idx="6">
                  <c:v>350</c:v>
                </c:pt>
                <c:pt idx="7">
                  <c:v>410</c:v>
                </c:pt>
                <c:pt idx="8">
                  <c:v>470</c:v>
                </c:pt>
                <c:pt idx="9">
                  <c:v>520</c:v>
                </c:pt>
                <c:pt idx="10">
                  <c:v>520</c:v>
                </c:pt>
                <c:pt idx="11">
                  <c:v>520</c:v>
                </c:pt>
                <c:pt idx="12">
                  <c:v>520</c:v>
                </c:pt>
                <c:pt idx="13">
                  <c:v>520</c:v>
                </c:pt>
                <c:pt idx="14">
                  <c:v>520</c:v>
                </c:pt>
                <c:pt idx="15">
                  <c:v>520</c:v>
                </c:pt>
                <c:pt idx="16">
                  <c:v>520</c:v>
                </c:pt>
                <c:pt idx="17">
                  <c:v>520</c:v>
                </c:pt>
                <c:pt idx="18">
                  <c:v>520</c:v>
                </c:pt>
                <c:pt idx="19">
                  <c:v>570</c:v>
                </c:pt>
                <c:pt idx="20">
                  <c:v>630</c:v>
                </c:pt>
                <c:pt idx="21">
                  <c:v>690</c:v>
                </c:pt>
                <c:pt idx="22">
                  <c:v>750</c:v>
                </c:pt>
                <c:pt idx="23">
                  <c:v>810</c:v>
                </c:pt>
                <c:pt idx="24">
                  <c:v>860</c:v>
                </c:pt>
                <c:pt idx="25">
                  <c:v>860</c:v>
                </c:pt>
                <c:pt idx="26">
                  <c:v>920</c:v>
                </c:pt>
                <c:pt idx="27">
                  <c:v>980</c:v>
                </c:pt>
                <c:pt idx="28">
                  <c:v>1040</c:v>
                </c:pt>
                <c:pt idx="29">
                  <c:v>1100</c:v>
                </c:pt>
                <c:pt idx="30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18-42AD-B7DB-0FBFE8D486E3}"/>
            </c:ext>
          </c:extLst>
        </c:ser>
        <c:ser>
          <c:idx val="1"/>
          <c:order val="1"/>
          <c:tx>
            <c:strRef>
              <c:f>'Apr2026'!$A$21</c:f>
              <c:strCache>
                <c:ptCount val="1"/>
                <c:pt idx="0">
                  <c:v>Accum.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'Apr2026'!$B$3:$AF$3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'Apr2026'!$B$21:$AF$21</c:f>
              <c:numCache>
                <c:formatCode>_(* #,##0_);_(* \(#,##0\);_(* "-"??_);_(@_)</c:formatCode>
                <c:ptCount val="31"/>
                <c:pt idx="0">
                  <c:v>61</c:v>
                </c:pt>
                <c:pt idx="1">
                  <c:v>121</c:v>
                </c:pt>
                <c:pt idx="2">
                  <c:v>171</c:v>
                </c:pt>
                <c:pt idx="3">
                  <c:v>196</c:v>
                </c:pt>
                <c:pt idx="4">
                  <c:v>196</c:v>
                </c:pt>
                <c:pt idx="5">
                  <c:v>241</c:v>
                </c:pt>
                <c:pt idx="6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18-42AD-B7DB-0FBFE8D48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65856"/>
        <c:axId val="1375061008"/>
      </c:lineChart>
      <c:catAx>
        <c:axId val="14569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61008"/>
        <c:crosses val="autoZero"/>
        <c:auto val="1"/>
        <c:lblAlgn val="ctr"/>
        <c:lblOffset val="100"/>
        <c:noMultiLvlLbl val="0"/>
      </c:catAx>
      <c:valAx>
        <c:axId val="13750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6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25-49D4-A3D5-4026B38932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25-49D4-A3D5-4026B389324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325-49D4-A3D5-4026B3893243}"/>
                </c:ext>
              </c:extLst>
            </c:dLbl>
            <c:dLbl>
              <c:idx val="1"/>
              <c:layout>
                <c:manualLayout>
                  <c:x val="-5.9321236061061933E-2"/>
                  <c:y val="3.637333475708266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25-49D4-A3D5-4026B38932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'Daily Down time'!$J$5:$J$6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'Daily Down time'!$K$5:$K$6</c:f>
              <c:numCache>
                <c:formatCode>General</c:formatCode>
                <c:ptCount val="2"/>
                <c:pt idx="0">
                  <c:v>24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25-49D4-A3D5-4026B3893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Assembly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D9-4449-AD05-D950BA2CE9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DD9-4449-AD05-D950BA2CE9B7}"/>
              </c:ext>
            </c:extLst>
          </c:dPt>
          <c:dLbls>
            <c:dLbl>
              <c:idx val="0"/>
              <c:layout>
                <c:manualLayout>
                  <c:x val="-0.24291236241153932"/>
                  <c:y val="-0.209267622036277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D9-4449-AD05-D950BA2CE9B7}"/>
                </c:ext>
              </c:extLst>
            </c:dLbl>
            <c:dLbl>
              <c:idx val="1"/>
              <c:layout>
                <c:manualLayout>
                  <c:x val="-7.420922544343285E-2"/>
                  <c:y val="-0.10157642695940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D9-4449-AD05-D950BA2CE9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'Daily Down time'!$A$5:$A$6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'Daily Down time'!$B$5:$B$6</c:f>
              <c:numCache>
                <c:formatCode>General</c:formatCode>
                <c:ptCount val="2"/>
                <c:pt idx="0">
                  <c:v>54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D9-4449-AD05-D950BA2CE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97-47F0-90DB-55040BF543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97-47F0-90DB-55040BF5434E}"/>
              </c:ext>
            </c:extLst>
          </c:dPt>
          <c:dLbls>
            <c:dLbl>
              <c:idx val="1"/>
              <c:layout>
                <c:manualLayout>
                  <c:x val="-0.30791448970813851"/>
                  <c:y val="-3.73191270725499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97-47F0-90DB-55040BF543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'Daily Down time'!$J$16:$J$17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'Daily Down time'!$K$16:$K$17</c:f>
              <c:numCache>
                <c:formatCode>General</c:formatCode>
                <c:ptCount val="2"/>
                <c:pt idx="0">
                  <c:v>30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97-47F0-90DB-55040BF54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</a:t>
            </a:r>
            <a:r>
              <a:rPr lang="en-US" baseline="0"/>
              <a:t> time 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Down time'!$A$27:$A$47</c:f>
              <c:strCache>
                <c:ptCount val="21"/>
                <c:pt idx="0">
                  <c:v>Part shortage (Supplier)-Xcellent part</c:v>
                </c:pt>
                <c:pt idx="1">
                  <c:v>Part shortage (Sub assembly)</c:v>
                </c:pt>
                <c:pt idx="2">
                  <c:v>Change model (Prepare-Supply part)</c:v>
                </c:pt>
                <c:pt idx="3">
                  <c:v>No Wheel and Tire (Return from WH)</c:v>
                </c:pt>
                <c:pt idx="4">
                  <c:v>Delay from Part Supply team.</c:v>
                </c:pt>
                <c:pt idx="5">
                  <c:v>Trial new model</c:v>
                </c:pt>
                <c:pt idx="6">
                  <c:v>Incoming supplier part quality</c:v>
                </c:pt>
                <c:pt idx="7">
                  <c:v>Microstoppage /Other</c:v>
                </c:pt>
                <c:pt idx="8">
                  <c:v>Assembly Line quality issue</c:v>
                </c:pt>
                <c:pt idx="9">
                  <c:v>Labor shortage</c:v>
                </c:pt>
                <c:pt idx="10">
                  <c:v>Supply Wrong Part</c:v>
                </c:pt>
                <c:pt idx="11">
                  <c:v>Waiting for parts receive</c:v>
                </c:pt>
                <c:pt idx="12">
                  <c:v>MC/Tooling Break down</c:v>
                </c:pt>
                <c:pt idx="13">
                  <c:v>Missing Parts from BOM</c:v>
                </c:pt>
                <c:pt idx="14">
                  <c:v>Sub Assy Line quality issue</c:v>
                </c:pt>
                <c:pt idx="15">
                  <c:v>Wrong part assy/Rework</c:v>
                </c:pt>
                <c:pt idx="16">
                  <c:v>Missing Parts from WIP (WIP wrong)</c:v>
                </c:pt>
                <c:pt idx="17">
                  <c:v>Paintshop / Wiring  quality</c:v>
                </c:pt>
                <c:pt idx="18">
                  <c:v>Cycle time issue
(Training Op)</c:v>
                </c:pt>
                <c:pt idx="19">
                  <c:v>Part shortage (Supplier)-China</c:v>
                </c:pt>
                <c:pt idx="20">
                  <c:v>Part shortage (Supplier)-Local</c:v>
                </c:pt>
              </c:strCache>
            </c:strRef>
          </c:cat>
          <c:val>
            <c:numRef>
              <c:f>'Daily Down time'!$B$27:$B$47</c:f>
              <c:numCache>
                <c:formatCode>General</c:formatCode>
                <c:ptCount val="21"/>
                <c:pt idx="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B-4342-BA0F-72C2A604792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'Daily Down time'!$A$27:$A$47</c:f>
              <c:strCache>
                <c:ptCount val="21"/>
                <c:pt idx="0">
                  <c:v>Part shortage (Supplier)-Xcellent part</c:v>
                </c:pt>
                <c:pt idx="1">
                  <c:v>Part shortage (Sub assembly)</c:v>
                </c:pt>
                <c:pt idx="2">
                  <c:v>Change model (Prepare-Supply part)</c:v>
                </c:pt>
                <c:pt idx="3">
                  <c:v>No Wheel and Tire (Return from WH)</c:v>
                </c:pt>
                <c:pt idx="4">
                  <c:v>Delay from Part Supply team.</c:v>
                </c:pt>
                <c:pt idx="5">
                  <c:v>Trial new model</c:v>
                </c:pt>
                <c:pt idx="6">
                  <c:v>Incoming supplier part quality</c:v>
                </c:pt>
                <c:pt idx="7">
                  <c:v>Microstoppage /Other</c:v>
                </c:pt>
                <c:pt idx="8">
                  <c:v>Assembly Line quality issue</c:v>
                </c:pt>
                <c:pt idx="9">
                  <c:v>Labor shortage</c:v>
                </c:pt>
                <c:pt idx="10">
                  <c:v>Supply Wrong Part</c:v>
                </c:pt>
                <c:pt idx="11">
                  <c:v>Waiting for parts receive</c:v>
                </c:pt>
                <c:pt idx="12">
                  <c:v>MC/Tooling Break down</c:v>
                </c:pt>
                <c:pt idx="13">
                  <c:v>Missing Parts from BOM</c:v>
                </c:pt>
                <c:pt idx="14">
                  <c:v>Sub Assy Line quality issue</c:v>
                </c:pt>
                <c:pt idx="15">
                  <c:v>Wrong part assy/Rework</c:v>
                </c:pt>
                <c:pt idx="16">
                  <c:v>Missing Parts from WIP (WIP wrong)</c:v>
                </c:pt>
                <c:pt idx="17">
                  <c:v>Paintshop / Wiring  quality</c:v>
                </c:pt>
                <c:pt idx="18">
                  <c:v>Cycle time issue
(Training Op)</c:v>
                </c:pt>
                <c:pt idx="19">
                  <c:v>Part shortage (Supplier)-China</c:v>
                </c:pt>
                <c:pt idx="20">
                  <c:v>Part shortage (Supplier)-Local</c:v>
                </c:pt>
              </c:strCache>
            </c:strRef>
          </c:cat>
          <c:val>
            <c:numRef>
              <c:f>'Daily Down time'!$C$27:$C$47</c:f>
              <c:numCache>
                <c:formatCode>0%</c:formatCode>
                <c:ptCount val="21"/>
                <c:pt idx="0">
                  <c:v>0.1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B-4342-BA0F-72C2A6047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107440"/>
        <c:axId val="1160114640"/>
      </c:barChart>
      <c:catAx>
        <c:axId val="11601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14640"/>
        <c:crosses val="autoZero"/>
        <c:auto val="1"/>
        <c:lblAlgn val="ctr"/>
        <c:lblOffset val="100"/>
        <c:noMultiLvlLbl val="0"/>
      </c:catAx>
      <c:valAx>
        <c:axId val="11601146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0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 time (mins)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0F8-4027-BAE0-1808E31172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0F8-4027-BAE0-1808E31172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0F8-4027-BAE0-1808E31172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0F8-4027-BAE0-1808E31172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0F8-4027-BAE0-1808E31172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'Daily Down time'!$A$27:$A$31</c:f>
              <c:strCache>
                <c:ptCount val="5"/>
                <c:pt idx="0">
                  <c:v>Part shortage (Supplier)-Xcellent part</c:v>
                </c:pt>
                <c:pt idx="1">
                  <c:v>Part shortage (Sub assembly)</c:v>
                </c:pt>
                <c:pt idx="2">
                  <c:v>Change model (Prepare-Supply part)</c:v>
                </c:pt>
                <c:pt idx="3">
                  <c:v>No Wheel and Tire (Return from WH)</c:v>
                </c:pt>
                <c:pt idx="4">
                  <c:v>Delay from Part Supply team.</c:v>
                </c:pt>
              </c:strCache>
            </c:strRef>
          </c:cat>
          <c:val>
            <c:numRef>
              <c:f>'Daily Down time'!$B$27:$B$31</c:f>
              <c:numCache>
                <c:formatCode>General</c:formatCode>
                <c:ptCount val="5"/>
                <c:pt idx="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F8-4027-BAE0-1808E3117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283-4D07-A9A7-037E4EDE8C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283-4D07-A9A7-037E4EDE8C32}"/>
              </c:ext>
            </c:extLst>
          </c:dPt>
          <c:dLbls>
            <c:dLbl>
              <c:idx val="1"/>
              <c:layout>
                <c:manualLayout>
                  <c:x val="6.3376955064450735E-2"/>
                  <c:y val="-5.47723616208233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83-4D07-A9A7-037E4EDE8C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'WTD-Down time'!$J$5:$J$6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'WTD-Down time'!$K$5:$K$6</c:f>
              <c:numCache>
                <c:formatCode>General</c:formatCode>
                <c:ptCount val="2"/>
                <c:pt idx="0">
                  <c:v>86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83-4D07-A9A7-037E4EDE8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Assembly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96D-4C3C-942B-DF51BB3A65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96D-4C3C-942B-DF51BB3A6528}"/>
              </c:ext>
            </c:extLst>
          </c:dPt>
          <c:dLbls>
            <c:dLbl>
              <c:idx val="0"/>
              <c:layout>
                <c:manualLayout>
                  <c:x val="-0.20900455109328525"/>
                  <c:y val="-0.2535507275526511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6D-4C3C-942B-DF51BB3A6528}"/>
                </c:ext>
              </c:extLst>
            </c:dLbl>
            <c:dLbl>
              <c:idx val="1"/>
              <c:layout>
                <c:manualLayout>
                  <c:x val="1.0299526391309304E-2"/>
                  <c:y val="-8.39510552164738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6D-4C3C-942B-DF51BB3A65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'WTD-Down time'!$A$5:$A$6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'WTD-Down time'!$B$5:$B$6</c:f>
              <c:numCache>
                <c:formatCode>General</c:formatCode>
                <c:ptCount val="2"/>
                <c:pt idx="0">
                  <c:v>196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6D-4C3C-942B-DF51BB3A6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AF-408C-B6B7-4ED87A6FEF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AF-408C-B6B7-4ED87A6FEFC7}"/>
              </c:ext>
            </c:extLst>
          </c:dPt>
          <c:dLbls>
            <c:dLbl>
              <c:idx val="1"/>
              <c:layout>
                <c:manualLayout>
                  <c:x val="-6.2201796890053208E-3"/>
                  <c:y val="1.8084345788163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AF-408C-B6B7-4ED87A6FEF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'WTD-Down time'!$J$16:$J$17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'WTD-Down time'!$K$16:$K$17</c:f>
              <c:numCache>
                <c:formatCode>General</c:formatCode>
                <c:ptCount val="2"/>
                <c:pt idx="0">
                  <c:v>110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AF-408C-B6B7-4ED87A6FE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</a:t>
            </a:r>
            <a:r>
              <a:rPr lang="en-US" baseline="0"/>
              <a:t> time 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'WTD-Down time'!$A$27:$A$47</c:f>
              <c:strCache>
                <c:ptCount val="21"/>
                <c:pt idx="0">
                  <c:v>Part shortage (Supplier)-Xcellent part</c:v>
                </c:pt>
                <c:pt idx="1">
                  <c:v>Delay from Part Supply team.</c:v>
                </c:pt>
                <c:pt idx="2">
                  <c:v>Change model (Prepare-Supply part)</c:v>
                </c:pt>
                <c:pt idx="3">
                  <c:v>Trial new model</c:v>
                </c:pt>
                <c:pt idx="4">
                  <c:v>No Wheel and Tire (Return from WH)</c:v>
                </c:pt>
                <c:pt idx="5">
                  <c:v>Incoming supplier part quality</c:v>
                </c:pt>
                <c:pt idx="6">
                  <c:v>Microstoppage /Other</c:v>
                </c:pt>
                <c:pt idx="7">
                  <c:v>Part shortage (Sub assembly)</c:v>
                </c:pt>
                <c:pt idx="8">
                  <c:v>Assembly Line quality </c:v>
                </c:pt>
                <c:pt idx="9">
                  <c:v>Labor shortage</c:v>
                </c:pt>
                <c:pt idx="10">
                  <c:v>Supply Wrong Part</c:v>
                </c:pt>
                <c:pt idx="11">
                  <c:v>Waiting for parts receive</c:v>
                </c:pt>
                <c:pt idx="12">
                  <c:v>MC/Tooling Break down</c:v>
                </c:pt>
                <c:pt idx="13">
                  <c:v>Missing Parts from BOM</c:v>
                </c:pt>
                <c:pt idx="14">
                  <c:v>Sub Assy Line quality </c:v>
                </c:pt>
                <c:pt idx="15">
                  <c:v>Wrong part assy/Rework</c:v>
                </c:pt>
                <c:pt idx="16">
                  <c:v>Missing Parts from WIP (WIP wrong)</c:v>
                </c:pt>
                <c:pt idx="17">
                  <c:v>Paintshop / Wiring  quality</c:v>
                </c:pt>
                <c:pt idx="18">
                  <c:v>Cycle time issue
(Training Op)</c:v>
                </c:pt>
                <c:pt idx="19">
                  <c:v>Part shortage (Supplier)-China</c:v>
                </c:pt>
                <c:pt idx="20">
                  <c:v>Part shortage (Supplier)-Local</c:v>
                </c:pt>
              </c:strCache>
            </c:strRef>
          </c:cat>
          <c:val>
            <c:numRef>
              <c:f>'WTD-Down time'!$B$27:$B$47</c:f>
              <c:numCache>
                <c:formatCode>General</c:formatCode>
                <c:ptCount val="21"/>
                <c:pt idx="0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4-4294-98C4-F0C1C2C4CE3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'WTD-Down time'!$A$27:$A$47</c:f>
              <c:strCache>
                <c:ptCount val="21"/>
                <c:pt idx="0">
                  <c:v>Part shortage (Supplier)-Xcellent part</c:v>
                </c:pt>
                <c:pt idx="1">
                  <c:v>Delay from Part Supply team.</c:v>
                </c:pt>
                <c:pt idx="2">
                  <c:v>Change model (Prepare-Supply part)</c:v>
                </c:pt>
                <c:pt idx="3">
                  <c:v>Trial new model</c:v>
                </c:pt>
                <c:pt idx="4">
                  <c:v>No Wheel and Tire (Return from WH)</c:v>
                </c:pt>
                <c:pt idx="5">
                  <c:v>Incoming supplier part quality</c:v>
                </c:pt>
                <c:pt idx="6">
                  <c:v>Microstoppage /Other</c:v>
                </c:pt>
                <c:pt idx="7">
                  <c:v>Part shortage (Sub assembly)</c:v>
                </c:pt>
                <c:pt idx="8">
                  <c:v>Assembly Line quality </c:v>
                </c:pt>
                <c:pt idx="9">
                  <c:v>Labor shortage</c:v>
                </c:pt>
                <c:pt idx="10">
                  <c:v>Supply Wrong Part</c:v>
                </c:pt>
                <c:pt idx="11">
                  <c:v>Waiting for parts receive</c:v>
                </c:pt>
                <c:pt idx="12">
                  <c:v>MC/Tooling Break down</c:v>
                </c:pt>
                <c:pt idx="13">
                  <c:v>Missing Parts from BOM</c:v>
                </c:pt>
                <c:pt idx="14">
                  <c:v>Sub Assy Line quality </c:v>
                </c:pt>
                <c:pt idx="15">
                  <c:v>Wrong part assy/Rework</c:v>
                </c:pt>
                <c:pt idx="16">
                  <c:v>Missing Parts from WIP (WIP wrong)</c:v>
                </c:pt>
                <c:pt idx="17">
                  <c:v>Paintshop / Wiring  quality</c:v>
                </c:pt>
                <c:pt idx="18">
                  <c:v>Cycle time issue
(Training Op)</c:v>
                </c:pt>
                <c:pt idx="19">
                  <c:v>Part shortage (Supplier)-China</c:v>
                </c:pt>
                <c:pt idx="20">
                  <c:v>Part shortage (Supplier)-Local</c:v>
                </c:pt>
              </c:strCache>
            </c:strRef>
          </c:cat>
          <c:val>
            <c:numRef>
              <c:f>'WTD-Down time'!$C$27:$C$47</c:f>
              <c:numCache>
                <c:formatCode>0%</c:formatCode>
                <c:ptCount val="21"/>
                <c:pt idx="0">
                  <c:v>0.15789473684210525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F4-4294-98C4-F0C1C2C4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107440"/>
        <c:axId val="1160114640"/>
      </c:barChart>
      <c:catAx>
        <c:axId val="11601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14640"/>
        <c:crosses val="autoZero"/>
        <c:auto val="1"/>
        <c:lblAlgn val="ctr"/>
        <c:lblOffset val="100"/>
        <c:noMultiLvlLbl val="0"/>
      </c:catAx>
      <c:valAx>
        <c:axId val="11601146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0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 time (mins)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045-4C51-8F9C-4870FAEB3F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045-4C51-8F9C-4870FAEB3F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045-4C51-8F9C-4870FAEB3F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045-4C51-8F9C-4870FAEB3F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'WTD-Down time'!$A$27:$A$30</c:f>
              <c:strCache>
                <c:ptCount val="4"/>
                <c:pt idx="0">
                  <c:v>Part shortage (Supplier)-Xcellent part</c:v>
                </c:pt>
                <c:pt idx="1">
                  <c:v>Delay from Part Supply team.</c:v>
                </c:pt>
                <c:pt idx="2">
                  <c:v>Change model (Prepare-Supply part)</c:v>
                </c:pt>
                <c:pt idx="3">
                  <c:v>Trial new model</c:v>
                </c:pt>
              </c:strCache>
            </c:strRef>
          </c:cat>
          <c:val>
            <c:numRef>
              <c:f>'WTD-Down time'!$B$27:$B$30</c:f>
              <c:numCache>
                <c:formatCode>General</c:formatCode>
                <c:ptCount val="4"/>
                <c:pt idx="0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6-4A5E-A5D7-E33B2CEFB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8DB-4DCA-9958-E139E8D9C1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8DB-4DCA-9958-E139E8D9C19D}"/>
              </c:ext>
            </c:extLst>
          </c:dPt>
          <c:dLbls>
            <c:dLbl>
              <c:idx val="1"/>
              <c:layout>
                <c:manualLayout>
                  <c:x val="-1.5202956790139298E-2"/>
                  <c:y val="-2.3963211448777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DB-4DCA-9958-E139E8D9C1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'MTD-Down time'!$J$5:$J$6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'MTD-Down time'!$K$5:$K$6</c:f>
              <c:numCache>
                <c:formatCode>General</c:formatCode>
                <c:ptCount val="2"/>
                <c:pt idx="0">
                  <c:v>484</c:v>
                </c:pt>
                <c:pt idx="1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DB-4DCA-9958-E139E8D9C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Assembly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2CE-4478-9129-842A5E05CE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2CE-4478-9129-842A5E05CEFC}"/>
              </c:ext>
            </c:extLst>
          </c:dPt>
          <c:dLbls>
            <c:dLbl>
              <c:idx val="0"/>
              <c:layout>
                <c:manualLayout>
                  <c:x val="-0.21697351355319722"/>
                  <c:y val="-0.1699525691988692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CE-4478-9129-842A5E05CEFC}"/>
                </c:ext>
              </c:extLst>
            </c:dLbl>
            <c:dLbl>
              <c:idx val="1"/>
              <c:layout>
                <c:manualLayout>
                  <c:x val="-1.4372839517018145E-2"/>
                  <c:y val="-4.24635492281981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CE-4478-9129-842A5E05CE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'MTD-Down time'!$A$5:$A$6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'MTD-Down time'!$B$5:$B$6</c:f>
              <c:numCache>
                <c:formatCode>General</c:formatCode>
                <c:ptCount val="2"/>
                <c:pt idx="0">
                  <c:v>959</c:v>
                </c:pt>
                <c:pt idx="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CE-4478-9129-842A5E05C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F0-4CBE-9D67-8A25D02DC5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F0-4CBE-9D67-8A25D02DC5D7}"/>
              </c:ext>
            </c:extLst>
          </c:dPt>
          <c:dLbls>
            <c:dLbl>
              <c:idx val="1"/>
              <c:layout>
                <c:manualLayout>
                  <c:x val="-6.2201796890053382E-3"/>
                  <c:y val="-1.26952504901711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F0-4CBE-9D67-8A25D02DC5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'MTD-Down time'!$J$16:$J$17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'MTD-Down time'!$K$16:$K$17</c:f>
              <c:numCache>
                <c:formatCode>General</c:formatCode>
                <c:ptCount val="2"/>
                <c:pt idx="0">
                  <c:v>475</c:v>
                </c:pt>
                <c:pt idx="1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F0-4CBE-9D67-8A25D02DC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</a:t>
            </a:r>
            <a:r>
              <a:rPr lang="en-US" baseline="0"/>
              <a:t> time 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'MTD-Down time'!$A$27:$A$47</c:f>
              <c:strCache>
                <c:ptCount val="21"/>
                <c:pt idx="0">
                  <c:v>Change model (Prepare-Supply part)</c:v>
                </c:pt>
                <c:pt idx="1">
                  <c:v>No Wheel and Tire (Return from WH)</c:v>
                </c:pt>
                <c:pt idx="2">
                  <c:v>Part shortage (Supplier)-Xcellent part</c:v>
                </c:pt>
                <c:pt idx="3">
                  <c:v>Delay from Part Supply team.</c:v>
                </c:pt>
                <c:pt idx="4">
                  <c:v>Incoming supplier part quality</c:v>
                </c:pt>
                <c:pt idx="5">
                  <c:v>Supply Wrong Part</c:v>
                </c:pt>
                <c:pt idx="6">
                  <c:v>Microstoppage /Other</c:v>
                </c:pt>
                <c:pt idx="7">
                  <c:v>Trial new model</c:v>
                </c:pt>
                <c:pt idx="8">
                  <c:v>Labor shortage</c:v>
                </c:pt>
                <c:pt idx="9">
                  <c:v>Part shortage (Sub assembly)</c:v>
                </c:pt>
                <c:pt idx="10">
                  <c:v>Part shortage (Supplier)-Local</c:v>
                </c:pt>
                <c:pt idx="11">
                  <c:v>Assembly Line quality </c:v>
                </c:pt>
                <c:pt idx="12">
                  <c:v>Waiting for parts receive</c:v>
                </c:pt>
                <c:pt idx="13">
                  <c:v>MC/Tooling Break down</c:v>
                </c:pt>
                <c:pt idx="14">
                  <c:v>Missing Parts from BOM</c:v>
                </c:pt>
                <c:pt idx="15">
                  <c:v>Sub Assy Line quality </c:v>
                </c:pt>
                <c:pt idx="16">
                  <c:v>Wrong part assy/Rework</c:v>
                </c:pt>
                <c:pt idx="17">
                  <c:v>Missing Parts from WIP (WIP wrong)</c:v>
                </c:pt>
                <c:pt idx="18">
                  <c:v>Paintshop / Wiring  quality</c:v>
                </c:pt>
                <c:pt idx="19">
                  <c:v>Cycle time issue
(Training Op)</c:v>
                </c:pt>
                <c:pt idx="20">
                  <c:v>Part shortage (Supplier)-China</c:v>
                </c:pt>
              </c:strCache>
            </c:strRef>
          </c:cat>
          <c:val>
            <c:numRef>
              <c:f>'MTD-Down time'!$B$27:$B$47</c:f>
              <c:numCache>
                <c:formatCode>General</c:formatCode>
                <c:ptCount val="21"/>
                <c:pt idx="0">
                  <c:v>3175</c:v>
                </c:pt>
                <c:pt idx="1">
                  <c:v>2787</c:v>
                </c:pt>
                <c:pt idx="2">
                  <c:v>1300</c:v>
                </c:pt>
                <c:pt idx="3">
                  <c:v>600</c:v>
                </c:pt>
                <c:pt idx="4">
                  <c:v>330</c:v>
                </c:pt>
                <c:pt idx="5">
                  <c:v>315</c:v>
                </c:pt>
                <c:pt idx="6">
                  <c:v>264</c:v>
                </c:pt>
                <c:pt idx="7">
                  <c:v>180</c:v>
                </c:pt>
                <c:pt idx="8">
                  <c:v>140</c:v>
                </c:pt>
                <c:pt idx="9">
                  <c:v>68</c:v>
                </c:pt>
                <c:pt idx="1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9-419A-94FA-1D483527B0A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'MTD-Down time'!$A$27:$A$47</c:f>
              <c:strCache>
                <c:ptCount val="21"/>
                <c:pt idx="0">
                  <c:v>Change model (Prepare-Supply part)</c:v>
                </c:pt>
                <c:pt idx="1">
                  <c:v>No Wheel and Tire (Return from WH)</c:v>
                </c:pt>
                <c:pt idx="2">
                  <c:v>Part shortage (Supplier)-Xcellent part</c:v>
                </c:pt>
                <c:pt idx="3">
                  <c:v>Delay from Part Supply team.</c:v>
                </c:pt>
                <c:pt idx="4">
                  <c:v>Incoming supplier part quality</c:v>
                </c:pt>
                <c:pt idx="5">
                  <c:v>Supply Wrong Part</c:v>
                </c:pt>
                <c:pt idx="6">
                  <c:v>Microstoppage /Other</c:v>
                </c:pt>
                <c:pt idx="7">
                  <c:v>Trial new model</c:v>
                </c:pt>
                <c:pt idx="8">
                  <c:v>Labor shortage</c:v>
                </c:pt>
                <c:pt idx="9">
                  <c:v>Part shortage (Sub assembly)</c:v>
                </c:pt>
                <c:pt idx="10">
                  <c:v>Part shortage (Supplier)-Local</c:v>
                </c:pt>
                <c:pt idx="11">
                  <c:v>Assembly Line quality </c:v>
                </c:pt>
                <c:pt idx="12">
                  <c:v>Waiting for parts receive</c:v>
                </c:pt>
                <c:pt idx="13">
                  <c:v>MC/Tooling Break down</c:v>
                </c:pt>
                <c:pt idx="14">
                  <c:v>Missing Parts from BOM</c:v>
                </c:pt>
                <c:pt idx="15">
                  <c:v>Sub Assy Line quality </c:v>
                </c:pt>
                <c:pt idx="16">
                  <c:v>Wrong part assy/Rework</c:v>
                </c:pt>
                <c:pt idx="17">
                  <c:v>Missing Parts from WIP (WIP wrong)</c:v>
                </c:pt>
                <c:pt idx="18">
                  <c:v>Paintshop / Wiring  quality</c:v>
                </c:pt>
                <c:pt idx="19">
                  <c:v>Cycle time issue
(Training Op)</c:v>
                </c:pt>
                <c:pt idx="20">
                  <c:v>Part shortage (Supplier)-China</c:v>
                </c:pt>
              </c:strCache>
            </c:strRef>
          </c:cat>
          <c:val>
            <c:numRef>
              <c:f>'MTD-Down time'!$C$27:$C$47</c:f>
              <c:numCache>
                <c:formatCode>0%</c:formatCode>
                <c:ptCount val="21"/>
                <c:pt idx="0">
                  <c:v>0.11404454022988506</c:v>
                </c:pt>
                <c:pt idx="1">
                  <c:v>0.10010775862068966</c:v>
                </c:pt>
                <c:pt idx="2">
                  <c:v>4.6695402298850573E-2</c:v>
                </c:pt>
                <c:pt idx="3">
                  <c:v>2.1551724137931036E-2</c:v>
                </c:pt>
                <c:pt idx="4">
                  <c:v>1.1853448275862068E-2</c:v>
                </c:pt>
                <c:pt idx="5">
                  <c:v>1.1314655172413793E-2</c:v>
                </c:pt>
                <c:pt idx="6">
                  <c:v>9.482758620689655E-3</c:v>
                </c:pt>
                <c:pt idx="7">
                  <c:v>6.4655172413793103E-3</c:v>
                </c:pt>
                <c:pt idx="8">
                  <c:v>5.028735632183908E-3</c:v>
                </c:pt>
                <c:pt idx="9">
                  <c:v>2.4425287356321839E-3</c:v>
                </c:pt>
                <c:pt idx="10">
                  <c:v>1.4367816091954023E-3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9-419A-94FA-1D483527B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107440"/>
        <c:axId val="1160114640"/>
      </c:barChart>
      <c:catAx>
        <c:axId val="11601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14640"/>
        <c:crosses val="autoZero"/>
        <c:auto val="1"/>
        <c:lblAlgn val="ctr"/>
        <c:lblOffset val="100"/>
        <c:noMultiLvlLbl val="0"/>
      </c:catAx>
      <c:valAx>
        <c:axId val="11601146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0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 time (mins)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FD-482E-A8DB-A8ADF61E37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FD-482E-A8DB-A8ADF61E37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3FD-482E-A8DB-A8ADF61E37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3FD-482E-A8DB-A8ADF61E37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'MTD-Down time'!$A$27:$A$30</c:f>
              <c:strCache>
                <c:ptCount val="4"/>
                <c:pt idx="0">
                  <c:v>Change model (Prepare-Supply part)</c:v>
                </c:pt>
                <c:pt idx="1">
                  <c:v>No Wheel and Tire (Return from WH)</c:v>
                </c:pt>
                <c:pt idx="2">
                  <c:v>Part shortage (Supplier)-Xcellent part</c:v>
                </c:pt>
                <c:pt idx="3">
                  <c:v>Delay from Part Supply team.</c:v>
                </c:pt>
              </c:strCache>
            </c:strRef>
          </c:cat>
          <c:val>
            <c:numRef>
              <c:f>'MTD-Down time'!$B$27:$B$30</c:f>
              <c:numCache>
                <c:formatCode>General</c:formatCode>
                <c:ptCount val="4"/>
                <c:pt idx="0">
                  <c:v>3175</c:v>
                </c:pt>
                <c:pt idx="1">
                  <c:v>2787</c:v>
                </c:pt>
                <c:pt idx="2">
                  <c:v>1300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FD-482E-A8DB-A8ADF61E3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Ramp up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'Ramp up plan'!$A$5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noFill/>
              <a:ln>
                <a:solidFill>
                  <a:sysClr val="windowText" lastClr="000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2-57D2-4323-BA19-E3EFF7151BAF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solidFill>
                  <a:sysClr val="windowText" lastClr="000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D2-4323-BA19-E3EFF7151BAF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solidFill>
                  <a:sysClr val="windowText" lastClr="000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4-57D2-4323-BA19-E3EFF7151BAF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solidFill>
                  <a:sysClr val="windowText" lastClr="000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5-57D2-4323-BA19-E3EFF7151BAF}"/>
              </c:ext>
            </c:extLst>
          </c:dPt>
          <c:dPt>
            <c:idx val="8"/>
            <c:invertIfNegative val="0"/>
            <c:bubble3D val="0"/>
            <c:spPr>
              <a:noFill/>
              <a:ln>
                <a:solidFill>
                  <a:sysClr val="windowText" lastClr="000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6-57D2-4323-BA19-E3EFF7151BAF}"/>
              </c:ext>
            </c:extLst>
          </c:dPt>
          <c:dPt>
            <c:idx val="9"/>
            <c:invertIfNegative val="0"/>
            <c:bubble3D val="0"/>
            <c:spPr>
              <a:noFill/>
              <a:ln>
                <a:solidFill>
                  <a:sysClr val="windowText" lastClr="000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57D2-4323-BA19-E3EFF7151BAF}"/>
              </c:ext>
            </c:extLst>
          </c:dPt>
          <c:dPt>
            <c:idx val="10"/>
            <c:invertIfNegative val="0"/>
            <c:bubble3D val="0"/>
            <c:spPr>
              <a:noFill/>
              <a:ln>
                <a:solidFill>
                  <a:sysClr val="windowText" lastClr="000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8-57D2-4323-BA19-E3EFF7151BAF}"/>
              </c:ext>
            </c:extLst>
          </c:dPt>
          <c:dPt>
            <c:idx val="11"/>
            <c:invertIfNegative val="0"/>
            <c:bubble3D val="0"/>
            <c:spPr>
              <a:noFill/>
              <a:ln>
                <a:solidFill>
                  <a:schemeClr val="tx2">
                    <a:lumMod val="90000"/>
                    <a:lumOff val="10000"/>
                  </a:schemeClr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E-DE80-4703-9B10-12C5241C34F5}"/>
              </c:ext>
            </c:extLst>
          </c:dPt>
          <c:dPt>
            <c:idx val="12"/>
            <c:invertIfNegative val="0"/>
            <c:bubble3D val="0"/>
            <c:spPr>
              <a:noFill/>
              <a:ln>
                <a:solidFill>
                  <a:schemeClr val="tx2">
                    <a:lumMod val="90000"/>
                    <a:lumOff val="10000"/>
                  </a:schemeClr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DE80-4703-9B10-12C5241C34F5}"/>
              </c:ext>
            </c:extLst>
          </c:dPt>
          <c:dPt>
            <c:idx val="13"/>
            <c:invertIfNegative val="0"/>
            <c:bubble3D val="0"/>
            <c:spPr>
              <a:noFill/>
              <a:ln>
                <a:solidFill>
                  <a:schemeClr val="tx2">
                    <a:lumMod val="90000"/>
                    <a:lumOff val="10000"/>
                  </a:schemeClr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0-DE80-4703-9B10-12C5241C34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'Ramp up plan'!$B$3:$O$3</c:f>
              <c:strCache>
                <c:ptCount val="14"/>
                <c:pt idx="0">
                  <c:v>Nov-25</c:v>
                </c:pt>
                <c:pt idx="1">
                  <c:v>Dec-25</c:v>
                </c:pt>
                <c:pt idx="2">
                  <c:v>Jan-26</c:v>
                </c:pt>
                <c:pt idx="3">
                  <c:v>Feb-26</c:v>
                </c:pt>
                <c:pt idx="4">
                  <c:v>Mar-26</c:v>
                </c:pt>
                <c:pt idx="5">
                  <c:v>Apr-26</c:v>
                </c:pt>
                <c:pt idx="6">
                  <c:v>May-26</c:v>
                </c:pt>
                <c:pt idx="7">
                  <c:v>Jun-26</c:v>
                </c:pt>
                <c:pt idx="8">
                  <c:v>Jul-26</c:v>
                </c:pt>
                <c:pt idx="9">
                  <c:v>Aug-26</c:v>
                </c:pt>
                <c:pt idx="10">
                  <c:v>Sep-26</c:v>
                </c:pt>
                <c:pt idx="11">
                  <c:v>Oct-26</c:v>
                </c:pt>
                <c:pt idx="12">
                  <c:v>Nov'26</c:v>
                </c:pt>
                <c:pt idx="13">
                  <c:v>Dec-26</c:v>
                </c:pt>
              </c:strCache>
            </c:strRef>
          </c:cat>
          <c:val>
            <c:numRef>
              <c:f>'Ramp up plan'!$B$5:$O$5</c:f>
              <c:numCache>
                <c:formatCode>General</c:formatCode>
                <c:ptCount val="14"/>
                <c:pt idx="0">
                  <c:v>691</c:v>
                </c:pt>
                <c:pt idx="1">
                  <c:v>805</c:v>
                </c:pt>
                <c:pt idx="2">
                  <c:v>804</c:v>
                </c:pt>
                <c:pt idx="3">
                  <c:v>807</c:v>
                </c:pt>
                <c:pt idx="4">
                  <c:v>1500</c:v>
                </c:pt>
                <c:pt idx="5">
                  <c:v>1100</c:v>
                </c:pt>
                <c:pt idx="6">
                  <c:v>1755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2-4323-BA19-E3EFF7151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80256512"/>
        <c:axId val="680259392"/>
      </c:barChart>
      <c:lineChart>
        <c:grouping val="standard"/>
        <c:varyColors val="0"/>
        <c:ser>
          <c:idx val="0"/>
          <c:order val="0"/>
          <c:tx>
            <c:strRef>
              <c:f>'Ramp up plan'!$A$4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'Ramp up plan'!$B$3:$O$3</c:f>
              <c:strCache>
                <c:ptCount val="14"/>
                <c:pt idx="0">
                  <c:v>Nov-25</c:v>
                </c:pt>
                <c:pt idx="1">
                  <c:v>Dec-25</c:v>
                </c:pt>
                <c:pt idx="2">
                  <c:v>Jan-26</c:v>
                </c:pt>
                <c:pt idx="3">
                  <c:v>Feb-26</c:v>
                </c:pt>
                <c:pt idx="4">
                  <c:v>Mar-26</c:v>
                </c:pt>
                <c:pt idx="5">
                  <c:v>Apr-26</c:v>
                </c:pt>
                <c:pt idx="6">
                  <c:v>May-26</c:v>
                </c:pt>
                <c:pt idx="7">
                  <c:v>Jun-26</c:v>
                </c:pt>
                <c:pt idx="8">
                  <c:v>Jul-26</c:v>
                </c:pt>
                <c:pt idx="9">
                  <c:v>Aug-26</c:v>
                </c:pt>
                <c:pt idx="10">
                  <c:v>Sep-26</c:v>
                </c:pt>
                <c:pt idx="11">
                  <c:v>Oct-26</c:v>
                </c:pt>
                <c:pt idx="12">
                  <c:v>Nov'26</c:v>
                </c:pt>
                <c:pt idx="13">
                  <c:v>Dec-26</c:v>
                </c:pt>
              </c:strCache>
            </c:strRef>
          </c:cat>
          <c:val>
            <c:numRef>
              <c:f>'Ramp up plan'!$B$4:$O$4</c:f>
              <c:numCache>
                <c:formatCode>General</c:formatCode>
                <c:ptCount val="14"/>
                <c:pt idx="0">
                  <c:v>1050</c:v>
                </c:pt>
                <c:pt idx="1">
                  <c:v>1100</c:v>
                </c:pt>
                <c:pt idx="2">
                  <c:v>1155</c:v>
                </c:pt>
                <c:pt idx="3">
                  <c:v>1320</c:v>
                </c:pt>
                <c:pt idx="4">
                  <c:v>1500</c:v>
                </c:pt>
                <c:pt idx="5">
                  <c:v>1100</c:v>
                </c:pt>
                <c:pt idx="6">
                  <c:v>1755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2-4323-BA19-E3EFF7151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256512"/>
        <c:axId val="680259392"/>
      </c:lineChart>
      <c:catAx>
        <c:axId val="68025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59392"/>
        <c:crosses val="autoZero"/>
        <c:auto val="1"/>
        <c:lblAlgn val="ctr"/>
        <c:lblOffset val="100"/>
        <c:noMultiLvlLbl val="0"/>
      </c:catAx>
      <c:valAx>
        <c:axId val="6802593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5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953744198397486"/>
          <c:y val="0.13483741615631376"/>
          <c:w val="0.2621567875863024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2">
              <a:lumMod val="90000"/>
              <a:lumOff val="1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Productivity</a:t>
            </a:r>
            <a:r>
              <a:rPr lang="en-US" baseline="0"/>
              <a:t> improvement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'Ramp up plan'!$A$27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noFill/>
              <a:ln>
                <a:solidFill>
                  <a:schemeClr val="tx1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5D-4F04-875A-E81690E3DCD3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solidFill>
                  <a:schemeClr val="tx1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5D-4F04-875A-E81690E3DCD3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solidFill>
                  <a:schemeClr val="tx1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5D-4F04-875A-E81690E3DCD3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solidFill>
                  <a:schemeClr val="tx1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775D-4F04-875A-E81690E3DCD3}"/>
              </c:ext>
            </c:extLst>
          </c:dPt>
          <c:dPt>
            <c:idx val="8"/>
            <c:invertIfNegative val="0"/>
            <c:bubble3D val="0"/>
            <c:spPr>
              <a:noFill/>
              <a:ln>
                <a:solidFill>
                  <a:sysClr val="windowText" lastClr="000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775D-4F04-875A-E81690E3DCD3}"/>
              </c:ext>
            </c:extLst>
          </c:dPt>
          <c:dPt>
            <c:idx val="9"/>
            <c:invertIfNegative val="0"/>
            <c:bubble3D val="0"/>
            <c:spPr>
              <a:noFill/>
              <a:ln>
                <a:solidFill>
                  <a:sysClr val="windowText" lastClr="000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C-775D-4F04-875A-E81690E3DCD3}"/>
              </c:ext>
            </c:extLst>
          </c:dPt>
          <c:dPt>
            <c:idx val="10"/>
            <c:invertIfNegative val="0"/>
            <c:bubble3D val="0"/>
            <c:spPr>
              <a:noFill/>
              <a:ln>
                <a:solidFill>
                  <a:sysClr val="windowText" lastClr="000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775D-4F04-875A-E81690E3DCD3}"/>
              </c:ext>
            </c:extLst>
          </c:dPt>
          <c:dPt>
            <c:idx val="11"/>
            <c:invertIfNegative val="0"/>
            <c:bubble3D val="0"/>
            <c:spPr>
              <a:noFill/>
              <a:ln>
                <a:solidFill>
                  <a:schemeClr val="tx2">
                    <a:lumMod val="90000"/>
                    <a:lumOff val="10000"/>
                  </a:schemeClr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E-B318-41C9-8824-16AA0917F045}"/>
              </c:ext>
            </c:extLst>
          </c:dPt>
          <c:dPt>
            <c:idx val="12"/>
            <c:invertIfNegative val="0"/>
            <c:bubble3D val="0"/>
            <c:spPr>
              <a:noFill/>
              <a:ln>
                <a:solidFill>
                  <a:schemeClr val="tx2">
                    <a:lumMod val="90000"/>
                    <a:lumOff val="10000"/>
                  </a:schemeClr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318-41C9-8824-16AA0917F045}"/>
              </c:ext>
            </c:extLst>
          </c:dPt>
          <c:dPt>
            <c:idx val="13"/>
            <c:invertIfNegative val="0"/>
            <c:bubble3D val="0"/>
            <c:spPr>
              <a:noFill/>
              <a:ln>
                <a:solidFill>
                  <a:schemeClr val="tx2">
                    <a:lumMod val="90000"/>
                    <a:lumOff val="10000"/>
                  </a:schemeClr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0-B318-41C9-8824-16AA0917F0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'Ramp up plan'!$B$25:$O$25</c:f>
              <c:strCache>
                <c:ptCount val="14"/>
                <c:pt idx="0">
                  <c:v>Nov-25</c:v>
                </c:pt>
                <c:pt idx="1">
                  <c:v>Dec-25</c:v>
                </c:pt>
                <c:pt idx="2">
                  <c:v>Jan-26</c:v>
                </c:pt>
                <c:pt idx="3">
                  <c:v>Feb-26</c:v>
                </c:pt>
                <c:pt idx="4">
                  <c:v>Mar-26</c:v>
                </c:pt>
                <c:pt idx="5">
                  <c:v>Apr-26</c:v>
                </c:pt>
                <c:pt idx="6">
                  <c:v>May-26</c:v>
                </c:pt>
                <c:pt idx="7">
                  <c:v>Jun-26</c:v>
                </c:pt>
                <c:pt idx="8">
                  <c:v>Jul-26</c:v>
                </c:pt>
                <c:pt idx="9">
                  <c:v>Aug-26</c:v>
                </c:pt>
                <c:pt idx="10">
                  <c:v>Sep-26</c:v>
                </c:pt>
                <c:pt idx="11">
                  <c:v>Oct-26</c:v>
                </c:pt>
                <c:pt idx="12">
                  <c:v>Nov'26</c:v>
                </c:pt>
                <c:pt idx="13">
                  <c:v>Dec-26</c:v>
                </c:pt>
              </c:strCache>
            </c:strRef>
          </c:cat>
          <c:val>
            <c:numRef>
              <c:f>'Ramp up plan'!$B$27:$O$27</c:f>
              <c:numCache>
                <c:formatCode>0%</c:formatCode>
                <c:ptCount val="14"/>
                <c:pt idx="0">
                  <c:v>0.72</c:v>
                </c:pt>
                <c:pt idx="1">
                  <c:v>0.76</c:v>
                </c:pt>
                <c:pt idx="2">
                  <c:v>0.76</c:v>
                </c:pt>
                <c:pt idx="3">
                  <c:v>0.8</c:v>
                </c:pt>
                <c:pt idx="4">
                  <c:v>0.85</c:v>
                </c:pt>
                <c:pt idx="5">
                  <c:v>0.87</c:v>
                </c:pt>
                <c:pt idx="6">
                  <c:v>0.87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5D-4F04-875A-E81690E3D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256512"/>
        <c:axId val="680259392"/>
      </c:barChart>
      <c:lineChart>
        <c:grouping val="standard"/>
        <c:varyColors val="0"/>
        <c:ser>
          <c:idx val="0"/>
          <c:order val="0"/>
          <c:tx>
            <c:strRef>
              <c:f>'Ramp up plan'!$A$26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'Ramp up plan'!$B$25:$O$25</c:f>
              <c:strCache>
                <c:ptCount val="14"/>
                <c:pt idx="0">
                  <c:v>Nov-25</c:v>
                </c:pt>
                <c:pt idx="1">
                  <c:v>Dec-25</c:v>
                </c:pt>
                <c:pt idx="2">
                  <c:v>Jan-26</c:v>
                </c:pt>
                <c:pt idx="3">
                  <c:v>Feb-26</c:v>
                </c:pt>
                <c:pt idx="4">
                  <c:v>Mar-26</c:v>
                </c:pt>
                <c:pt idx="5">
                  <c:v>Apr-26</c:v>
                </c:pt>
                <c:pt idx="6">
                  <c:v>May-26</c:v>
                </c:pt>
                <c:pt idx="7">
                  <c:v>Jun-26</c:v>
                </c:pt>
                <c:pt idx="8">
                  <c:v>Jul-26</c:v>
                </c:pt>
                <c:pt idx="9">
                  <c:v>Aug-26</c:v>
                </c:pt>
                <c:pt idx="10">
                  <c:v>Sep-26</c:v>
                </c:pt>
                <c:pt idx="11">
                  <c:v>Oct-26</c:v>
                </c:pt>
                <c:pt idx="12">
                  <c:v>Nov'26</c:v>
                </c:pt>
                <c:pt idx="13">
                  <c:v>Dec-26</c:v>
                </c:pt>
              </c:strCache>
            </c:strRef>
          </c:cat>
          <c:val>
            <c:numRef>
              <c:f>'Ramp up plan'!$B$26:$O$26</c:f>
              <c:numCache>
                <c:formatCode>0%</c:formatCode>
                <c:ptCount val="14"/>
                <c:pt idx="0">
                  <c:v>0.75</c:v>
                </c:pt>
                <c:pt idx="1">
                  <c:v>0.8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0.87</c:v>
                </c:pt>
                <c:pt idx="6">
                  <c:v>0.87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75D-4F04-875A-E81690E3D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256512"/>
        <c:axId val="680259392"/>
      </c:lineChart>
      <c:catAx>
        <c:axId val="68025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59392"/>
        <c:crosses val="autoZero"/>
        <c:auto val="1"/>
        <c:lblAlgn val="ctr"/>
        <c:lblOffset val="100"/>
        <c:noMultiLvlLbl val="0"/>
      </c:catAx>
      <c:valAx>
        <c:axId val="6802593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565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48453598725379"/>
          <c:y val="0.13020778652668413"/>
          <c:w val="0.2621567875863024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2">
              <a:lumMod val="90000"/>
              <a:lumOff val="1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601-4D99-942A-9154364C67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601-4D99-942A-9154364C67FB}"/>
              </c:ext>
            </c:extLst>
          </c:dPt>
          <c:dLbls>
            <c:dLbl>
              <c:idx val="1"/>
              <c:layout>
                <c:manualLayout>
                  <c:x val="-1.5202956790139298E-2"/>
                  <c:y val="-2.3963211448777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01-4D99-942A-9154364C67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'Loss-Mar2026'!$J$5:$J$6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'Loss-Mar2026'!$K$5:$K$6</c:f>
              <c:numCache>
                <c:formatCode>General</c:formatCode>
                <c:ptCount val="2"/>
                <c:pt idx="0">
                  <c:v>484</c:v>
                </c:pt>
                <c:pt idx="1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01-4D99-942A-9154364C6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Assembly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756-497D-8B77-3925FD1158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756-497D-8B77-3925FD1158C6}"/>
              </c:ext>
            </c:extLst>
          </c:dPt>
          <c:dLbls>
            <c:dLbl>
              <c:idx val="0"/>
              <c:layout>
                <c:manualLayout>
                  <c:x val="-0.21697351355319722"/>
                  <c:y val="-0.1699525691988692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56-497D-8B77-3925FD1158C6}"/>
                </c:ext>
              </c:extLst>
            </c:dLbl>
            <c:dLbl>
              <c:idx val="1"/>
              <c:layout>
                <c:manualLayout>
                  <c:x val="-1.4372839517018145E-2"/>
                  <c:y val="-4.24635492281981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56-497D-8B77-3925FD1158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'Loss-Mar2026'!$A$5:$A$6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'Loss-Mar2026'!$B$5:$B$6</c:f>
              <c:numCache>
                <c:formatCode>General</c:formatCode>
                <c:ptCount val="2"/>
                <c:pt idx="0">
                  <c:v>959</c:v>
                </c:pt>
                <c:pt idx="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56-497D-8B77-3925FD115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FA2-436A-AA59-6F3D7E962D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FA2-436A-AA59-6F3D7E962D1A}"/>
              </c:ext>
            </c:extLst>
          </c:dPt>
          <c:dLbls>
            <c:dLbl>
              <c:idx val="1"/>
              <c:layout>
                <c:manualLayout>
                  <c:x val="-6.2201796890053382E-3"/>
                  <c:y val="-1.26952504901711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A2-436A-AA59-6F3D7E962D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'Loss-Mar2026'!$J$16:$J$17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'Loss-Mar2026'!$K$16:$K$17</c:f>
              <c:numCache>
                <c:formatCode>General</c:formatCode>
                <c:ptCount val="2"/>
                <c:pt idx="0">
                  <c:v>475</c:v>
                </c:pt>
                <c:pt idx="1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A2-436A-AA59-6F3D7E962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</a:t>
            </a:r>
            <a:r>
              <a:rPr lang="en-US" baseline="0"/>
              <a:t> time 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'Loss-Mar2026'!$A$27:$A$47</c:f>
              <c:strCache>
                <c:ptCount val="21"/>
                <c:pt idx="0">
                  <c:v>Change model (Prepare-Supply part)</c:v>
                </c:pt>
                <c:pt idx="1">
                  <c:v>No Wheel and Tire (Return from WH)</c:v>
                </c:pt>
                <c:pt idx="2">
                  <c:v>Part shortage (Supplier)-Xcellent part</c:v>
                </c:pt>
                <c:pt idx="3">
                  <c:v>Delay from Part Supply team.</c:v>
                </c:pt>
                <c:pt idx="4">
                  <c:v>Incoming supplier part quality</c:v>
                </c:pt>
                <c:pt idx="5">
                  <c:v>Supply Wrong Part</c:v>
                </c:pt>
                <c:pt idx="6">
                  <c:v>Microstoppage /Other</c:v>
                </c:pt>
                <c:pt idx="7">
                  <c:v>Trial new model</c:v>
                </c:pt>
                <c:pt idx="8">
                  <c:v>Labor shortage</c:v>
                </c:pt>
                <c:pt idx="9">
                  <c:v>Part shortage (Sub assembly)</c:v>
                </c:pt>
                <c:pt idx="10">
                  <c:v>Part shortage (Supplier)-Local</c:v>
                </c:pt>
                <c:pt idx="11">
                  <c:v>Assembly Line quality </c:v>
                </c:pt>
                <c:pt idx="12">
                  <c:v>Waiting for parts receive</c:v>
                </c:pt>
                <c:pt idx="13">
                  <c:v>MC/Tooling Break down</c:v>
                </c:pt>
                <c:pt idx="14">
                  <c:v>Missing Parts from BOM</c:v>
                </c:pt>
                <c:pt idx="15">
                  <c:v>Sub Assy Line quality </c:v>
                </c:pt>
                <c:pt idx="16">
                  <c:v>Wrong part assy/Rework</c:v>
                </c:pt>
                <c:pt idx="17">
                  <c:v>Missing Parts from WIP (WIP wrong)</c:v>
                </c:pt>
                <c:pt idx="18">
                  <c:v>Paintshop / Wiring  quality</c:v>
                </c:pt>
                <c:pt idx="19">
                  <c:v>Cycle time issue
(Training Op)</c:v>
                </c:pt>
                <c:pt idx="20">
                  <c:v>Part shortage (Supplier)-China</c:v>
                </c:pt>
              </c:strCache>
            </c:strRef>
          </c:cat>
          <c:val>
            <c:numRef>
              <c:f>'Loss-Mar2026'!$B$27:$B$47</c:f>
              <c:numCache>
                <c:formatCode>General</c:formatCode>
                <c:ptCount val="21"/>
                <c:pt idx="0">
                  <c:v>3175</c:v>
                </c:pt>
                <c:pt idx="1">
                  <c:v>2787</c:v>
                </c:pt>
                <c:pt idx="2">
                  <c:v>1300</c:v>
                </c:pt>
                <c:pt idx="3">
                  <c:v>600</c:v>
                </c:pt>
                <c:pt idx="4">
                  <c:v>330</c:v>
                </c:pt>
                <c:pt idx="5">
                  <c:v>315</c:v>
                </c:pt>
                <c:pt idx="6">
                  <c:v>264</c:v>
                </c:pt>
                <c:pt idx="7">
                  <c:v>180</c:v>
                </c:pt>
                <c:pt idx="8">
                  <c:v>140</c:v>
                </c:pt>
                <c:pt idx="9">
                  <c:v>68</c:v>
                </c:pt>
                <c:pt idx="1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6-44D9-810D-F848BC028A8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'Loss-Mar2026'!$A$27:$A$47</c:f>
              <c:strCache>
                <c:ptCount val="21"/>
                <c:pt idx="0">
                  <c:v>Change model (Prepare-Supply part)</c:v>
                </c:pt>
                <c:pt idx="1">
                  <c:v>No Wheel and Tire (Return from WH)</c:v>
                </c:pt>
                <c:pt idx="2">
                  <c:v>Part shortage (Supplier)-Xcellent part</c:v>
                </c:pt>
                <c:pt idx="3">
                  <c:v>Delay from Part Supply team.</c:v>
                </c:pt>
                <c:pt idx="4">
                  <c:v>Incoming supplier part quality</c:v>
                </c:pt>
                <c:pt idx="5">
                  <c:v>Supply Wrong Part</c:v>
                </c:pt>
                <c:pt idx="6">
                  <c:v>Microstoppage /Other</c:v>
                </c:pt>
                <c:pt idx="7">
                  <c:v>Trial new model</c:v>
                </c:pt>
                <c:pt idx="8">
                  <c:v>Labor shortage</c:v>
                </c:pt>
                <c:pt idx="9">
                  <c:v>Part shortage (Sub assembly)</c:v>
                </c:pt>
                <c:pt idx="10">
                  <c:v>Part shortage (Supplier)-Local</c:v>
                </c:pt>
                <c:pt idx="11">
                  <c:v>Assembly Line quality </c:v>
                </c:pt>
                <c:pt idx="12">
                  <c:v>Waiting for parts receive</c:v>
                </c:pt>
                <c:pt idx="13">
                  <c:v>MC/Tooling Break down</c:v>
                </c:pt>
                <c:pt idx="14">
                  <c:v>Missing Parts from BOM</c:v>
                </c:pt>
                <c:pt idx="15">
                  <c:v>Sub Assy Line quality </c:v>
                </c:pt>
                <c:pt idx="16">
                  <c:v>Wrong part assy/Rework</c:v>
                </c:pt>
                <c:pt idx="17">
                  <c:v>Missing Parts from WIP (WIP wrong)</c:v>
                </c:pt>
                <c:pt idx="18">
                  <c:v>Paintshop / Wiring  quality</c:v>
                </c:pt>
                <c:pt idx="19">
                  <c:v>Cycle time issue
(Training Op)</c:v>
                </c:pt>
                <c:pt idx="20">
                  <c:v>Part shortage (Supplier)-China</c:v>
                </c:pt>
              </c:strCache>
            </c:strRef>
          </c:cat>
          <c:val>
            <c:numRef>
              <c:f>'Loss-Mar2026'!$C$27:$C$47</c:f>
              <c:numCache>
                <c:formatCode>0%</c:formatCode>
                <c:ptCount val="21"/>
                <c:pt idx="0">
                  <c:v>0.11404454022988506</c:v>
                </c:pt>
                <c:pt idx="1">
                  <c:v>0.10010775862068966</c:v>
                </c:pt>
                <c:pt idx="2">
                  <c:v>4.6695402298850573E-2</c:v>
                </c:pt>
                <c:pt idx="3">
                  <c:v>2.1551724137931036E-2</c:v>
                </c:pt>
                <c:pt idx="4">
                  <c:v>1.1853448275862068E-2</c:v>
                </c:pt>
                <c:pt idx="5">
                  <c:v>1.1314655172413793E-2</c:v>
                </c:pt>
                <c:pt idx="6">
                  <c:v>9.482758620689655E-3</c:v>
                </c:pt>
                <c:pt idx="7">
                  <c:v>6.4655172413793103E-3</c:v>
                </c:pt>
                <c:pt idx="8">
                  <c:v>5.028735632183908E-3</c:v>
                </c:pt>
                <c:pt idx="9">
                  <c:v>2.4425287356321839E-3</c:v>
                </c:pt>
                <c:pt idx="10">
                  <c:v>1.4367816091954023E-3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6-44D9-810D-F848BC028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107440"/>
        <c:axId val="1160114640"/>
      </c:barChart>
      <c:catAx>
        <c:axId val="11601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14640"/>
        <c:crosses val="autoZero"/>
        <c:auto val="1"/>
        <c:lblAlgn val="ctr"/>
        <c:lblOffset val="100"/>
        <c:noMultiLvlLbl val="0"/>
      </c:catAx>
      <c:valAx>
        <c:axId val="11601146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0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 time (mins)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470-4F04-AF27-2874FFE9E3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470-4F04-AF27-2874FFE9E3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470-4F04-AF27-2874FFE9E3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470-4F04-AF27-2874FFE9E3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'Loss-Mar2026'!$A$27:$A$30</c:f>
              <c:strCache>
                <c:ptCount val="4"/>
                <c:pt idx="0">
                  <c:v>Change model (Prepare-Supply part)</c:v>
                </c:pt>
                <c:pt idx="1">
                  <c:v>No Wheel and Tire (Return from WH)</c:v>
                </c:pt>
                <c:pt idx="2">
                  <c:v>Part shortage (Supplier)-Xcellent part</c:v>
                </c:pt>
                <c:pt idx="3">
                  <c:v>Delay from Part Supply team.</c:v>
                </c:pt>
              </c:strCache>
            </c:strRef>
          </c:cat>
          <c:val>
            <c:numRef>
              <c:f>'Loss-Mar2026'!$B$27:$B$30</c:f>
              <c:numCache>
                <c:formatCode>General</c:formatCode>
                <c:ptCount val="4"/>
                <c:pt idx="0">
                  <c:v>3175</c:v>
                </c:pt>
                <c:pt idx="1">
                  <c:v>2787</c:v>
                </c:pt>
                <c:pt idx="2">
                  <c:v>1300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70-4F04-AF27-2874FFE9E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8C3-4F38-81BB-11968F6C23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8C3-4F38-81BB-11968F6C23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Feb!$A$3:$A$4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Feb!$B$3:$B$4</c:f>
              <c:numCache>
                <c:formatCode>General</c:formatCode>
                <c:ptCount val="2"/>
                <c:pt idx="0">
                  <c:v>389</c:v>
                </c:pt>
                <c:pt idx="1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C3-4F38-81BB-11968F6C2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EF6-4B54-B91B-28881FDE10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EF6-4B54-B91B-28881FDE10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Feb!$A$22:$A$23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Feb!$B$22:$B$23</c:f>
              <c:numCache>
                <c:formatCode>General</c:formatCode>
                <c:ptCount val="2"/>
                <c:pt idx="0">
                  <c:v>418</c:v>
                </c:pt>
                <c:pt idx="1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F6-4B54-B91B-28881FDE1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Assembly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52-4199-8D21-09D627F854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52-4199-8D21-09D627F854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Feb!$A$41:$A$42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Feb!$B$41:$B$42</c:f>
              <c:numCache>
                <c:formatCode>General</c:formatCode>
                <c:ptCount val="2"/>
                <c:pt idx="0">
                  <c:v>807</c:v>
                </c:pt>
                <c:pt idx="1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52-4199-8D21-09D627F85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time (1-28</a:t>
            </a:r>
            <a:r>
              <a:rPr lang="en-US" baseline="0"/>
              <a:t> Feb</a:t>
            </a:r>
            <a:r>
              <a:rPr lang="en-US"/>
              <a:t>'2026)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'Feb-26'!$A$2:$A$19</c:f>
              <c:strCache>
                <c:ptCount val="18"/>
                <c:pt idx="0">
                  <c:v>No Wheel and Tire</c:v>
                </c:pt>
                <c:pt idx="1">
                  <c:v>Change model</c:v>
                </c:pt>
                <c:pt idx="2">
                  <c:v>Part shortage-Waiting for parts receiving</c:v>
                </c:pt>
                <c:pt idx="3">
                  <c:v>Delay/ Shortage from Supply team.</c:v>
                </c:pt>
                <c:pt idx="4">
                  <c:v>Labor shortage</c:v>
                </c:pt>
                <c:pt idx="5">
                  <c:v>Incoming supplier part quality</c:v>
                </c:pt>
                <c:pt idx="6">
                  <c:v>Part shortage(Supplier)</c:v>
                </c:pt>
                <c:pt idx="7">
                  <c:v>Trial new model</c:v>
                </c:pt>
                <c:pt idx="8">
                  <c:v>Part shortage (Sub assembly)</c:v>
                </c:pt>
                <c:pt idx="9">
                  <c:v>Supply Wrong Part</c:v>
                </c:pt>
                <c:pt idx="10">
                  <c:v>Microstoppage /Other</c:v>
                </c:pt>
                <c:pt idx="11">
                  <c:v>MC/Tooling Break down</c:v>
                </c:pt>
                <c:pt idx="12">
                  <c:v>Missing Parts from BOM</c:v>
                </c:pt>
                <c:pt idx="13">
                  <c:v>Assembly Line and Sub Assy Line quality </c:v>
                </c:pt>
                <c:pt idx="14">
                  <c:v>Wrong part assy/Rework</c:v>
                </c:pt>
                <c:pt idx="15">
                  <c:v>Missing Parts from WIP (WIP wrong)</c:v>
                </c:pt>
                <c:pt idx="16">
                  <c:v>Paintshop / Wiring  quality</c:v>
                </c:pt>
                <c:pt idx="17">
                  <c:v>Cycle time issue
(Training Op)</c:v>
                </c:pt>
              </c:strCache>
            </c:strRef>
          </c:cat>
          <c:val>
            <c:numRef>
              <c:f>'Feb-26'!$B$2:$B$19</c:f>
              <c:numCache>
                <c:formatCode>General</c:formatCode>
                <c:ptCount val="18"/>
                <c:pt idx="0">
                  <c:v>3325</c:v>
                </c:pt>
                <c:pt idx="1">
                  <c:v>1180</c:v>
                </c:pt>
                <c:pt idx="2">
                  <c:v>423</c:v>
                </c:pt>
                <c:pt idx="3">
                  <c:v>420</c:v>
                </c:pt>
                <c:pt idx="4">
                  <c:v>325</c:v>
                </c:pt>
                <c:pt idx="5">
                  <c:v>210</c:v>
                </c:pt>
                <c:pt idx="6">
                  <c:v>135</c:v>
                </c:pt>
                <c:pt idx="7">
                  <c:v>100</c:v>
                </c:pt>
                <c:pt idx="8">
                  <c:v>90</c:v>
                </c:pt>
                <c:pt idx="9">
                  <c:v>70</c:v>
                </c:pt>
                <c:pt idx="10">
                  <c:v>60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2-4362-8E07-D05CCD5EF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420960"/>
        <c:axId val="244431040"/>
      </c:barChart>
      <c:catAx>
        <c:axId val="24442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31040"/>
        <c:crosses val="autoZero"/>
        <c:auto val="1"/>
        <c:lblAlgn val="ctr"/>
        <c:lblOffset val="100"/>
        <c:noMultiLvlLbl val="0"/>
      </c:catAx>
      <c:valAx>
        <c:axId val="2444310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2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 time (mins)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BEF-4E31-84C0-B43BFDB330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BEF-4E31-84C0-B43BFDB330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BEF-4E31-84C0-B43BFDB330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BEF-4E31-84C0-B43BFDB330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BEF-4E31-84C0-B43BFDB3306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BEF-4E31-84C0-B43BFDB3306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BEF-4E31-84C0-B43BFDB3306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BEF-4E31-84C0-B43BFDB3306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BEF-4E31-84C0-B43BFDB3306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BEF-4E31-84C0-B43BFDB3306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BEF-4E31-84C0-B43BFDB330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'Feb-26'!$A$2:$A$12</c:f>
              <c:strCache>
                <c:ptCount val="11"/>
                <c:pt idx="0">
                  <c:v>No Wheel and Tire</c:v>
                </c:pt>
                <c:pt idx="1">
                  <c:v>Change model</c:v>
                </c:pt>
                <c:pt idx="2">
                  <c:v>Part shortage-Waiting for parts receiving</c:v>
                </c:pt>
                <c:pt idx="3">
                  <c:v>Delay/ Shortage from Supply team.</c:v>
                </c:pt>
                <c:pt idx="4">
                  <c:v>Labor shortage</c:v>
                </c:pt>
                <c:pt idx="5">
                  <c:v>Incoming supplier part quality</c:v>
                </c:pt>
                <c:pt idx="6">
                  <c:v>Part shortage(Supplier)</c:v>
                </c:pt>
                <c:pt idx="7">
                  <c:v>Trial new model</c:v>
                </c:pt>
                <c:pt idx="8">
                  <c:v>Part shortage (Sub assembly)</c:v>
                </c:pt>
                <c:pt idx="9">
                  <c:v>Supply Wrong Part</c:v>
                </c:pt>
                <c:pt idx="10">
                  <c:v>Microstoppage /Other</c:v>
                </c:pt>
              </c:strCache>
            </c:strRef>
          </c:cat>
          <c:val>
            <c:numRef>
              <c:f>'Feb-26'!$B$2:$B$12</c:f>
              <c:numCache>
                <c:formatCode>General</c:formatCode>
                <c:ptCount val="11"/>
                <c:pt idx="0">
                  <c:v>3325</c:v>
                </c:pt>
                <c:pt idx="1">
                  <c:v>1180</c:v>
                </c:pt>
                <c:pt idx="2">
                  <c:v>423</c:v>
                </c:pt>
                <c:pt idx="3">
                  <c:v>420</c:v>
                </c:pt>
                <c:pt idx="4">
                  <c:v>325</c:v>
                </c:pt>
                <c:pt idx="5">
                  <c:v>210</c:v>
                </c:pt>
                <c:pt idx="6">
                  <c:v>135</c:v>
                </c:pt>
                <c:pt idx="7">
                  <c:v>100</c:v>
                </c:pt>
                <c:pt idx="8">
                  <c:v>90</c:v>
                </c:pt>
                <c:pt idx="9">
                  <c:v>70</c:v>
                </c:pt>
                <c:pt idx="1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BEF-4E31-84C0-B43BFDB33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B8-4360-A74A-3D2649CFA8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B8-4360-A74A-3D2649CFA8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Jan!$A$3:$A$4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Jan!$B$3:$B$4</c:f>
              <c:numCache>
                <c:formatCode>General</c:formatCode>
                <c:ptCount val="2"/>
                <c:pt idx="0">
                  <c:v>466</c:v>
                </c:pt>
                <c:pt idx="1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3-4E2C-8731-4FFC67CBE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2D-424B-8F60-395A784E68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2D-424B-8F60-395A784E6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Jan!$A$22:$A$23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Jan!$B$22:$B$23</c:f>
              <c:numCache>
                <c:formatCode>General</c:formatCode>
                <c:ptCount val="2"/>
                <c:pt idx="0">
                  <c:v>371</c:v>
                </c:pt>
                <c:pt idx="1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2D-424B-8F60-395A784E6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assembly line#1, Line#3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7FC-40EF-9062-539633FD32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7FC-40EF-9062-539633FD32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Jan!$A$41:$A$42</c:f>
              <c:strCache>
                <c:ptCount val="2"/>
                <c:pt idx="0">
                  <c:v>Actual (units)</c:v>
                </c:pt>
                <c:pt idx="1">
                  <c:v>Loss (units)</c:v>
                </c:pt>
              </c:strCache>
            </c:strRef>
          </c:cat>
          <c:val>
            <c:numRef>
              <c:f>Jan!$B$41:$B$42</c:f>
              <c:numCache>
                <c:formatCode>General</c:formatCode>
                <c:ptCount val="2"/>
                <c:pt idx="0">
                  <c:v>837</c:v>
                </c:pt>
                <c:pt idx="1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FC-40EF-9062-539633FD3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time (7-31 Jan'2026)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'Jan-26'!$A$2:$A$17</c:f>
              <c:strCache>
                <c:ptCount val="16"/>
                <c:pt idx="0">
                  <c:v>Delay/ Shortage from Supply team.</c:v>
                </c:pt>
                <c:pt idx="1">
                  <c:v>Cycle time issue
(Missing Op.)</c:v>
                </c:pt>
                <c:pt idx="2">
                  <c:v>Change model</c:v>
                </c:pt>
                <c:pt idx="3">
                  <c:v>Part shortage
(Supplier)</c:v>
                </c:pt>
                <c:pt idx="4">
                  <c:v>Incoming supplier part quality</c:v>
                </c:pt>
                <c:pt idx="5">
                  <c:v>Microstoppage /Other</c:v>
                </c:pt>
                <c:pt idx="6">
                  <c:v>Trial new model</c:v>
                </c:pt>
                <c:pt idx="7">
                  <c:v>Waiting for parts receive</c:v>
                </c:pt>
                <c:pt idx="8">
                  <c:v>MC/Tooling Break down</c:v>
                </c:pt>
                <c:pt idx="9">
                  <c:v>Missing Parts from BOM</c:v>
                </c:pt>
                <c:pt idx="10">
                  <c:v>Assembly Line and Sub Assy Line quality </c:v>
                </c:pt>
                <c:pt idx="11">
                  <c:v>Wrong part assy/Rework</c:v>
                </c:pt>
                <c:pt idx="12">
                  <c:v>Missing Parts from WIP (WIP wrong)</c:v>
                </c:pt>
                <c:pt idx="13">
                  <c:v>Supply Wrong Part</c:v>
                </c:pt>
                <c:pt idx="14">
                  <c:v>Paintshop / Wiring  quality</c:v>
                </c:pt>
                <c:pt idx="15">
                  <c:v>Cycle time issue
(Training Op)</c:v>
                </c:pt>
              </c:strCache>
            </c:strRef>
          </c:cat>
          <c:val>
            <c:numRef>
              <c:f>'Jan-26'!$B$2:$B$17</c:f>
              <c:numCache>
                <c:formatCode>General</c:formatCode>
                <c:ptCount val="16"/>
                <c:pt idx="0">
                  <c:v>5196</c:v>
                </c:pt>
                <c:pt idx="1">
                  <c:v>280</c:v>
                </c:pt>
                <c:pt idx="2">
                  <c:v>225</c:v>
                </c:pt>
                <c:pt idx="3">
                  <c:v>135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A-4E88-B223-1A16117CC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420960"/>
        <c:axId val="244431040"/>
      </c:barChart>
      <c:catAx>
        <c:axId val="24442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31040"/>
        <c:crosses val="autoZero"/>
        <c:auto val="1"/>
        <c:lblAlgn val="ctr"/>
        <c:lblOffset val="100"/>
        <c:noMultiLvlLbl val="0"/>
      </c:catAx>
      <c:valAx>
        <c:axId val="2444310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2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</a:t>
            </a:r>
            <a:r>
              <a:rPr lang="en-US" baseline="0"/>
              <a:t> time 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F3-434A-8BEB-11DBB4E122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2F3-434A-8BEB-11DBB4E122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23-4F4D-8DE1-DEF89A32FC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23-4F4D-8DE1-DEF89A32FC73}"/>
              </c:ext>
            </c:extLst>
          </c:dPt>
          <c:dLbls>
            <c:dLbl>
              <c:idx val="1"/>
              <c:layout>
                <c:manualLayout>
                  <c:x val="-0.11014130083054686"/>
                  <c:y val="0.1549183435403907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F3-434A-8BEB-11DBB4E122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'Jan-26'!$A$2:$A$5</c:f>
              <c:strCache>
                <c:ptCount val="4"/>
                <c:pt idx="0">
                  <c:v>Delay/ Shortage from Supply team.</c:v>
                </c:pt>
                <c:pt idx="1">
                  <c:v>Cycle time issue
(Missing Op.)</c:v>
                </c:pt>
                <c:pt idx="2">
                  <c:v>Change model</c:v>
                </c:pt>
                <c:pt idx="3">
                  <c:v>Part shortage
(Supplier)</c:v>
                </c:pt>
              </c:strCache>
            </c:strRef>
          </c:cat>
          <c:val>
            <c:numRef>
              <c:f>'Jan-26'!$B$2:$B$5</c:f>
              <c:numCache>
                <c:formatCode>General</c:formatCode>
                <c:ptCount val="4"/>
                <c:pt idx="0">
                  <c:v>5196</c:v>
                </c:pt>
                <c:pt idx="1">
                  <c:v>280</c:v>
                </c:pt>
                <c:pt idx="2">
                  <c:v>225</c:v>
                </c:pt>
                <c:pt idx="3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3-434A-8BEB-11DBB4E12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181427</xdr:colOff>
      <xdr:row>19</xdr:row>
      <xdr:rowOff>9072</xdr:rowOff>
    </xdr:from>
    <xdr:to>
      <xdr:col>31</xdr:col>
      <xdr:colOff>825500</xdr:colOff>
      <xdr:row>32</xdr:row>
      <xdr:rowOff>181429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1FACF-19C8-A7E7-8DA2-0CA899628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181427</xdr:colOff>
      <xdr:row>19</xdr:row>
      <xdr:rowOff>9072</xdr:rowOff>
    </xdr:from>
    <xdr:to>
      <xdr:col>32</xdr:col>
      <xdr:colOff>825500</xdr:colOff>
      <xdr:row>32</xdr:row>
      <xdr:rowOff>181429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E4BB5-C757-478C-9D3E-6DA93237D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181427</xdr:colOff>
      <xdr:row>19</xdr:row>
      <xdr:rowOff>9072</xdr:rowOff>
    </xdr:from>
    <xdr:to>
      <xdr:col>32</xdr:col>
      <xdr:colOff>825500</xdr:colOff>
      <xdr:row>32</xdr:row>
      <xdr:rowOff>181429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66937-0C20-4F8B-B3CC-7295896C1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60030</xdr:colOff>
      <xdr:row>20</xdr:row>
      <xdr:rowOff>186499</xdr:rowOff>
    </xdr:from>
    <xdr:to>
      <xdr:col>32</xdr:col>
      <xdr:colOff>596153</xdr:colOff>
      <xdr:row>34</xdr:row>
      <xdr:rowOff>125400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B25D6-8736-4258-A65C-23D2254B4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60030</xdr:colOff>
      <xdr:row>21</xdr:row>
      <xdr:rowOff>186499</xdr:rowOff>
    </xdr:from>
    <xdr:to>
      <xdr:col>33</xdr:col>
      <xdr:colOff>0</xdr:colOff>
      <xdr:row>35</xdr:row>
      <xdr:rowOff>125400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45A59-60D9-4313-BF35-540066380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33</xdr:col>
      <xdr:colOff>9338</xdr:colOff>
      <xdr:row>54</xdr:row>
      <xdr:rowOff>121397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64525E-CAFF-4690-884F-1FB9D1E4A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60030</xdr:colOff>
      <xdr:row>21</xdr:row>
      <xdr:rowOff>186499</xdr:rowOff>
    </xdr:from>
    <xdr:to>
      <xdr:col>33</xdr:col>
      <xdr:colOff>0</xdr:colOff>
      <xdr:row>35</xdr:row>
      <xdr:rowOff>125400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D52A6-C2D4-4D01-93B8-589B6B613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33</xdr:col>
      <xdr:colOff>9338</xdr:colOff>
      <xdr:row>54</xdr:row>
      <xdr:rowOff>121397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93D3E5-31A4-43A9-865B-B9B4F8EB8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215901</xdr:colOff>
      <xdr:row>0</xdr:row>
      <xdr:rowOff>44450</xdr:rowOff>
    </xdr:from>
    <xdr:to>
      <xdr:col>16</xdr:col>
      <xdr:colOff>543523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3DD08E-26A9-481B-8C31-FF08443E9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292100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659987-CEC4-42A4-9C4C-9873ED681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215900</xdr:colOff>
      <xdr:row>11</xdr:row>
      <xdr:rowOff>69850</xdr:rowOff>
    </xdr:from>
    <xdr:to>
      <xdr:col>16</xdr:col>
      <xdr:colOff>543278</xdr:colOff>
      <xdr:row>22</xdr:row>
      <xdr:rowOff>74168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1F6AA2-F59B-4B5C-B7C2-53DDFAAF7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155222</xdr:colOff>
      <xdr:row>23</xdr:row>
      <xdr:rowOff>35277</xdr:rowOff>
    </xdr:from>
    <xdr:to>
      <xdr:col>16</xdr:col>
      <xdr:colOff>444501</xdr:colOff>
      <xdr:row>47</xdr:row>
      <xdr:rowOff>98778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19440C-6F35-47D4-8370-29278AB8E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55979</xdr:colOff>
      <xdr:row>49</xdr:row>
      <xdr:rowOff>20721</xdr:rowOff>
    </xdr:from>
    <xdr:to>
      <xdr:col>15</xdr:col>
      <xdr:colOff>446505</xdr:colOff>
      <xdr:row>72</xdr:row>
      <xdr:rowOff>20720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CF6473-BCB3-4049-965E-BF27F11CA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624603</xdr:colOff>
      <xdr:row>25</xdr:row>
      <xdr:rowOff>108801</xdr:rowOff>
    </xdr:from>
    <xdr:to>
      <xdr:col>14</xdr:col>
      <xdr:colOff>541049</xdr:colOff>
      <xdr:row>34</xdr:row>
      <xdr:rowOff>62012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8EB7CF4-A836-10F0-9A30-0D725F692801}"/>
            </a:ext>
          </a:extLst>
        </xdr:cNvPr>
        <xdr:cNvSpPr/>
      </xdr:nvSpPr>
      <xdr:spPr>
        <a:xfrm>
          <a:off x="7355603" y="4744301"/>
          <a:ext cx="3747613" cy="1604211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0000"/>
              </a:solidFill>
            </a:rPr>
            <a:t>Line#1 : Total loss 120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mins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-Closed OT-Wait chassis 120mins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rgbClr val="FF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Line#3 : Total loss </a:t>
          </a: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mins</a:t>
          </a:r>
          <a:endParaRPr lang="en-US" b="1">
            <a:solidFill>
              <a:srgbClr val="FF0000"/>
            </a:solidFill>
            <a:effectLst/>
          </a:endParaRPr>
        </a:p>
        <a:p>
          <a:pPr algn="l"/>
          <a:r>
            <a:rPr lang="en-US" sz="1100">
              <a:solidFill>
                <a:srgbClr val="FF0000"/>
              </a:solidFill>
            </a:rPr>
            <a:t>-No major issue</a:t>
          </a:r>
          <a:endParaRPr lang="en-US">
            <a:effectLst/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215900</xdr:colOff>
      <xdr:row>0</xdr:row>
      <xdr:rowOff>44450</xdr:rowOff>
    </xdr:from>
    <xdr:to>
      <xdr:col>17</xdr:col>
      <xdr:colOff>69850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567B9-E297-4C45-A1EC-69788BCE2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292100</xdr:colOff>
      <xdr:row>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D9309D-C528-4C6B-A6D0-A1A882272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215900</xdr:colOff>
      <xdr:row>11</xdr:row>
      <xdr:rowOff>69850</xdr:rowOff>
    </xdr:from>
    <xdr:to>
      <xdr:col>17</xdr:col>
      <xdr:colOff>69596</xdr:colOff>
      <xdr:row>22</xdr:row>
      <xdr:rowOff>74168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51DCA5-62F5-451A-A992-2A4556172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133685</xdr:colOff>
      <xdr:row>26</xdr:row>
      <xdr:rowOff>0</xdr:rowOff>
    </xdr:from>
    <xdr:to>
      <xdr:col>16</xdr:col>
      <xdr:colOff>590551</xdr:colOff>
      <xdr:row>45</xdr:row>
      <xdr:rowOff>60157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5ABAF7-BE20-8190-918B-78E817B76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142874</xdr:colOff>
      <xdr:row>45</xdr:row>
      <xdr:rowOff>114300</xdr:rowOff>
    </xdr:from>
    <xdr:to>
      <xdr:col>15</xdr:col>
      <xdr:colOff>533400</xdr:colOff>
      <xdr:row>68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47DC00-7DBF-251C-7BDC-E0B51818C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215900</xdr:colOff>
      <xdr:row>0</xdr:row>
      <xdr:rowOff>44450</xdr:rowOff>
    </xdr:from>
    <xdr:to>
      <xdr:col>17</xdr:col>
      <xdr:colOff>69850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E1C33-AE6F-44CC-AAE2-6EBD2BCC8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292100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30D745-DD0E-47CE-A124-C58A30F6D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215900</xdr:colOff>
      <xdr:row>11</xdr:row>
      <xdr:rowOff>69850</xdr:rowOff>
    </xdr:from>
    <xdr:to>
      <xdr:col>17</xdr:col>
      <xdr:colOff>69596</xdr:colOff>
      <xdr:row>22</xdr:row>
      <xdr:rowOff>74168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097055-FB90-4FE0-81A3-ADFC69CED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158750</xdr:colOff>
      <xdr:row>25</xdr:row>
      <xdr:rowOff>187157</xdr:rowOff>
    </xdr:from>
    <xdr:to>
      <xdr:col>16</xdr:col>
      <xdr:colOff>590550</xdr:colOff>
      <xdr:row>45</xdr:row>
      <xdr:rowOff>180473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239B89-0C03-45A1-A2F6-D67F35A22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557295</xdr:colOff>
      <xdr:row>51</xdr:row>
      <xdr:rowOff>161090</xdr:rowOff>
    </xdr:from>
    <xdr:to>
      <xdr:col>15</xdr:col>
      <xdr:colOff>279400</xdr:colOff>
      <xdr:row>74</xdr:row>
      <xdr:rowOff>161089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35739B-4E4E-4E3B-932A-4186225C5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6</xdr:row>
      <xdr:rowOff>31750</xdr:rowOff>
    </xdr:from>
    <xdr:to>
      <xdr:col>15</xdr:col>
      <xdr:colOff>19050</xdr:colOff>
      <xdr:row>21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803E7A-045B-E871-DE9E-6FE55AFAA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15</xdr:col>
      <xdr:colOff>0</xdr:colOff>
      <xdr:row>42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664C1C-BFCA-4697-B1A2-B0EE46694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215900</xdr:colOff>
      <xdr:row>0</xdr:row>
      <xdr:rowOff>44450</xdr:rowOff>
    </xdr:from>
    <xdr:to>
      <xdr:col>17</xdr:col>
      <xdr:colOff>69850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059D8-6DC9-4E8F-BEB0-E3AA21353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292100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629E3-5A5B-408F-B744-75763839F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215900</xdr:colOff>
      <xdr:row>11</xdr:row>
      <xdr:rowOff>69850</xdr:rowOff>
    </xdr:from>
    <xdr:to>
      <xdr:col>17</xdr:col>
      <xdr:colOff>69596</xdr:colOff>
      <xdr:row>22</xdr:row>
      <xdr:rowOff>74168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BE2830-B33F-4227-8984-4303DB8F3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158750</xdr:colOff>
      <xdr:row>25</xdr:row>
      <xdr:rowOff>187157</xdr:rowOff>
    </xdr:from>
    <xdr:to>
      <xdr:col>16</xdr:col>
      <xdr:colOff>590550</xdr:colOff>
      <xdr:row>45</xdr:row>
      <xdr:rowOff>180473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FA05FE-7E9E-43CA-A9EB-4FB17FCAC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142874</xdr:colOff>
      <xdr:row>45</xdr:row>
      <xdr:rowOff>114300</xdr:rowOff>
    </xdr:from>
    <xdr:to>
      <xdr:col>15</xdr:col>
      <xdr:colOff>533400</xdr:colOff>
      <xdr:row>68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AD1C23-E7E2-475F-9CAD-35843418E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34924</xdr:colOff>
      <xdr:row>0</xdr:row>
      <xdr:rowOff>171450</xdr:rowOff>
    </xdr:from>
    <xdr:to>
      <xdr:col>10</xdr:col>
      <xdr:colOff>603249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04F83-0CF2-4FA6-BDED-47B9B9749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568325</xdr:colOff>
      <xdr:row>35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CD39EA-D6DA-4EA5-92B9-FB716A120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38</xdr:row>
      <xdr:rowOff>0</xdr:rowOff>
    </xdr:from>
    <xdr:to>
      <xdr:col>10</xdr:col>
      <xdr:colOff>568325</xdr:colOff>
      <xdr:row>54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3F6089-74A2-470A-B40B-D8451D47C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73024</xdr:colOff>
      <xdr:row>1</xdr:row>
      <xdr:rowOff>25400</xdr:rowOff>
    </xdr:from>
    <xdr:to>
      <xdr:col>15</xdr:col>
      <xdr:colOff>25400</xdr:colOff>
      <xdr:row>21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5DD0E-D614-4B06-874D-BB5BD9151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23</xdr:row>
      <xdr:rowOff>0</xdr:rowOff>
    </xdr:from>
    <xdr:to>
      <xdr:col>11</xdr:col>
      <xdr:colOff>514350</xdr:colOff>
      <xdr:row>37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4098BE-DEE4-4BC8-839E-14BE31E1F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34924</xdr:colOff>
      <xdr:row>0</xdr:row>
      <xdr:rowOff>171450</xdr:rowOff>
    </xdr:from>
    <xdr:to>
      <xdr:col>10</xdr:col>
      <xdr:colOff>603249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9BBCE-EEF1-FA45-F2E3-1FDFD7B76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568325</xdr:colOff>
      <xdr:row>35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DAF803-3FB3-405F-8376-D63CF5734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38</xdr:row>
      <xdr:rowOff>0</xdr:rowOff>
    </xdr:from>
    <xdr:to>
      <xdr:col>10</xdr:col>
      <xdr:colOff>568325</xdr:colOff>
      <xdr:row>54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C1177D-71B2-4F7E-91B4-CE1016405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73024</xdr:colOff>
      <xdr:row>1</xdr:row>
      <xdr:rowOff>25400</xdr:rowOff>
    </xdr:from>
    <xdr:to>
      <xdr:col>15</xdr:col>
      <xdr:colOff>25400</xdr:colOff>
      <xdr:row>21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FB6C9E-600A-BE53-8817-F77F915C5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79374</xdr:colOff>
      <xdr:row>22</xdr:row>
      <xdr:rowOff>57150</xdr:rowOff>
    </xdr:from>
    <xdr:to>
      <xdr:col>10</xdr:col>
      <xdr:colOff>292100</xdr:colOff>
      <xdr:row>37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0006BE-E2D7-F5EF-B26D-4192FB416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44E3-8273-4454-A8C9-7D67E534F429}">
  <sheetPr>
    <tabColor theme="7" tint="0.39997558519241921"/>
  </sheetPr>
  <dimension ref="A1:AF22"/>
  <sheetViews>
    <sheetView showGridLines="0" zoomScale="70" zoomScaleNormal="70" workbookViewId="0">
      <pane xSplit="1" ySplit="3" topLeftCell="B9" activePane="bottomRight" state="frozen"/>
      <selection pane="topRight" activeCell="B16" sqref="B16:P16"/>
      <selection pane="bottomLeft" activeCell="B16" sqref="B16:P16"/>
      <selection pane="bottomRight" activeCell="B16" sqref="B16:P16"/>
    </sheetView>
  </sheetViews>
  <sheetFormatPr defaultRowHeight="18.5" x14ac:dyDescent="0.45"/>
  <cols>
    <col min="1" max="1" width="35.1796875" style="5" customWidth="1"/>
    <col min="2" max="31" width="6.1796875" customWidth="1"/>
    <col min="32" max="32" width="12.453125" customWidth="1"/>
  </cols>
  <sheetData>
    <row r="1" spans="1:32" ht="21.65" customHeight="1" thickBot="1" x14ac:dyDescent="0.4">
      <c r="A1" s="195" t="s">
        <v>0</v>
      </c>
    </row>
    <row r="2" spans="1:32" ht="19" thickBot="1" x14ac:dyDescent="0.5">
      <c r="A2" s="195"/>
      <c r="B2" s="197">
        <v>45962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9"/>
      <c r="AF2" s="200" t="s">
        <v>1</v>
      </c>
    </row>
    <row r="3" spans="1:32" ht="19" customHeight="1" thickBot="1" x14ac:dyDescent="0.4">
      <c r="A3" s="196"/>
      <c r="B3" s="1">
        <v>1</v>
      </c>
      <c r="C3" s="2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2">
        <v>8</v>
      </c>
      <c r="J3" s="2">
        <v>9</v>
      </c>
      <c r="K3" s="3">
        <v>10</v>
      </c>
      <c r="L3" s="3">
        <v>11</v>
      </c>
      <c r="M3" s="3">
        <v>12</v>
      </c>
      <c r="N3" s="3">
        <v>13</v>
      </c>
      <c r="O3" s="16">
        <v>14</v>
      </c>
      <c r="P3" s="2">
        <v>15</v>
      </c>
      <c r="Q3" s="2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2">
        <v>22</v>
      </c>
      <c r="X3" s="2">
        <v>23</v>
      </c>
      <c r="Y3" s="3">
        <v>24</v>
      </c>
      <c r="Z3" s="3">
        <v>25</v>
      </c>
      <c r="AA3" s="3">
        <v>26</v>
      </c>
      <c r="AB3" s="3">
        <v>27</v>
      </c>
      <c r="AC3" s="3">
        <v>28</v>
      </c>
      <c r="AD3" s="2">
        <v>29</v>
      </c>
      <c r="AE3" s="4">
        <v>30</v>
      </c>
      <c r="AF3" s="201"/>
    </row>
    <row r="4" spans="1:32" x14ac:dyDescent="0.45">
      <c r="A4" s="6" t="s">
        <v>2</v>
      </c>
      <c r="B4" s="11"/>
      <c r="C4" s="12"/>
      <c r="D4" s="13"/>
      <c r="E4" s="13"/>
      <c r="F4" s="13"/>
      <c r="G4" s="13"/>
      <c r="H4" s="13"/>
      <c r="I4" s="12"/>
      <c r="J4" s="12"/>
      <c r="K4" s="13"/>
      <c r="L4" s="13"/>
      <c r="M4" s="13"/>
      <c r="N4" s="13"/>
      <c r="O4" s="15" t="s">
        <v>3</v>
      </c>
      <c r="P4" s="12"/>
      <c r="Q4" s="12"/>
      <c r="R4" s="13"/>
      <c r="S4" s="13"/>
      <c r="T4" s="13"/>
      <c r="U4" s="13"/>
      <c r="V4" s="13"/>
      <c r="W4" s="12"/>
      <c r="X4" s="12"/>
      <c r="Y4" s="13"/>
      <c r="Z4" s="13"/>
      <c r="AA4" s="13"/>
      <c r="AB4" s="13"/>
      <c r="AC4" s="13"/>
      <c r="AD4" s="12"/>
      <c r="AE4" s="14"/>
      <c r="AF4" s="21"/>
    </row>
    <row r="5" spans="1:32" x14ac:dyDescent="0.45">
      <c r="A5" s="19" t="s">
        <v>4</v>
      </c>
      <c r="B5" s="75">
        <v>600</v>
      </c>
      <c r="C5" s="76"/>
      <c r="D5" s="77">
        <v>600</v>
      </c>
      <c r="E5" s="77">
        <v>600</v>
      </c>
      <c r="F5" s="77">
        <v>600</v>
      </c>
      <c r="G5" s="77">
        <v>600</v>
      </c>
      <c r="H5" s="77">
        <v>480</v>
      </c>
      <c r="I5" s="76"/>
      <c r="J5" s="76"/>
      <c r="K5" s="77">
        <v>600</v>
      </c>
      <c r="L5" s="77"/>
      <c r="M5" s="77">
        <v>600</v>
      </c>
      <c r="N5" s="77">
        <v>600</v>
      </c>
      <c r="O5" s="77">
        <v>480</v>
      </c>
      <c r="P5" s="76">
        <v>600</v>
      </c>
      <c r="Q5" s="76"/>
      <c r="R5" s="77">
        <v>600</v>
      </c>
      <c r="S5" s="77">
        <v>600</v>
      </c>
      <c r="T5" s="77">
        <v>600</v>
      </c>
      <c r="U5" s="77">
        <v>600</v>
      </c>
      <c r="V5" s="77">
        <v>480</v>
      </c>
      <c r="W5" s="76">
        <v>600</v>
      </c>
      <c r="X5" s="76"/>
      <c r="Y5" s="77">
        <v>600</v>
      </c>
      <c r="Z5" s="77">
        <v>600</v>
      </c>
      <c r="AA5" s="77">
        <v>600</v>
      </c>
      <c r="AB5" s="77">
        <v>600</v>
      </c>
      <c r="AC5" s="77">
        <v>480</v>
      </c>
      <c r="AD5" s="76">
        <v>600</v>
      </c>
      <c r="AE5" s="78"/>
      <c r="AF5" s="20">
        <f>SUM(B5:AE5)</f>
        <v>13320</v>
      </c>
    </row>
    <row r="6" spans="1:32" x14ac:dyDescent="0.45">
      <c r="A6" s="7" t="s">
        <v>5</v>
      </c>
      <c r="B6" s="22">
        <v>35</v>
      </c>
      <c r="C6" s="23"/>
      <c r="D6" s="24">
        <v>35</v>
      </c>
      <c r="E6" s="24">
        <v>35</v>
      </c>
      <c r="F6" s="24">
        <v>35</v>
      </c>
      <c r="G6" s="24">
        <v>35</v>
      </c>
      <c r="H6" s="24">
        <v>28</v>
      </c>
      <c r="I6" s="23"/>
      <c r="J6" s="23"/>
      <c r="K6" s="24">
        <v>35</v>
      </c>
      <c r="L6" s="25"/>
      <c r="M6" s="24">
        <v>35</v>
      </c>
      <c r="N6" s="24">
        <v>35</v>
      </c>
      <c r="O6" s="24">
        <v>24</v>
      </c>
      <c r="P6" s="23">
        <v>30</v>
      </c>
      <c r="Q6" s="23"/>
      <c r="R6" s="24">
        <v>30</v>
      </c>
      <c r="S6" s="24">
        <v>30</v>
      </c>
      <c r="T6" s="24">
        <v>30</v>
      </c>
      <c r="U6" s="24">
        <v>30</v>
      </c>
      <c r="V6" s="24">
        <v>24</v>
      </c>
      <c r="W6" s="23">
        <v>30</v>
      </c>
      <c r="X6" s="23"/>
      <c r="Y6" s="24">
        <v>30</v>
      </c>
      <c r="Z6" s="24">
        <v>30</v>
      </c>
      <c r="AA6" s="24">
        <v>30</v>
      </c>
      <c r="AB6" s="24">
        <v>30</v>
      </c>
      <c r="AC6" s="24">
        <v>24</v>
      </c>
      <c r="AD6" s="23">
        <v>30</v>
      </c>
      <c r="AE6" s="26"/>
      <c r="AF6" s="17">
        <f>SUM(B6:AE6)</f>
        <v>710</v>
      </c>
    </row>
    <row r="7" spans="1:32" x14ac:dyDescent="0.45">
      <c r="A7" s="7" t="s">
        <v>6</v>
      </c>
      <c r="B7" s="22">
        <v>17</v>
      </c>
      <c r="C7" s="23"/>
      <c r="D7" s="24">
        <v>22</v>
      </c>
      <c r="E7" s="24">
        <v>11</v>
      </c>
      <c r="F7" s="24">
        <v>19</v>
      </c>
      <c r="G7" s="24">
        <v>30</v>
      </c>
      <c r="H7" s="24">
        <v>12</v>
      </c>
      <c r="I7" s="23"/>
      <c r="J7" s="23"/>
      <c r="K7" s="24">
        <v>11</v>
      </c>
      <c r="L7" s="24">
        <v>9</v>
      </c>
      <c r="M7" s="24">
        <v>29</v>
      </c>
      <c r="N7" s="24">
        <v>24</v>
      </c>
      <c r="O7" s="24">
        <v>24</v>
      </c>
      <c r="P7" s="23">
        <v>16</v>
      </c>
      <c r="Q7" s="23"/>
      <c r="R7" s="24">
        <v>18</v>
      </c>
      <c r="S7" s="24">
        <v>18</v>
      </c>
      <c r="T7" s="24">
        <v>11</v>
      </c>
      <c r="U7" s="24">
        <v>18</v>
      </c>
      <c r="V7" s="24">
        <v>17</v>
      </c>
      <c r="W7" s="23">
        <v>23</v>
      </c>
      <c r="X7" s="23"/>
      <c r="Y7" s="24">
        <v>23</v>
      </c>
      <c r="Z7" s="24">
        <v>13</v>
      </c>
      <c r="AA7" s="24">
        <v>23</v>
      </c>
      <c r="AB7" s="24">
        <v>31</v>
      </c>
      <c r="AC7" s="24">
        <v>13</v>
      </c>
      <c r="AD7" s="23">
        <v>24</v>
      </c>
      <c r="AE7" s="26"/>
      <c r="AF7" s="17">
        <f>SUM(B7:AE7)</f>
        <v>456</v>
      </c>
    </row>
    <row r="8" spans="1:32" ht="19" thickBot="1" x14ac:dyDescent="0.5">
      <c r="A8" s="39" t="s">
        <v>7</v>
      </c>
      <c r="B8" s="35">
        <f>B7-B6</f>
        <v>-18</v>
      </c>
      <c r="C8" s="36">
        <f t="shared" ref="C8" si="0">C7-C6</f>
        <v>0</v>
      </c>
      <c r="D8" s="37">
        <f t="shared" ref="D8" si="1">D7-D6</f>
        <v>-13</v>
      </c>
      <c r="E8" s="37">
        <f t="shared" ref="E8" si="2">E7-E6</f>
        <v>-24</v>
      </c>
      <c r="F8" s="37">
        <f t="shared" ref="F8" si="3">F7-F6</f>
        <v>-16</v>
      </c>
      <c r="G8" s="37">
        <f t="shared" ref="G8" si="4">G7-G6</f>
        <v>-5</v>
      </c>
      <c r="H8" s="37">
        <f t="shared" ref="H8" si="5">H7-H6</f>
        <v>-16</v>
      </c>
      <c r="I8" s="36">
        <f t="shared" ref="I8" si="6">I7-I6</f>
        <v>0</v>
      </c>
      <c r="J8" s="36">
        <f t="shared" ref="J8" si="7">J7-J6</f>
        <v>0</v>
      </c>
      <c r="K8" s="37">
        <f t="shared" ref="K8" si="8">K7-K6</f>
        <v>-24</v>
      </c>
      <c r="L8" s="37">
        <f t="shared" ref="L8" si="9">L7-L6</f>
        <v>9</v>
      </c>
      <c r="M8" s="37">
        <f t="shared" ref="M8" si="10">M7-M6</f>
        <v>-6</v>
      </c>
      <c r="N8" s="37">
        <f t="shared" ref="N8" si="11">N7-N6</f>
        <v>-11</v>
      </c>
      <c r="O8" s="37">
        <f t="shared" ref="O8" si="12">O7-O6</f>
        <v>0</v>
      </c>
      <c r="P8" s="36">
        <f t="shared" ref="P8" si="13">P7-P6</f>
        <v>-14</v>
      </c>
      <c r="Q8" s="36">
        <f t="shared" ref="Q8" si="14">Q7-Q6</f>
        <v>0</v>
      </c>
      <c r="R8" s="37">
        <f t="shared" ref="R8" si="15">R7-R6</f>
        <v>-12</v>
      </c>
      <c r="S8" s="37">
        <f t="shared" ref="S8" si="16">S7-S6</f>
        <v>-12</v>
      </c>
      <c r="T8" s="37">
        <f t="shared" ref="T8" si="17">T7-T6</f>
        <v>-19</v>
      </c>
      <c r="U8" s="37">
        <f t="shared" ref="U8" si="18">U7-U6</f>
        <v>-12</v>
      </c>
      <c r="V8" s="37">
        <f t="shared" ref="V8" si="19">V7-V6</f>
        <v>-7</v>
      </c>
      <c r="W8" s="36">
        <f t="shared" ref="W8" si="20">W7-W6</f>
        <v>-7</v>
      </c>
      <c r="X8" s="36">
        <f t="shared" ref="X8" si="21">X7-X6</f>
        <v>0</v>
      </c>
      <c r="Y8" s="37">
        <f t="shared" ref="Y8" si="22">Y7-Y6</f>
        <v>-7</v>
      </c>
      <c r="Z8" s="37">
        <f t="shared" ref="Z8" si="23">Z7-Z6</f>
        <v>-17</v>
      </c>
      <c r="AA8" s="37">
        <f t="shared" ref="AA8" si="24">AA7-AA6</f>
        <v>-7</v>
      </c>
      <c r="AB8" s="37">
        <f t="shared" ref="AB8" si="25">AB7-AB6</f>
        <v>1</v>
      </c>
      <c r="AC8" s="37">
        <f t="shared" ref="AC8" si="26">AC7-AC6</f>
        <v>-11</v>
      </c>
      <c r="AD8" s="36">
        <f t="shared" ref="AD8" si="27">AD7-AD6</f>
        <v>-6</v>
      </c>
      <c r="AE8" s="38">
        <f t="shared" ref="AE8" si="28">AE7-AE6</f>
        <v>0</v>
      </c>
      <c r="AF8" s="18">
        <f>AF7-AF6</f>
        <v>-254</v>
      </c>
    </row>
    <row r="9" spans="1:32" x14ac:dyDescent="0.45">
      <c r="A9" s="6" t="s">
        <v>8</v>
      </c>
      <c r="B9" s="40"/>
      <c r="C9" s="41"/>
      <c r="D9" s="42"/>
      <c r="E9" s="42"/>
      <c r="F9" s="42"/>
      <c r="G9" s="42"/>
      <c r="H9" s="42"/>
      <c r="I9" s="41"/>
      <c r="J9" s="41"/>
      <c r="K9" s="42"/>
      <c r="L9" s="42"/>
      <c r="M9" s="42"/>
      <c r="N9" s="42"/>
      <c r="O9" s="42"/>
      <c r="P9" s="41"/>
      <c r="Q9" s="41"/>
      <c r="R9" s="42"/>
      <c r="S9" s="42"/>
      <c r="T9" s="42"/>
      <c r="U9" s="42"/>
      <c r="V9" s="42"/>
      <c r="W9" s="41"/>
      <c r="X9" s="41"/>
      <c r="Y9" s="42"/>
      <c r="Z9" s="42"/>
      <c r="AA9" s="42"/>
      <c r="AB9" s="42"/>
      <c r="AC9" s="42"/>
      <c r="AD9" s="41"/>
      <c r="AE9" s="43"/>
      <c r="AF9" s="44"/>
    </row>
    <row r="10" spans="1:32" x14ac:dyDescent="0.45">
      <c r="A10" s="19" t="s">
        <v>4</v>
      </c>
      <c r="B10" s="75">
        <v>600</v>
      </c>
      <c r="C10" s="76"/>
      <c r="D10" s="77">
        <v>600</v>
      </c>
      <c r="E10" s="77">
        <v>600</v>
      </c>
      <c r="F10" s="77">
        <v>600</v>
      </c>
      <c r="G10" s="77">
        <v>600</v>
      </c>
      <c r="H10" s="77">
        <v>480</v>
      </c>
      <c r="I10" s="76"/>
      <c r="J10" s="76"/>
      <c r="K10" s="77">
        <v>600</v>
      </c>
      <c r="L10" s="77"/>
      <c r="M10" s="77">
        <v>600</v>
      </c>
      <c r="N10" s="77">
        <v>600</v>
      </c>
      <c r="O10" s="77">
        <v>480</v>
      </c>
      <c r="P10" s="76">
        <v>600</v>
      </c>
      <c r="Q10" s="76"/>
      <c r="R10" s="77">
        <v>600</v>
      </c>
      <c r="S10" s="77">
        <v>600</v>
      </c>
      <c r="T10" s="77">
        <v>600</v>
      </c>
      <c r="U10" s="77">
        <v>600</v>
      </c>
      <c r="V10" s="77">
        <v>480</v>
      </c>
      <c r="W10" s="76">
        <v>600</v>
      </c>
      <c r="X10" s="76"/>
      <c r="Y10" s="77">
        <v>600</v>
      </c>
      <c r="Z10" s="77">
        <v>600</v>
      </c>
      <c r="AA10" s="77">
        <v>600</v>
      </c>
      <c r="AB10" s="77">
        <v>600</v>
      </c>
      <c r="AC10" s="77">
        <v>480</v>
      </c>
      <c r="AD10" s="76">
        <v>600</v>
      </c>
      <c r="AE10" s="78"/>
      <c r="AF10" s="20">
        <f>SUM(B10:AE10)</f>
        <v>13320</v>
      </c>
    </row>
    <row r="11" spans="1:32" x14ac:dyDescent="0.45">
      <c r="A11" s="7" t="s">
        <v>5</v>
      </c>
      <c r="B11" s="22">
        <v>14</v>
      </c>
      <c r="C11" s="23"/>
      <c r="D11" s="24">
        <v>14</v>
      </c>
      <c r="E11" s="24">
        <v>14</v>
      </c>
      <c r="F11" s="24">
        <v>14</v>
      </c>
      <c r="G11" s="24">
        <v>14</v>
      </c>
      <c r="H11" s="24">
        <v>10</v>
      </c>
      <c r="I11" s="23"/>
      <c r="J11" s="23"/>
      <c r="K11" s="24">
        <v>14</v>
      </c>
      <c r="L11" s="25"/>
      <c r="M11" s="24">
        <v>14</v>
      </c>
      <c r="N11" s="24">
        <v>14</v>
      </c>
      <c r="O11" s="24">
        <v>10</v>
      </c>
      <c r="P11" s="23">
        <v>14</v>
      </c>
      <c r="Q11" s="23"/>
      <c r="R11" s="24">
        <v>14</v>
      </c>
      <c r="S11" s="24">
        <v>14</v>
      </c>
      <c r="T11" s="24">
        <v>14</v>
      </c>
      <c r="U11" s="24">
        <v>14</v>
      </c>
      <c r="V11" s="24">
        <v>10</v>
      </c>
      <c r="W11" s="23">
        <v>14</v>
      </c>
      <c r="X11" s="23"/>
      <c r="Y11" s="24">
        <v>14</v>
      </c>
      <c r="Z11" s="24">
        <v>14</v>
      </c>
      <c r="AA11" s="24">
        <v>14</v>
      </c>
      <c r="AB11" s="24">
        <v>14</v>
      </c>
      <c r="AC11" s="24">
        <v>10</v>
      </c>
      <c r="AD11" s="23">
        <v>14</v>
      </c>
      <c r="AE11" s="26"/>
      <c r="AF11" s="17">
        <f>SUM(B11:AE11)</f>
        <v>306</v>
      </c>
    </row>
    <row r="12" spans="1:32" x14ac:dyDescent="0.45">
      <c r="A12" s="7" t="s">
        <v>6</v>
      </c>
      <c r="B12" s="22">
        <v>4</v>
      </c>
      <c r="C12" s="23"/>
      <c r="D12" s="24">
        <v>10</v>
      </c>
      <c r="E12" s="24">
        <v>14</v>
      </c>
      <c r="F12" s="24">
        <v>11</v>
      </c>
      <c r="G12" s="24">
        <v>14</v>
      </c>
      <c r="H12" s="24">
        <v>14</v>
      </c>
      <c r="I12" s="23"/>
      <c r="J12" s="23"/>
      <c r="K12" s="24">
        <v>13</v>
      </c>
      <c r="L12" s="24">
        <v>0</v>
      </c>
      <c r="M12" s="24">
        <v>14</v>
      </c>
      <c r="N12" s="24">
        <v>11</v>
      </c>
      <c r="O12" s="24">
        <v>10</v>
      </c>
      <c r="P12" s="23">
        <v>13</v>
      </c>
      <c r="Q12" s="23"/>
      <c r="R12" s="24">
        <v>14</v>
      </c>
      <c r="S12" s="24">
        <v>11</v>
      </c>
      <c r="T12" s="24">
        <v>6</v>
      </c>
      <c r="U12" s="24">
        <v>14</v>
      </c>
      <c r="V12" s="24">
        <v>11</v>
      </c>
      <c r="W12" s="23">
        <v>0</v>
      </c>
      <c r="X12" s="23"/>
      <c r="Y12" s="24">
        <v>7</v>
      </c>
      <c r="Z12" s="24">
        <v>12</v>
      </c>
      <c r="AA12" s="24">
        <v>11</v>
      </c>
      <c r="AB12" s="24">
        <v>10</v>
      </c>
      <c r="AC12" s="24">
        <v>4</v>
      </c>
      <c r="AD12" s="23">
        <v>7</v>
      </c>
      <c r="AE12" s="26"/>
      <c r="AF12" s="17">
        <f>SUM(B12:AE12)</f>
        <v>235</v>
      </c>
    </row>
    <row r="13" spans="1:32" ht="19" thickBot="1" x14ac:dyDescent="0.5">
      <c r="A13" s="39" t="s">
        <v>7</v>
      </c>
      <c r="B13" s="35">
        <f>B12-B11</f>
        <v>-10</v>
      </c>
      <c r="C13" s="36">
        <f t="shared" ref="C13" si="29">C12-C11</f>
        <v>0</v>
      </c>
      <c r="D13" s="37">
        <f t="shared" ref="D13" si="30">D12-D11</f>
        <v>-4</v>
      </c>
      <c r="E13" s="37">
        <f t="shared" ref="E13" si="31">E12-E11</f>
        <v>0</v>
      </c>
      <c r="F13" s="37">
        <f t="shared" ref="F13" si="32">F12-F11</f>
        <v>-3</v>
      </c>
      <c r="G13" s="37">
        <f t="shared" ref="G13" si="33">G12-G11</f>
        <v>0</v>
      </c>
      <c r="H13" s="37">
        <f t="shared" ref="H13" si="34">H12-H11</f>
        <v>4</v>
      </c>
      <c r="I13" s="36">
        <f t="shared" ref="I13" si="35">I12-I11</f>
        <v>0</v>
      </c>
      <c r="J13" s="36">
        <f t="shared" ref="J13" si="36">J12-J11</f>
        <v>0</v>
      </c>
      <c r="K13" s="37">
        <f t="shared" ref="K13" si="37">K12-K11</f>
        <v>-1</v>
      </c>
      <c r="L13" s="37">
        <f t="shared" ref="L13" si="38">L12-L11</f>
        <v>0</v>
      </c>
      <c r="M13" s="37">
        <f t="shared" ref="M13" si="39">M12-M11</f>
        <v>0</v>
      </c>
      <c r="N13" s="37">
        <f t="shared" ref="N13" si="40">N12-N11</f>
        <v>-3</v>
      </c>
      <c r="O13" s="37">
        <f t="shared" ref="O13" si="41">O12-O11</f>
        <v>0</v>
      </c>
      <c r="P13" s="36">
        <f t="shared" ref="P13" si="42">P12-P11</f>
        <v>-1</v>
      </c>
      <c r="Q13" s="36">
        <f t="shared" ref="Q13" si="43">Q12-Q11</f>
        <v>0</v>
      </c>
      <c r="R13" s="37">
        <f t="shared" ref="R13" si="44">R12-R11</f>
        <v>0</v>
      </c>
      <c r="S13" s="37">
        <f t="shared" ref="S13" si="45">S12-S11</f>
        <v>-3</v>
      </c>
      <c r="T13" s="37">
        <f t="shared" ref="T13" si="46">T12-T11</f>
        <v>-8</v>
      </c>
      <c r="U13" s="37">
        <f t="shared" ref="U13" si="47">U12-U11</f>
        <v>0</v>
      </c>
      <c r="V13" s="37">
        <f t="shared" ref="V13" si="48">V12-V11</f>
        <v>1</v>
      </c>
      <c r="W13" s="36">
        <f t="shared" ref="W13" si="49">W12-W11</f>
        <v>-14</v>
      </c>
      <c r="X13" s="36">
        <f t="shared" ref="X13" si="50">X12-X11</f>
        <v>0</v>
      </c>
      <c r="Y13" s="37">
        <f t="shared" ref="Y13" si="51">Y12-Y11</f>
        <v>-7</v>
      </c>
      <c r="Z13" s="37">
        <f t="shared" ref="Z13" si="52">Z12-Z11</f>
        <v>-2</v>
      </c>
      <c r="AA13" s="37">
        <f t="shared" ref="AA13" si="53">AA12-AA11</f>
        <v>-3</v>
      </c>
      <c r="AB13" s="37">
        <f t="shared" ref="AB13" si="54">AB12-AB11</f>
        <v>-4</v>
      </c>
      <c r="AC13" s="37">
        <f t="shared" ref="AC13" si="55">AC12-AC11</f>
        <v>-6</v>
      </c>
      <c r="AD13" s="36">
        <f t="shared" ref="AD13" si="56">AD12-AD11</f>
        <v>-7</v>
      </c>
      <c r="AE13" s="38">
        <f t="shared" ref="AE13" si="57">AE12-AE11</f>
        <v>0</v>
      </c>
      <c r="AF13" s="18">
        <f>AF12-AF11</f>
        <v>-71</v>
      </c>
    </row>
    <row r="14" spans="1:32" x14ac:dyDescent="0.45">
      <c r="A14" s="19"/>
      <c r="B14" s="27"/>
      <c r="C14" s="28"/>
      <c r="D14" s="29"/>
      <c r="E14" s="29"/>
      <c r="F14" s="29"/>
      <c r="G14" s="29"/>
      <c r="H14" s="29"/>
      <c r="I14" s="28"/>
      <c r="J14" s="28"/>
      <c r="K14" s="29"/>
      <c r="L14" s="29"/>
      <c r="M14" s="29"/>
      <c r="N14" s="29"/>
      <c r="O14" s="29"/>
      <c r="P14" s="28"/>
      <c r="Q14" s="28"/>
      <c r="R14" s="29"/>
      <c r="S14" s="29"/>
      <c r="T14" s="29"/>
      <c r="U14" s="29"/>
      <c r="V14" s="29"/>
      <c r="W14" s="28"/>
      <c r="X14" s="28"/>
      <c r="Y14" s="29"/>
      <c r="Z14" s="29"/>
      <c r="AA14" s="29"/>
      <c r="AB14" s="29"/>
      <c r="AC14" s="29"/>
      <c r="AD14" s="28"/>
      <c r="AE14" s="30"/>
      <c r="AF14" s="20"/>
    </row>
    <row r="15" spans="1:32" x14ac:dyDescent="0.45">
      <c r="A15" s="74" t="s">
        <v>9</v>
      </c>
      <c r="B15" s="27">
        <f>B5+B10</f>
        <v>1200</v>
      </c>
      <c r="C15" s="28"/>
      <c r="D15" s="29">
        <f t="shared" ref="D15:H15" si="58">D5+D10</f>
        <v>1200</v>
      </c>
      <c r="E15" s="29">
        <f t="shared" si="58"/>
        <v>1200</v>
      </c>
      <c r="F15" s="29">
        <f t="shared" si="58"/>
        <v>1200</v>
      </c>
      <c r="G15" s="29">
        <f t="shared" si="58"/>
        <v>1200</v>
      </c>
      <c r="H15" s="29">
        <f t="shared" si="58"/>
        <v>960</v>
      </c>
      <c r="I15" s="28"/>
      <c r="J15" s="28"/>
      <c r="K15" s="29">
        <f t="shared" ref="K15:P15" si="59">K5+K10</f>
        <v>1200</v>
      </c>
      <c r="L15" s="29">
        <f t="shared" si="59"/>
        <v>0</v>
      </c>
      <c r="M15" s="29">
        <f t="shared" si="59"/>
        <v>1200</v>
      </c>
      <c r="N15" s="29">
        <f t="shared" si="59"/>
        <v>1200</v>
      </c>
      <c r="O15" s="29">
        <f t="shared" si="59"/>
        <v>960</v>
      </c>
      <c r="P15" s="28">
        <f t="shared" si="59"/>
        <v>1200</v>
      </c>
      <c r="Q15" s="28"/>
      <c r="R15" s="29">
        <f t="shared" ref="R15:W15" si="60">R5+R10</f>
        <v>1200</v>
      </c>
      <c r="S15" s="29">
        <f t="shared" si="60"/>
        <v>1200</v>
      </c>
      <c r="T15" s="29">
        <f t="shared" si="60"/>
        <v>1200</v>
      </c>
      <c r="U15" s="29">
        <f t="shared" si="60"/>
        <v>1200</v>
      </c>
      <c r="V15" s="29">
        <f t="shared" si="60"/>
        <v>960</v>
      </c>
      <c r="W15" s="28">
        <f t="shared" si="60"/>
        <v>1200</v>
      </c>
      <c r="X15" s="28"/>
      <c r="Y15" s="29">
        <f t="shared" ref="Y15:AD15" si="61">Y5+Y10</f>
        <v>1200</v>
      </c>
      <c r="Z15" s="29">
        <f t="shared" si="61"/>
        <v>1200</v>
      </c>
      <c r="AA15" s="29">
        <f t="shared" si="61"/>
        <v>1200</v>
      </c>
      <c r="AB15" s="29">
        <f t="shared" si="61"/>
        <v>1200</v>
      </c>
      <c r="AC15" s="29">
        <f t="shared" si="61"/>
        <v>960</v>
      </c>
      <c r="AD15" s="28">
        <f t="shared" si="61"/>
        <v>1200</v>
      </c>
      <c r="AE15" s="30"/>
      <c r="AF15" s="20">
        <f>AF5+AF10</f>
        <v>26640</v>
      </c>
    </row>
    <row r="16" spans="1:32" x14ac:dyDescent="0.45">
      <c r="A16" s="8" t="s">
        <v>10</v>
      </c>
      <c r="B16" s="31">
        <f t="shared" ref="B16:AE16" si="62">SUM(B6,B11)</f>
        <v>49</v>
      </c>
      <c r="C16" s="32">
        <f t="shared" si="62"/>
        <v>0</v>
      </c>
      <c r="D16" s="33">
        <f t="shared" si="62"/>
        <v>49</v>
      </c>
      <c r="E16" s="33">
        <f t="shared" si="62"/>
        <v>49</v>
      </c>
      <c r="F16" s="33">
        <f t="shared" si="62"/>
        <v>49</v>
      </c>
      <c r="G16" s="33">
        <f t="shared" si="62"/>
        <v>49</v>
      </c>
      <c r="H16" s="33">
        <f t="shared" si="62"/>
        <v>38</v>
      </c>
      <c r="I16" s="32">
        <f t="shared" si="62"/>
        <v>0</v>
      </c>
      <c r="J16" s="32">
        <f t="shared" si="62"/>
        <v>0</v>
      </c>
      <c r="K16" s="33">
        <f t="shared" si="62"/>
        <v>49</v>
      </c>
      <c r="L16" s="33">
        <f t="shared" si="62"/>
        <v>0</v>
      </c>
      <c r="M16" s="33">
        <f t="shared" si="62"/>
        <v>49</v>
      </c>
      <c r="N16" s="33">
        <f t="shared" si="62"/>
        <v>49</v>
      </c>
      <c r="O16" s="33">
        <f t="shared" si="62"/>
        <v>34</v>
      </c>
      <c r="P16" s="32">
        <f t="shared" si="62"/>
        <v>44</v>
      </c>
      <c r="Q16" s="32">
        <f t="shared" si="62"/>
        <v>0</v>
      </c>
      <c r="R16" s="33">
        <f t="shared" si="62"/>
        <v>44</v>
      </c>
      <c r="S16" s="33">
        <f t="shared" si="62"/>
        <v>44</v>
      </c>
      <c r="T16" s="33">
        <f t="shared" si="62"/>
        <v>44</v>
      </c>
      <c r="U16" s="33">
        <f t="shared" si="62"/>
        <v>44</v>
      </c>
      <c r="V16" s="33">
        <f t="shared" si="62"/>
        <v>34</v>
      </c>
      <c r="W16" s="32">
        <f t="shared" si="62"/>
        <v>44</v>
      </c>
      <c r="X16" s="32">
        <f t="shared" si="62"/>
        <v>0</v>
      </c>
      <c r="Y16" s="33">
        <f t="shared" si="62"/>
        <v>44</v>
      </c>
      <c r="Z16" s="33">
        <f t="shared" si="62"/>
        <v>44</v>
      </c>
      <c r="AA16" s="33">
        <f t="shared" si="62"/>
        <v>44</v>
      </c>
      <c r="AB16" s="33">
        <f t="shared" si="62"/>
        <v>44</v>
      </c>
      <c r="AC16" s="33">
        <f t="shared" si="62"/>
        <v>34</v>
      </c>
      <c r="AD16" s="32">
        <f t="shared" si="62"/>
        <v>44</v>
      </c>
      <c r="AE16" s="34">
        <f t="shared" si="62"/>
        <v>0</v>
      </c>
      <c r="AF16" s="17">
        <f>SUM(B16:AE16)</f>
        <v>1016</v>
      </c>
    </row>
    <row r="17" spans="1:32" x14ac:dyDescent="0.45">
      <c r="A17" s="8" t="s">
        <v>11</v>
      </c>
      <c r="B17" s="31">
        <f t="shared" ref="B17:AE17" si="63">SUM(B7,B12)</f>
        <v>21</v>
      </c>
      <c r="C17" s="32">
        <f t="shared" si="63"/>
        <v>0</v>
      </c>
      <c r="D17" s="33">
        <f t="shared" si="63"/>
        <v>32</v>
      </c>
      <c r="E17" s="33">
        <f t="shared" si="63"/>
        <v>25</v>
      </c>
      <c r="F17" s="33">
        <f t="shared" si="63"/>
        <v>30</v>
      </c>
      <c r="G17" s="33">
        <f t="shared" si="63"/>
        <v>44</v>
      </c>
      <c r="H17" s="33">
        <f t="shared" si="63"/>
        <v>26</v>
      </c>
      <c r="I17" s="32">
        <f t="shared" si="63"/>
        <v>0</v>
      </c>
      <c r="J17" s="32">
        <f t="shared" si="63"/>
        <v>0</v>
      </c>
      <c r="K17" s="33">
        <f t="shared" si="63"/>
        <v>24</v>
      </c>
      <c r="L17" s="33">
        <f t="shared" si="63"/>
        <v>9</v>
      </c>
      <c r="M17" s="33">
        <f t="shared" si="63"/>
        <v>43</v>
      </c>
      <c r="N17" s="33">
        <f t="shared" si="63"/>
        <v>35</v>
      </c>
      <c r="O17" s="33">
        <f t="shared" si="63"/>
        <v>34</v>
      </c>
      <c r="P17" s="32">
        <f t="shared" si="63"/>
        <v>29</v>
      </c>
      <c r="Q17" s="32">
        <f t="shared" si="63"/>
        <v>0</v>
      </c>
      <c r="R17" s="33">
        <f t="shared" si="63"/>
        <v>32</v>
      </c>
      <c r="S17" s="33">
        <f t="shared" si="63"/>
        <v>29</v>
      </c>
      <c r="T17" s="33">
        <f t="shared" si="63"/>
        <v>17</v>
      </c>
      <c r="U17" s="33">
        <f t="shared" si="63"/>
        <v>32</v>
      </c>
      <c r="V17" s="33">
        <f t="shared" si="63"/>
        <v>28</v>
      </c>
      <c r="W17" s="32">
        <f t="shared" si="63"/>
        <v>23</v>
      </c>
      <c r="X17" s="32">
        <f t="shared" si="63"/>
        <v>0</v>
      </c>
      <c r="Y17" s="33">
        <f t="shared" si="63"/>
        <v>30</v>
      </c>
      <c r="Z17" s="33">
        <f t="shared" si="63"/>
        <v>25</v>
      </c>
      <c r="AA17" s="33">
        <f t="shared" si="63"/>
        <v>34</v>
      </c>
      <c r="AB17" s="33">
        <f t="shared" si="63"/>
        <v>41</v>
      </c>
      <c r="AC17" s="33">
        <f t="shared" si="63"/>
        <v>17</v>
      </c>
      <c r="AD17" s="32">
        <f t="shared" si="63"/>
        <v>31</v>
      </c>
      <c r="AE17" s="34">
        <f t="shared" si="63"/>
        <v>0</v>
      </c>
      <c r="AF17" s="17">
        <f>SUM(B17:AE17)</f>
        <v>691</v>
      </c>
    </row>
    <row r="18" spans="1:32" ht="19" thickBot="1" x14ac:dyDescent="0.5">
      <c r="A18" s="9" t="s">
        <v>7</v>
      </c>
      <c r="B18" s="35">
        <f>B17-B16</f>
        <v>-28</v>
      </c>
      <c r="C18" s="36">
        <f t="shared" ref="C18:AE18" si="64">C17-C16</f>
        <v>0</v>
      </c>
      <c r="D18" s="37">
        <f t="shared" si="64"/>
        <v>-17</v>
      </c>
      <c r="E18" s="37">
        <f t="shared" si="64"/>
        <v>-24</v>
      </c>
      <c r="F18" s="37">
        <f t="shared" si="64"/>
        <v>-19</v>
      </c>
      <c r="G18" s="37">
        <f t="shared" si="64"/>
        <v>-5</v>
      </c>
      <c r="H18" s="37">
        <f t="shared" si="64"/>
        <v>-12</v>
      </c>
      <c r="I18" s="36">
        <f t="shared" si="64"/>
        <v>0</v>
      </c>
      <c r="J18" s="36">
        <f t="shared" si="64"/>
        <v>0</v>
      </c>
      <c r="K18" s="37">
        <f t="shared" si="64"/>
        <v>-25</v>
      </c>
      <c r="L18" s="37">
        <f t="shared" si="64"/>
        <v>9</v>
      </c>
      <c r="M18" s="37">
        <f t="shared" si="64"/>
        <v>-6</v>
      </c>
      <c r="N18" s="37">
        <f t="shared" si="64"/>
        <v>-14</v>
      </c>
      <c r="O18" s="37">
        <f t="shared" si="64"/>
        <v>0</v>
      </c>
      <c r="P18" s="36">
        <f t="shared" si="64"/>
        <v>-15</v>
      </c>
      <c r="Q18" s="36">
        <f t="shared" si="64"/>
        <v>0</v>
      </c>
      <c r="R18" s="37">
        <f t="shared" si="64"/>
        <v>-12</v>
      </c>
      <c r="S18" s="37">
        <f t="shared" si="64"/>
        <v>-15</v>
      </c>
      <c r="T18" s="37">
        <f t="shared" si="64"/>
        <v>-27</v>
      </c>
      <c r="U18" s="37">
        <f t="shared" si="64"/>
        <v>-12</v>
      </c>
      <c r="V18" s="37">
        <f t="shared" si="64"/>
        <v>-6</v>
      </c>
      <c r="W18" s="36">
        <f t="shared" si="64"/>
        <v>-21</v>
      </c>
      <c r="X18" s="36">
        <f t="shared" si="64"/>
        <v>0</v>
      </c>
      <c r="Y18" s="37">
        <f t="shared" si="64"/>
        <v>-14</v>
      </c>
      <c r="Z18" s="37">
        <f t="shared" si="64"/>
        <v>-19</v>
      </c>
      <c r="AA18" s="37">
        <f t="shared" si="64"/>
        <v>-10</v>
      </c>
      <c r="AB18" s="37">
        <f t="shared" si="64"/>
        <v>-3</v>
      </c>
      <c r="AC18" s="37">
        <f t="shared" si="64"/>
        <v>-17</v>
      </c>
      <c r="AD18" s="36">
        <f t="shared" si="64"/>
        <v>-13</v>
      </c>
      <c r="AE18" s="38">
        <f t="shared" si="64"/>
        <v>0</v>
      </c>
      <c r="AF18" s="18">
        <f>AF17-AF16</f>
        <v>-325</v>
      </c>
    </row>
    <row r="22" spans="1:32" ht="19" thickBot="1" x14ac:dyDescent="0.5">
      <c r="AF22" s="10"/>
    </row>
  </sheetData>
  <mergeCells count="3">
    <mergeCell ref="A1:A3"/>
    <mergeCell ref="AF2:AF3"/>
    <mergeCell ref="B2:AE2"/>
  </mergeCells>
  <conditionalFormatting sqref="B17 B16:AE16">
    <cfRule type="cellIs" dxfId="180" priority="10" operator="greaterThan">
      <formula>0</formula>
    </cfRule>
  </conditionalFormatting>
  <conditionalFormatting sqref="B6:AE6">
    <cfRule type="cellIs" dxfId="179" priority="12" operator="greaterThan">
      <formula>0</formula>
    </cfRule>
  </conditionalFormatting>
  <conditionalFormatting sqref="B9:AE9 B11:AE11">
    <cfRule type="cellIs" dxfId="178" priority="6" operator="greaterThan">
      <formula>0</formula>
    </cfRule>
  </conditionalFormatting>
  <conditionalFormatting sqref="B17:AE17">
    <cfRule type="cellIs" dxfId="177" priority="8" operator="greaterThan">
      <formula>0</formula>
    </cfRule>
  </conditionalFormatting>
  <conditionalFormatting sqref="B8:AF8">
    <cfRule type="cellIs" dxfId="176" priority="2" operator="lessThan">
      <formula>0</formula>
    </cfRule>
  </conditionalFormatting>
  <conditionalFormatting sqref="B13:AF13">
    <cfRule type="cellIs" dxfId="175" priority="1" operator="lessThan">
      <formula>0</formula>
    </cfRule>
  </conditionalFormatting>
  <conditionalFormatting sqref="B18:AF18">
    <cfRule type="cellIs" dxfId="174" priority="9" operator="lessThan">
      <formula>0</formula>
    </cfRule>
  </conditionalFormatting>
  <conditionalFormatting sqref="AF22">
    <cfRule type="cellIs" dxfId="173" priority="5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5EAE-2588-4F07-BE83-9B4D0373CE90}">
  <sheetPr>
    <tabColor theme="7" tint="0.39997558519241921"/>
  </sheetPr>
  <dimension ref="A1:AH22"/>
  <sheetViews>
    <sheetView showGridLines="0" zoomScale="70" zoomScaleNormal="70" workbookViewId="0">
      <pane xSplit="1" ySplit="3" topLeftCell="B12" activePane="bottomRight" state="frozen"/>
      <selection pane="topRight" activeCell="B16" sqref="B16:P16"/>
      <selection pane="bottomLeft" activeCell="B16" sqref="B16:P16"/>
      <selection pane="bottomRight" activeCell="X13" sqref="X13"/>
    </sheetView>
  </sheetViews>
  <sheetFormatPr defaultRowHeight="18.5" x14ac:dyDescent="0.45"/>
  <cols>
    <col min="1" max="1" width="31.26953125" style="5" customWidth="1"/>
    <col min="2" max="32" width="6.1796875" customWidth="1"/>
    <col min="33" max="33" width="10.26953125" customWidth="1"/>
    <col min="34" max="34" width="8.7265625" style="83"/>
  </cols>
  <sheetData>
    <row r="1" spans="1:34" ht="21.65" customHeight="1" thickBot="1" x14ac:dyDescent="0.4">
      <c r="A1" s="195" t="s">
        <v>0</v>
      </c>
    </row>
    <row r="2" spans="1:34" ht="19" thickBot="1" x14ac:dyDescent="0.5">
      <c r="A2" s="195"/>
      <c r="B2" s="197">
        <v>45992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9"/>
      <c r="AG2" s="200" t="s">
        <v>1</v>
      </c>
    </row>
    <row r="3" spans="1:34" ht="19" customHeight="1" thickBot="1" x14ac:dyDescent="0.4">
      <c r="A3" s="196"/>
      <c r="B3" s="45">
        <v>1</v>
      </c>
      <c r="C3" s="3">
        <v>2</v>
      </c>
      <c r="D3" s="3">
        <v>3</v>
      </c>
      <c r="E3" s="3">
        <v>4</v>
      </c>
      <c r="F3" s="59">
        <v>5</v>
      </c>
      <c r="G3" s="59">
        <v>6</v>
      </c>
      <c r="H3" s="59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59">
        <v>13</v>
      </c>
      <c r="O3" s="59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59">
        <v>20</v>
      </c>
      <c r="V3" s="59">
        <v>21</v>
      </c>
      <c r="W3" s="3">
        <v>22</v>
      </c>
      <c r="X3" s="3">
        <v>23</v>
      </c>
      <c r="Y3" s="3">
        <v>24</v>
      </c>
      <c r="Z3" s="3">
        <v>25</v>
      </c>
      <c r="AA3" s="3">
        <v>26</v>
      </c>
      <c r="AB3" s="59">
        <v>27</v>
      </c>
      <c r="AC3" s="59">
        <v>28</v>
      </c>
      <c r="AD3" s="3">
        <v>29</v>
      </c>
      <c r="AE3" s="46">
        <v>30</v>
      </c>
      <c r="AF3" s="67">
        <v>31</v>
      </c>
      <c r="AG3" s="201"/>
    </row>
    <row r="4" spans="1:34" x14ac:dyDescent="0.45">
      <c r="A4" s="6" t="s">
        <v>2</v>
      </c>
      <c r="B4" s="47"/>
      <c r="C4" s="13"/>
      <c r="D4" s="13"/>
      <c r="E4" s="13"/>
      <c r="F4" s="60"/>
      <c r="G4" s="60"/>
      <c r="H4" s="60"/>
      <c r="I4" s="13"/>
      <c r="J4" s="13"/>
      <c r="K4" s="13"/>
      <c r="L4" s="13"/>
      <c r="M4" s="13"/>
      <c r="N4" s="60"/>
      <c r="O4" s="66"/>
      <c r="P4" s="13"/>
      <c r="Q4" s="13"/>
      <c r="R4" s="13"/>
      <c r="S4" s="13"/>
      <c r="T4" s="13"/>
      <c r="U4" s="60"/>
      <c r="V4" s="60"/>
      <c r="W4" s="13"/>
      <c r="X4" s="13"/>
      <c r="Y4" s="13"/>
      <c r="Z4" s="13"/>
      <c r="AA4" s="13"/>
      <c r="AB4" s="60"/>
      <c r="AC4" s="60"/>
      <c r="AD4" s="13"/>
      <c r="AE4" s="48"/>
      <c r="AF4" s="68"/>
      <c r="AG4" s="21"/>
    </row>
    <row r="5" spans="1:34" x14ac:dyDescent="0.45">
      <c r="A5" s="19" t="s">
        <v>12</v>
      </c>
      <c r="B5" s="79">
        <v>600</v>
      </c>
      <c r="C5" s="77">
        <v>600</v>
      </c>
      <c r="D5" s="77">
        <v>600</v>
      </c>
      <c r="E5" s="77">
        <v>600</v>
      </c>
      <c r="F5" s="80">
        <v>480</v>
      </c>
      <c r="G5" s="80">
        <v>480</v>
      </c>
      <c r="H5" s="80"/>
      <c r="I5" s="77">
        <v>600</v>
      </c>
      <c r="J5" s="77">
        <v>600</v>
      </c>
      <c r="K5" s="77">
        <v>540</v>
      </c>
      <c r="L5" s="77">
        <v>600</v>
      </c>
      <c r="M5" s="77">
        <v>600</v>
      </c>
      <c r="N5" s="80">
        <v>600</v>
      </c>
      <c r="O5" s="80">
        <v>600</v>
      </c>
      <c r="P5" s="77">
        <v>600</v>
      </c>
      <c r="Q5" s="77">
        <v>480</v>
      </c>
      <c r="R5" s="77">
        <v>600</v>
      </c>
      <c r="S5" s="77">
        <v>600</v>
      </c>
      <c r="T5" s="77">
        <v>600</v>
      </c>
      <c r="U5" s="80">
        <v>600</v>
      </c>
      <c r="V5" s="80"/>
      <c r="W5" s="77">
        <v>600</v>
      </c>
      <c r="X5" s="77">
        <v>600</v>
      </c>
      <c r="Y5" s="77">
        <v>480</v>
      </c>
      <c r="Z5" s="77">
        <v>660</v>
      </c>
      <c r="AA5" s="77">
        <v>660</v>
      </c>
      <c r="AB5" s="80">
        <v>480</v>
      </c>
      <c r="AC5" s="80"/>
      <c r="AD5" s="77"/>
      <c r="AE5" s="81"/>
      <c r="AF5" s="82"/>
      <c r="AG5" s="20">
        <f>SUM(B5:AF5)</f>
        <v>14460</v>
      </c>
    </row>
    <row r="6" spans="1:34" x14ac:dyDescent="0.45">
      <c r="A6" s="7" t="s">
        <v>5</v>
      </c>
      <c r="B6" s="49">
        <v>30</v>
      </c>
      <c r="C6" s="24">
        <v>30</v>
      </c>
      <c r="D6" s="24">
        <v>30</v>
      </c>
      <c r="E6" s="24">
        <v>30</v>
      </c>
      <c r="F6" s="61">
        <v>25</v>
      </c>
      <c r="G6" s="61">
        <v>25</v>
      </c>
      <c r="H6" s="61"/>
      <c r="I6" s="24">
        <v>30</v>
      </c>
      <c r="J6" s="24">
        <v>30</v>
      </c>
      <c r="K6" s="24">
        <v>30</v>
      </c>
      <c r="L6" s="24">
        <v>30</v>
      </c>
      <c r="M6" s="24">
        <v>30</v>
      </c>
      <c r="N6" s="61">
        <v>30</v>
      </c>
      <c r="O6" s="61">
        <v>30</v>
      </c>
      <c r="P6" s="24">
        <v>30</v>
      </c>
      <c r="Q6" s="24">
        <v>30</v>
      </c>
      <c r="R6" s="24">
        <v>30</v>
      </c>
      <c r="S6" s="24">
        <v>30</v>
      </c>
      <c r="T6" s="24">
        <v>30</v>
      </c>
      <c r="U6" s="61">
        <v>30</v>
      </c>
      <c r="V6" s="61"/>
      <c r="W6" s="24">
        <v>30</v>
      </c>
      <c r="X6" s="24">
        <v>30</v>
      </c>
      <c r="Y6" s="24">
        <v>30</v>
      </c>
      <c r="Z6" s="24">
        <v>30</v>
      </c>
      <c r="AA6" s="24">
        <v>24</v>
      </c>
      <c r="AB6" s="61">
        <v>0</v>
      </c>
      <c r="AC6" s="61"/>
      <c r="AD6" s="24"/>
      <c r="AE6" s="50"/>
      <c r="AF6" s="69"/>
      <c r="AG6" s="17">
        <f>SUM(B6:AF6)</f>
        <v>704</v>
      </c>
    </row>
    <row r="7" spans="1:34" x14ac:dyDescent="0.45">
      <c r="A7" s="7" t="s">
        <v>6</v>
      </c>
      <c r="B7" s="49">
        <v>31</v>
      </c>
      <c r="C7" s="24">
        <v>14</v>
      </c>
      <c r="D7" s="24">
        <v>31</v>
      </c>
      <c r="E7" s="25">
        <v>18</v>
      </c>
      <c r="F7" s="25">
        <v>8</v>
      </c>
      <c r="G7" s="25">
        <v>7</v>
      </c>
      <c r="H7" s="61"/>
      <c r="I7" s="24">
        <v>31</v>
      </c>
      <c r="J7" s="24">
        <v>31</v>
      </c>
      <c r="K7" s="24">
        <v>26</v>
      </c>
      <c r="L7" s="24">
        <v>16</v>
      </c>
      <c r="M7" s="24">
        <v>31</v>
      </c>
      <c r="N7" s="61">
        <v>31</v>
      </c>
      <c r="O7" s="61">
        <v>26</v>
      </c>
      <c r="P7" s="24">
        <v>31</v>
      </c>
      <c r="Q7" s="24">
        <v>8</v>
      </c>
      <c r="R7" s="24">
        <v>33</v>
      </c>
      <c r="S7" s="24">
        <v>12</v>
      </c>
      <c r="T7" s="24">
        <v>22</v>
      </c>
      <c r="U7" s="24">
        <v>27</v>
      </c>
      <c r="V7" s="61"/>
      <c r="W7" s="24">
        <v>23</v>
      </c>
      <c r="X7" s="24">
        <v>24</v>
      </c>
      <c r="Y7" s="24">
        <v>16</v>
      </c>
      <c r="Z7" s="24">
        <v>15</v>
      </c>
      <c r="AA7" s="24">
        <v>45</v>
      </c>
      <c r="AB7" s="24">
        <v>28</v>
      </c>
      <c r="AC7" s="61"/>
      <c r="AD7" s="24"/>
      <c r="AE7" s="50"/>
      <c r="AF7" s="69"/>
      <c r="AG7" s="17">
        <f>SUM(B7:AF7)</f>
        <v>585</v>
      </c>
    </row>
    <row r="8" spans="1:34" ht="19" thickBot="1" x14ac:dyDescent="0.5">
      <c r="A8" s="39" t="s">
        <v>7</v>
      </c>
      <c r="B8" s="51">
        <f>B7-B6</f>
        <v>1</v>
      </c>
      <c r="C8" s="52">
        <f t="shared" ref="C8:AF8" si="0">C7-C6</f>
        <v>-16</v>
      </c>
      <c r="D8" s="52">
        <f t="shared" si="0"/>
        <v>1</v>
      </c>
      <c r="E8" s="52">
        <f t="shared" si="0"/>
        <v>-12</v>
      </c>
      <c r="F8" s="62">
        <f t="shared" si="0"/>
        <v>-17</v>
      </c>
      <c r="G8" s="62">
        <f t="shared" si="0"/>
        <v>-18</v>
      </c>
      <c r="H8" s="62">
        <f t="shared" si="0"/>
        <v>0</v>
      </c>
      <c r="I8" s="52">
        <f t="shared" si="0"/>
        <v>1</v>
      </c>
      <c r="J8" s="52">
        <f t="shared" si="0"/>
        <v>1</v>
      </c>
      <c r="K8" s="52">
        <f t="shared" si="0"/>
        <v>-4</v>
      </c>
      <c r="L8" s="52">
        <f t="shared" si="0"/>
        <v>-14</v>
      </c>
      <c r="M8" s="52">
        <f t="shared" si="0"/>
        <v>1</v>
      </c>
      <c r="N8" s="62">
        <f t="shared" si="0"/>
        <v>1</v>
      </c>
      <c r="O8" s="62">
        <f t="shared" si="0"/>
        <v>-4</v>
      </c>
      <c r="P8" s="52">
        <f t="shared" si="0"/>
        <v>1</v>
      </c>
      <c r="Q8" s="52">
        <f t="shared" si="0"/>
        <v>-22</v>
      </c>
      <c r="R8" s="52">
        <f t="shared" si="0"/>
        <v>3</v>
      </c>
      <c r="S8" s="52">
        <f t="shared" si="0"/>
        <v>-18</v>
      </c>
      <c r="T8" s="52">
        <f t="shared" si="0"/>
        <v>-8</v>
      </c>
      <c r="U8" s="62">
        <f t="shared" si="0"/>
        <v>-3</v>
      </c>
      <c r="V8" s="62">
        <f t="shared" si="0"/>
        <v>0</v>
      </c>
      <c r="W8" s="52">
        <f t="shared" si="0"/>
        <v>-7</v>
      </c>
      <c r="X8" s="52">
        <f t="shared" si="0"/>
        <v>-6</v>
      </c>
      <c r="Y8" s="52">
        <f t="shared" si="0"/>
        <v>-14</v>
      </c>
      <c r="Z8" s="52">
        <f t="shared" si="0"/>
        <v>-15</v>
      </c>
      <c r="AA8" s="52">
        <f t="shared" si="0"/>
        <v>21</v>
      </c>
      <c r="AB8" s="62">
        <f t="shared" si="0"/>
        <v>28</v>
      </c>
      <c r="AC8" s="62">
        <f t="shared" si="0"/>
        <v>0</v>
      </c>
      <c r="AD8" s="52">
        <f t="shared" si="0"/>
        <v>0</v>
      </c>
      <c r="AE8" s="52">
        <f t="shared" si="0"/>
        <v>0</v>
      </c>
      <c r="AF8" s="70">
        <f t="shared" si="0"/>
        <v>0</v>
      </c>
      <c r="AG8" s="18">
        <f>AG7-AG6</f>
        <v>-119</v>
      </c>
      <c r="AH8" s="84">
        <f>AG7/AG6</f>
        <v>0.83096590909090906</v>
      </c>
    </row>
    <row r="9" spans="1:34" x14ac:dyDescent="0.45">
      <c r="A9" s="6" t="s">
        <v>8</v>
      </c>
      <c r="B9" s="53"/>
      <c r="C9" s="42"/>
      <c r="D9" s="42"/>
      <c r="E9" s="42"/>
      <c r="F9" s="63"/>
      <c r="G9" s="63"/>
      <c r="H9" s="63"/>
      <c r="I9" s="42"/>
      <c r="J9" s="42"/>
      <c r="K9" s="42"/>
      <c r="L9" s="42"/>
      <c r="M9" s="42"/>
      <c r="N9" s="63"/>
      <c r="O9" s="63"/>
      <c r="P9" s="42"/>
      <c r="Q9" s="42"/>
      <c r="R9" s="42"/>
      <c r="S9" s="42"/>
      <c r="T9" s="42"/>
      <c r="U9" s="63"/>
      <c r="V9" s="63"/>
      <c r="W9" s="42"/>
      <c r="X9" s="42"/>
      <c r="Y9" s="42"/>
      <c r="Z9" s="42"/>
      <c r="AA9" s="42"/>
      <c r="AB9" s="63"/>
      <c r="AC9" s="63"/>
      <c r="AD9" s="42"/>
      <c r="AE9" s="54"/>
      <c r="AF9" s="71"/>
      <c r="AG9" s="44"/>
    </row>
    <row r="10" spans="1:34" x14ac:dyDescent="0.45">
      <c r="A10" s="19" t="s">
        <v>12</v>
      </c>
      <c r="B10" s="79">
        <v>600</v>
      </c>
      <c r="C10" s="77">
        <v>600</v>
      </c>
      <c r="D10" s="77">
        <v>600</v>
      </c>
      <c r="E10" s="77">
        <v>600</v>
      </c>
      <c r="F10" s="80">
        <v>480</v>
      </c>
      <c r="G10" s="80">
        <v>480</v>
      </c>
      <c r="H10" s="64"/>
      <c r="I10" s="29">
        <v>480</v>
      </c>
      <c r="J10" s="29">
        <v>600</v>
      </c>
      <c r="K10" s="29">
        <v>600</v>
      </c>
      <c r="L10" s="29">
        <v>600</v>
      </c>
      <c r="M10" s="29">
        <v>600</v>
      </c>
      <c r="N10" s="64">
        <v>600</v>
      </c>
      <c r="O10" s="64">
        <v>600</v>
      </c>
      <c r="P10" s="29">
        <v>600</v>
      </c>
      <c r="Q10" s="29">
        <v>480</v>
      </c>
      <c r="R10" s="29">
        <v>600</v>
      </c>
      <c r="S10" s="29">
        <v>600</v>
      </c>
      <c r="T10" s="29">
        <v>600</v>
      </c>
      <c r="U10" s="64">
        <v>600</v>
      </c>
      <c r="V10" s="64"/>
      <c r="W10" s="29">
        <v>600</v>
      </c>
      <c r="X10" s="29">
        <v>540</v>
      </c>
      <c r="Y10" s="29">
        <v>480</v>
      </c>
      <c r="Z10" s="29">
        <v>600</v>
      </c>
      <c r="AA10" s="29">
        <v>0</v>
      </c>
      <c r="AB10" s="64">
        <v>0</v>
      </c>
      <c r="AC10" s="64"/>
      <c r="AD10" s="29"/>
      <c r="AE10" s="56"/>
      <c r="AF10" s="72"/>
      <c r="AG10" s="20">
        <f>SUM(B10:AF10)</f>
        <v>13140</v>
      </c>
    </row>
    <row r="11" spans="1:34" x14ac:dyDescent="0.45">
      <c r="A11" s="7" t="s">
        <v>5</v>
      </c>
      <c r="B11" s="49">
        <v>14</v>
      </c>
      <c r="C11" s="24">
        <v>14</v>
      </c>
      <c r="D11" s="24">
        <v>14</v>
      </c>
      <c r="E11" s="24">
        <v>14</v>
      </c>
      <c r="F11" s="61">
        <v>11</v>
      </c>
      <c r="G11" s="61">
        <v>11</v>
      </c>
      <c r="H11" s="61"/>
      <c r="I11" s="24">
        <v>14</v>
      </c>
      <c r="J11" s="24">
        <v>14</v>
      </c>
      <c r="K11" s="24">
        <v>14</v>
      </c>
      <c r="L11" s="24">
        <v>14</v>
      </c>
      <c r="M11" s="24">
        <v>14</v>
      </c>
      <c r="N11" s="61">
        <v>14</v>
      </c>
      <c r="O11" s="61">
        <v>14</v>
      </c>
      <c r="P11" s="24">
        <v>14</v>
      </c>
      <c r="Q11" s="24">
        <v>14</v>
      </c>
      <c r="R11" s="24">
        <v>14</v>
      </c>
      <c r="S11" s="24">
        <v>14</v>
      </c>
      <c r="T11" s="24">
        <v>14</v>
      </c>
      <c r="U11" s="61">
        <v>14</v>
      </c>
      <c r="V11" s="61"/>
      <c r="W11" s="24">
        <v>14</v>
      </c>
      <c r="X11" s="24">
        <v>14</v>
      </c>
      <c r="Y11" s="24">
        <v>14</v>
      </c>
      <c r="Z11" s="24">
        <v>14</v>
      </c>
      <c r="AA11" s="24">
        <v>11</v>
      </c>
      <c r="AB11" s="61">
        <v>0</v>
      </c>
      <c r="AC11" s="61"/>
      <c r="AD11" s="24"/>
      <c r="AE11" s="50"/>
      <c r="AF11" s="69"/>
      <c r="AG11" s="17">
        <f>SUM(B11:AF11)</f>
        <v>327</v>
      </c>
    </row>
    <row r="12" spans="1:34" x14ac:dyDescent="0.45">
      <c r="A12" s="7" t="s">
        <v>6</v>
      </c>
      <c r="B12" s="49">
        <v>10</v>
      </c>
      <c r="C12" s="24">
        <v>10</v>
      </c>
      <c r="D12" s="25">
        <v>4</v>
      </c>
      <c r="E12" s="24">
        <v>13</v>
      </c>
      <c r="F12" s="25">
        <v>8</v>
      </c>
      <c r="G12" s="25">
        <v>4</v>
      </c>
      <c r="H12" s="61"/>
      <c r="I12" s="24">
        <v>0</v>
      </c>
      <c r="J12" s="24">
        <v>1</v>
      </c>
      <c r="K12" s="24">
        <v>14</v>
      </c>
      <c r="L12" s="24">
        <v>14</v>
      </c>
      <c r="M12" s="24">
        <v>14</v>
      </c>
      <c r="N12" s="61">
        <v>11</v>
      </c>
      <c r="O12" s="61">
        <v>8</v>
      </c>
      <c r="P12" s="24">
        <v>10</v>
      </c>
      <c r="Q12" s="24">
        <v>5</v>
      </c>
      <c r="R12" s="24">
        <v>10</v>
      </c>
      <c r="S12" s="24">
        <v>14</v>
      </c>
      <c r="T12" s="24">
        <v>14</v>
      </c>
      <c r="U12" s="24">
        <v>14</v>
      </c>
      <c r="V12" s="61"/>
      <c r="W12" s="24">
        <v>14</v>
      </c>
      <c r="X12" s="24">
        <v>10</v>
      </c>
      <c r="Y12" s="24">
        <v>5</v>
      </c>
      <c r="Z12" s="24">
        <v>13</v>
      </c>
      <c r="AA12" s="24">
        <v>0</v>
      </c>
      <c r="AB12" s="61">
        <v>0</v>
      </c>
      <c r="AC12" s="61"/>
      <c r="AD12" s="24"/>
      <c r="AE12" s="50"/>
      <c r="AF12" s="69"/>
      <c r="AG12" s="17">
        <f>SUM(B12:AF12)</f>
        <v>220</v>
      </c>
    </row>
    <row r="13" spans="1:34" ht="19" thickBot="1" x14ac:dyDescent="0.5">
      <c r="A13" s="39" t="s">
        <v>7</v>
      </c>
      <c r="B13" s="51">
        <f>B12-B11</f>
        <v>-4</v>
      </c>
      <c r="C13" s="52">
        <f t="shared" ref="C13:AF13" si="1">C12-C11</f>
        <v>-4</v>
      </c>
      <c r="D13" s="52">
        <f t="shared" si="1"/>
        <v>-10</v>
      </c>
      <c r="E13" s="52">
        <f t="shared" si="1"/>
        <v>-1</v>
      </c>
      <c r="F13" s="62">
        <f t="shared" si="1"/>
        <v>-3</v>
      </c>
      <c r="G13" s="62">
        <f t="shared" si="1"/>
        <v>-7</v>
      </c>
      <c r="H13" s="62">
        <f t="shared" si="1"/>
        <v>0</v>
      </c>
      <c r="I13" s="52">
        <f t="shared" si="1"/>
        <v>-14</v>
      </c>
      <c r="J13" s="52">
        <f t="shared" si="1"/>
        <v>-13</v>
      </c>
      <c r="K13" s="52">
        <f t="shared" si="1"/>
        <v>0</v>
      </c>
      <c r="L13" s="52">
        <f t="shared" si="1"/>
        <v>0</v>
      </c>
      <c r="M13" s="52">
        <f t="shared" si="1"/>
        <v>0</v>
      </c>
      <c r="N13" s="62">
        <f t="shared" si="1"/>
        <v>-3</v>
      </c>
      <c r="O13" s="62">
        <f t="shared" si="1"/>
        <v>-6</v>
      </c>
      <c r="P13" s="52">
        <f t="shared" si="1"/>
        <v>-4</v>
      </c>
      <c r="Q13" s="52">
        <f t="shared" si="1"/>
        <v>-9</v>
      </c>
      <c r="R13" s="52">
        <f t="shared" si="1"/>
        <v>-4</v>
      </c>
      <c r="S13" s="52">
        <f t="shared" si="1"/>
        <v>0</v>
      </c>
      <c r="T13" s="52">
        <f t="shared" si="1"/>
        <v>0</v>
      </c>
      <c r="U13" s="62">
        <f t="shared" si="1"/>
        <v>0</v>
      </c>
      <c r="V13" s="62">
        <f t="shared" si="1"/>
        <v>0</v>
      </c>
      <c r="W13" s="52">
        <f t="shared" si="1"/>
        <v>0</v>
      </c>
      <c r="X13" s="52">
        <f t="shared" si="1"/>
        <v>-4</v>
      </c>
      <c r="Y13" s="52">
        <f t="shared" si="1"/>
        <v>-9</v>
      </c>
      <c r="Z13" s="52">
        <f t="shared" si="1"/>
        <v>-1</v>
      </c>
      <c r="AA13" s="52">
        <f t="shared" si="1"/>
        <v>-11</v>
      </c>
      <c r="AB13" s="62">
        <f t="shared" si="1"/>
        <v>0</v>
      </c>
      <c r="AC13" s="62">
        <f t="shared" si="1"/>
        <v>0</v>
      </c>
      <c r="AD13" s="52">
        <f t="shared" si="1"/>
        <v>0</v>
      </c>
      <c r="AE13" s="52">
        <f t="shared" si="1"/>
        <v>0</v>
      </c>
      <c r="AF13" s="70">
        <f t="shared" si="1"/>
        <v>0</v>
      </c>
      <c r="AG13" s="18">
        <f>AG12-AG11</f>
        <v>-107</v>
      </c>
      <c r="AH13" s="84">
        <f>AG12/AG11</f>
        <v>0.672782874617737</v>
      </c>
    </row>
    <row r="14" spans="1:34" x14ac:dyDescent="0.45">
      <c r="A14" s="19"/>
      <c r="B14" s="55"/>
      <c r="C14" s="29"/>
      <c r="D14" s="29"/>
      <c r="E14" s="29"/>
      <c r="F14" s="64"/>
      <c r="G14" s="64"/>
      <c r="H14" s="64"/>
      <c r="I14" s="29"/>
      <c r="J14" s="29"/>
      <c r="K14" s="29"/>
      <c r="L14" s="29"/>
      <c r="M14" s="29"/>
      <c r="N14" s="64"/>
      <c r="O14" s="64"/>
      <c r="P14" s="29"/>
      <c r="Q14" s="29"/>
      <c r="R14" s="29"/>
      <c r="S14" s="29"/>
      <c r="T14" s="29"/>
      <c r="U14" s="64"/>
      <c r="V14" s="64"/>
      <c r="W14" s="29"/>
      <c r="X14" s="29"/>
      <c r="Y14" s="29"/>
      <c r="Z14" s="29"/>
      <c r="AA14" s="29"/>
      <c r="AB14" s="64"/>
      <c r="AC14" s="64"/>
      <c r="AD14" s="29"/>
      <c r="AE14" s="56"/>
      <c r="AF14" s="72"/>
      <c r="AG14" s="20"/>
    </row>
    <row r="15" spans="1:34" x14ac:dyDescent="0.45">
      <c r="A15" s="74" t="s">
        <v>13</v>
      </c>
      <c r="B15" s="55">
        <f t="shared" ref="B15:AB15" si="2">B5+B10</f>
        <v>1200</v>
      </c>
      <c r="C15" s="29">
        <f t="shared" si="2"/>
        <v>1200</v>
      </c>
      <c r="D15" s="29">
        <f t="shared" si="2"/>
        <v>1200</v>
      </c>
      <c r="E15" s="29">
        <f t="shared" si="2"/>
        <v>1200</v>
      </c>
      <c r="F15" s="64">
        <f t="shared" si="2"/>
        <v>960</v>
      </c>
      <c r="G15" s="64">
        <f t="shared" si="2"/>
        <v>960</v>
      </c>
      <c r="H15" s="64"/>
      <c r="I15" s="29">
        <f t="shared" si="2"/>
        <v>1080</v>
      </c>
      <c r="J15" s="29">
        <f t="shared" si="2"/>
        <v>1200</v>
      </c>
      <c r="K15" s="29">
        <f t="shared" si="2"/>
        <v>1140</v>
      </c>
      <c r="L15" s="29">
        <f t="shared" si="2"/>
        <v>1200</v>
      </c>
      <c r="M15" s="29">
        <f t="shared" si="2"/>
        <v>1200</v>
      </c>
      <c r="N15" s="64">
        <f t="shared" si="2"/>
        <v>1200</v>
      </c>
      <c r="O15" s="64">
        <f t="shared" si="2"/>
        <v>1200</v>
      </c>
      <c r="P15" s="29">
        <f t="shared" si="2"/>
        <v>1200</v>
      </c>
      <c r="Q15" s="29">
        <f t="shared" si="2"/>
        <v>960</v>
      </c>
      <c r="R15" s="29">
        <f t="shared" si="2"/>
        <v>1200</v>
      </c>
      <c r="S15" s="29">
        <f t="shared" si="2"/>
        <v>1200</v>
      </c>
      <c r="T15" s="29">
        <f t="shared" si="2"/>
        <v>1200</v>
      </c>
      <c r="U15" s="29">
        <f t="shared" si="2"/>
        <v>1200</v>
      </c>
      <c r="V15" s="64"/>
      <c r="W15" s="29">
        <f t="shared" si="2"/>
        <v>1200</v>
      </c>
      <c r="X15" s="29">
        <f t="shared" si="2"/>
        <v>1140</v>
      </c>
      <c r="Y15" s="29">
        <f t="shared" si="2"/>
        <v>960</v>
      </c>
      <c r="Z15" s="29">
        <f t="shared" si="2"/>
        <v>1260</v>
      </c>
      <c r="AA15" s="29">
        <f t="shared" si="2"/>
        <v>660</v>
      </c>
      <c r="AB15" s="29">
        <f t="shared" si="2"/>
        <v>480</v>
      </c>
      <c r="AC15" s="64"/>
      <c r="AD15" s="29"/>
      <c r="AE15" s="56"/>
      <c r="AF15" s="72"/>
      <c r="AG15" s="20">
        <f>SUM(B15:AF15)</f>
        <v>27600</v>
      </c>
    </row>
    <row r="16" spans="1:34" x14ac:dyDescent="0.45">
      <c r="A16" s="8" t="s">
        <v>10</v>
      </c>
      <c r="B16" s="57">
        <f t="shared" ref="B16:AF16" si="3">SUM(B6,B11)</f>
        <v>44</v>
      </c>
      <c r="C16" s="58">
        <f t="shared" si="3"/>
        <v>44</v>
      </c>
      <c r="D16" s="58">
        <f t="shared" si="3"/>
        <v>44</v>
      </c>
      <c r="E16" s="58">
        <f t="shared" si="3"/>
        <v>44</v>
      </c>
      <c r="F16" s="65">
        <f t="shared" si="3"/>
        <v>36</v>
      </c>
      <c r="G16" s="65">
        <f t="shared" si="3"/>
        <v>36</v>
      </c>
      <c r="H16" s="65">
        <f t="shared" si="3"/>
        <v>0</v>
      </c>
      <c r="I16" s="58">
        <f t="shared" si="3"/>
        <v>44</v>
      </c>
      <c r="J16" s="58">
        <f t="shared" si="3"/>
        <v>44</v>
      </c>
      <c r="K16" s="58">
        <f t="shared" si="3"/>
        <v>44</v>
      </c>
      <c r="L16" s="58">
        <f t="shared" si="3"/>
        <v>44</v>
      </c>
      <c r="M16" s="58">
        <f t="shared" si="3"/>
        <v>44</v>
      </c>
      <c r="N16" s="65">
        <f t="shared" si="3"/>
        <v>44</v>
      </c>
      <c r="O16" s="65">
        <f t="shared" si="3"/>
        <v>44</v>
      </c>
      <c r="P16" s="58">
        <f t="shared" si="3"/>
        <v>44</v>
      </c>
      <c r="Q16" s="58">
        <f t="shared" si="3"/>
        <v>44</v>
      </c>
      <c r="R16" s="58">
        <f t="shared" si="3"/>
        <v>44</v>
      </c>
      <c r="S16" s="58">
        <f t="shared" si="3"/>
        <v>44</v>
      </c>
      <c r="T16" s="58">
        <f t="shared" si="3"/>
        <v>44</v>
      </c>
      <c r="U16" s="65">
        <f t="shared" si="3"/>
        <v>44</v>
      </c>
      <c r="V16" s="65">
        <f t="shared" si="3"/>
        <v>0</v>
      </c>
      <c r="W16" s="58">
        <f t="shared" si="3"/>
        <v>44</v>
      </c>
      <c r="X16" s="58">
        <f t="shared" si="3"/>
        <v>44</v>
      </c>
      <c r="Y16" s="58">
        <f t="shared" si="3"/>
        <v>44</v>
      </c>
      <c r="Z16" s="58">
        <f t="shared" si="3"/>
        <v>44</v>
      </c>
      <c r="AA16" s="58">
        <f t="shared" si="3"/>
        <v>35</v>
      </c>
      <c r="AB16" s="65">
        <f t="shared" si="3"/>
        <v>0</v>
      </c>
      <c r="AC16" s="65">
        <f t="shared" si="3"/>
        <v>0</v>
      </c>
      <c r="AD16" s="58">
        <f t="shared" si="3"/>
        <v>0</v>
      </c>
      <c r="AE16" s="58">
        <f t="shared" si="3"/>
        <v>0</v>
      </c>
      <c r="AF16" s="73">
        <f t="shared" si="3"/>
        <v>0</v>
      </c>
      <c r="AG16" s="17">
        <f>SUM(B16:AF16)</f>
        <v>1031</v>
      </c>
    </row>
    <row r="17" spans="1:34" x14ac:dyDescent="0.45">
      <c r="A17" s="8" t="s">
        <v>11</v>
      </c>
      <c r="B17" s="57">
        <f t="shared" ref="B17:AD17" si="4">SUM(B7,B12)</f>
        <v>41</v>
      </c>
      <c r="C17" s="58">
        <f t="shared" si="4"/>
        <v>24</v>
      </c>
      <c r="D17" s="58">
        <f t="shared" si="4"/>
        <v>35</v>
      </c>
      <c r="E17" s="58">
        <f t="shared" si="4"/>
        <v>31</v>
      </c>
      <c r="F17" s="65">
        <f t="shared" si="4"/>
        <v>16</v>
      </c>
      <c r="G17" s="65">
        <f t="shared" si="4"/>
        <v>11</v>
      </c>
      <c r="H17" s="65">
        <f t="shared" si="4"/>
        <v>0</v>
      </c>
      <c r="I17" s="58">
        <f t="shared" si="4"/>
        <v>31</v>
      </c>
      <c r="J17" s="58">
        <f t="shared" si="4"/>
        <v>32</v>
      </c>
      <c r="K17" s="58">
        <f t="shared" si="4"/>
        <v>40</v>
      </c>
      <c r="L17" s="58">
        <f t="shared" si="4"/>
        <v>30</v>
      </c>
      <c r="M17" s="58">
        <f t="shared" si="4"/>
        <v>45</v>
      </c>
      <c r="N17" s="65">
        <f t="shared" si="4"/>
        <v>42</v>
      </c>
      <c r="O17" s="65">
        <f t="shared" si="4"/>
        <v>34</v>
      </c>
      <c r="P17" s="58">
        <f t="shared" si="4"/>
        <v>41</v>
      </c>
      <c r="Q17" s="58">
        <f t="shared" si="4"/>
        <v>13</v>
      </c>
      <c r="R17" s="58">
        <f t="shared" si="4"/>
        <v>43</v>
      </c>
      <c r="S17" s="58">
        <f t="shared" si="4"/>
        <v>26</v>
      </c>
      <c r="T17" s="58">
        <f t="shared" si="4"/>
        <v>36</v>
      </c>
      <c r="U17" s="65">
        <f t="shared" si="4"/>
        <v>41</v>
      </c>
      <c r="V17" s="65">
        <f t="shared" si="4"/>
        <v>0</v>
      </c>
      <c r="W17" s="58">
        <f t="shared" si="4"/>
        <v>37</v>
      </c>
      <c r="X17" s="58">
        <f t="shared" si="4"/>
        <v>34</v>
      </c>
      <c r="Y17" s="58">
        <f t="shared" si="4"/>
        <v>21</v>
      </c>
      <c r="Z17" s="58">
        <f t="shared" si="4"/>
        <v>28</v>
      </c>
      <c r="AA17" s="58">
        <f t="shared" si="4"/>
        <v>45</v>
      </c>
      <c r="AB17" s="65">
        <f t="shared" si="4"/>
        <v>28</v>
      </c>
      <c r="AC17" s="65">
        <f t="shared" si="4"/>
        <v>0</v>
      </c>
      <c r="AD17" s="58">
        <f t="shared" si="4"/>
        <v>0</v>
      </c>
      <c r="AE17" s="58">
        <f t="shared" ref="AE17" si="5">SUM(AE7,AE12)</f>
        <v>0</v>
      </c>
      <c r="AF17" s="73">
        <f>SUM(AF7,AF12)</f>
        <v>0</v>
      </c>
      <c r="AG17" s="17">
        <f>SUM(B17:AF17)</f>
        <v>805</v>
      </c>
    </row>
    <row r="18" spans="1:34" ht="19" thickBot="1" x14ac:dyDescent="0.5">
      <c r="A18" s="9" t="s">
        <v>7</v>
      </c>
      <c r="B18" s="51">
        <f>B17-B16</f>
        <v>-3</v>
      </c>
      <c r="C18" s="52">
        <f t="shared" ref="C18:AF18" si="6">C17-C16</f>
        <v>-20</v>
      </c>
      <c r="D18" s="52">
        <f t="shared" si="6"/>
        <v>-9</v>
      </c>
      <c r="E18" s="52">
        <f t="shared" si="6"/>
        <v>-13</v>
      </c>
      <c r="F18" s="62">
        <f t="shared" si="6"/>
        <v>-20</v>
      </c>
      <c r="G18" s="62">
        <f t="shared" si="6"/>
        <v>-25</v>
      </c>
      <c r="H18" s="62">
        <f t="shared" si="6"/>
        <v>0</v>
      </c>
      <c r="I18" s="52">
        <f t="shared" si="6"/>
        <v>-13</v>
      </c>
      <c r="J18" s="52">
        <f t="shared" si="6"/>
        <v>-12</v>
      </c>
      <c r="K18" s="52">
        <f t="shared" si="6"/>
        <v>-4</v>
      </c>
      <c r="L18" s="52">
        <f t="shared" si="6"/>
        <v>-14</v>
      </c>
      <c r="M18" s="52">
        <f t="shared" si="6"/>
        <v>1</v>
      </c>
      <c r="N18" s="62">
        <f t="shared" si="6"/>
        <v>-2</v>
      </c>
      <c r="O18" s="62">
        <f t="shared" si="6"/>
        <v>-10</v>
      </c>
      <c r="P18" s="52">
        <f t="shared" si="6"/>
        <v>-3</v>
      </c>
      <c r="Q18" s="52">
        <f t="shared" si="6"/>
        <v>-31</v>
      </c>
      <c r="R18" s="52">
        <f t="shared" si="6"/>
        <v>-1</v>
      </c>
      <c r="S18" s="52">
        <f t="shared" si="6"/>
        <v>-18</v>
      </c>
      <c r="T18" s="52">
        <f t="shared" si="6"/>
        <v>-8</v>
      </c>
      <c r="U18" s="62">
        <f t="shared" si="6"/>
        <v>-3</v>
      </c>
      <c r="V18" s="62">
        <f t="shared" si="6"/>
        <v>0</v>
      </c>
      <c r="W18" s="52">
        <f t="shared" si="6"/>
        <v>-7</v>
      </c>
      <c r="X18" s="52">
        <f t="shared" si="6"/>
        <v>-10</v>
      </c>
      <c r="Y18" s="52">
        <f t="shared" si="6"/>
        <v>-23</v>
      </c>
      <c r="Z18" s="52">
        <f t="shared" si="6"/>
        <v>-16</v>
      </c>
      <c r="AA18" s="52">
        <f t="shared" si="6"/>
        <v>10</v>
      </c>
      <c r="AB18" s="62">
        <f t="shared" si="6"/>
        <v>28</v>
      </c>
      <c r="AC18" s="62">
        <f t="shared" si="6"/>
        <v>0</v>
      </c>
      <c r="AD18" s="52">
        <f t="shared" si="6"/>
        <v>0</v>
      </c>
      <c r="AE18" s="52">
        <f>AE17-AE16</f>
        <v>0</v>
      </c>
      <c r="AF18" s="70">
        <f t="shared" si="6"/>
        <v>0</v>
      </c>
      <c r="AG18" s="18">
        <f>AG17-AG16</f>
        <v>-226</v>
      </c>
      <c r="AH18" s="84">
        <f>AG17/AG16</f>
        <v>0.78079534432589714</v>
      </c>
    </row>
    <row r="22" spans="1:34" ht="19" thickBot="1" x14ac:dyDescent="0.5">
      <c r="AG22" s="10"/>
    </row>
  </sheetData>
  <mergeCells count="3">
    <mergeCell ref="A1:A3"/>
    <mergeCell ref="B2:AF2"/>
    <mergeCell ref="AG2:AG3"/>
  </mergeCells>
  <conditionalFormatting sqref="B17 B16:AF16">
    <cfRule type="cellIs" dxfId="172" priority="25" operator="greaterThan">
      <formula>0</formula>
    </cfRule>
  </conditionalFormatting>
  <conditionalFormatting sqref="B12:J12">
    <cfRule type="cellIs" dxfId="171" priority="15" operator="lessThan">
      <formula>14</formula>
    </cfRule>
  </conditionalFormatting>
  <conditionalFormatting sqref="B7:M7">
    <cfRule type="cellIs" dxfId="170" priority="16" operator="greaterThan">
      <formula>30</formula>
    </cfRule>
    <cfRule type="cellIs" dxfId="169" priority="17" operator="lessThan">
      <formula>31</formula>
    </cfRule>
  </conditionalFormatting>
  <conditionalFormatting sqref="B12:M12">
    <cfRule type="cellIs" dxfId="168" priority="11" operator="greaterThan">
      <formula>13</formula>
    </cfRule>
  </conditionalFormatting>
  <conditionalFormatting sqref="B17:AE17">
    <cfRule type="cellIs" dxfId="167" priority="18" operator="lessThan">
      <formula>44</formula>
    </cfRule>
  </conditionalFormatting>
  <conditionalFormatting sqref="B6:AF6">
    <cfRule type="cellIs" dxfId="166" priority="26" operator="greaterThan">
      <formula>0</formula>
    </cfRule>
  </conditionalFormatting>
  <conditionalFormatting sqref="B9:AF9 AF10 B11:AF11">
    <cfRule type="cellIs" dxfId="165" priority="22" operator="greaterThan">
      <formula>0</formula>
    </cfRule>
  </conditionalFormatting>
  <conditionalFormatting sqref="B17:AF17">
    <cfRule type="cellIs" dxfId="164" priority="23" operator="greaterThan">
      <formula>0</formula>
    </cfRule>
  </conditionalFormatting>
  <conditionalFormatting sqref="B8:AG8">
    <cfRule type="cellIs" dxfId="163" priority="20" operator="lessThan">
      <formula>0</formula>
    </cfRule>
  </conditionalFormatting>
  <conditionalFormatting sqref="B13:AG13">
    <cfRule type="cellIs" dxfId="162" priority="19" operator="lessThan">
      <formula>0</formula>
    </cfRule>
  </conditionalFormatting>
  <conditionalFormatting sqref="B18:AG18">
    <cfRule type="cellIs" dxfId="161" priority="24" operator="lessThan">
      <formula>0</formula>
    </cfRule>
  </conditionalFormatting>
  <conditionalFormatting sqref="K12:M12">
    <cfRule type="cellIs" dxfId="160" priority="12" operator="greaterThan">
      <formula>30</formula>
    </cfRule>
    <cfRule type="cellIs" dxfId="159" priority="13" operator="lessThan">
      <formula>31</formula>
    </cfRule>
  </conditionalFormatting>
  <conditionalFormatting sqref="P7:U7">
    <cfRule type="cellIs" dxfId="158" priority="9" operator="greaterThan">
      <formula>30</formula>
    </cfRule>
    <cfRule type="cellIs" dxfId="157" priority="10" operator="lessThan">
      <formula>31</formula>
    </cfRule>
  </conditionalFormatting>
  <conditionalFormatting sqref="P12:U12">
    <cfRule type="cellIs" dxfId="156" priority="6" operator="greaterThan">
      <formula>13</formula>
    </cfRule>
    <cfRule type="cellIs" dxfId="155" priority="7" operator="greaterThan">
      <formula>30</formula>
    </cfRule>
    <cfRule type="cellIs" dxfId="154" priority="8" operator="lessThan">
      <formula>31</formula>
    </cfRule>
  </conditionalFormatting>
  <conditionalFormatting sqref="W12:Z12">
    <cfRule type="cellIs" dxfId="153" priority="1" operator="greaterThan">
      <formula>13</formula>
    </cfRule>
    <cfRule type="cellIs" dxfId="152" priority="2" operator="greaterThan">
      <formula>30</formula>
    </cfRule>
    <cfRule type="cellIs" dxfId="151" priority="3" operator="lessThan">
      <formula>31</formula>
    </cfRule>
  </conditionalFormatting>
  <conditionalFormatting sqref="W7:AB7">
    <cfRule type="cellIs" dxfId="150" priority="4" operator="greaterThan">
      <formula>30</formula>
    </cfRule>
    <cfRule type="cellIs" dxfId="149" priority="5" operator="lessThan">
      <formula>31</formula>
    </cfRule>
  </conditionalFormatting>
  <conditionalFormatting sqref="AG22">
    <cfRule type="cellIs" dxfId="148" priority="2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7626-0585-414B-BEA7-16474343F86C}">
  <sheetPr>
    <tabColor rgb="FF00B050"/>
  </sheetPr>
  <dimension ref="A1:AH22"/>
  <sheetViews>
    <sheetView showGridLines="0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1" sqref="F11:G11"/>
    </sheetView>
  </sheetViews>
  <sheetFormatPr defaultRowHeight="18.5" x14ac:dyDescent="0.45"/>
  <cols>
    <col min="1" max="1" width="31.26953125" style="5" customWidth="1"/>
    <col min="2" max="32" width="6.1796875" customWidth="1"/>
    <col min="33" max="33" width="10.26953125" customWidth="1"/>
    <col min="34" max="34" width="8.7265625" style="83"/>
  </cols>
  <sheetData>
    <row r="1" spans="1:34" ht="21.65" customHeight="1" thickBot="1" x14ac:dyDescent="0.4">
      <c r="A1" s="195" t="s">
        <v>0</v>
      </c>
    </row>
    <row r="2" spans="1:34" ht="19" thickBot="1" x14ac:dyDescent="0.5">
      <c r="A2" s="195"/>
      <c r="B2" s="197">
        <v>46023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9"/>
      <c r="AG2" s="200" t="s">
        <v>1</v>
      </c>
    </row>
    <row r="3" spans="1:34" ht="19" customHeight="1" thickBot="1" x14ac:dyDescent="0.4">
      <c r="A3" s="196"/>
      <c r="B3" s="85">
        <v>1</v>
      </c>
      <c r="C3" s="59">
        <v>2</v>
      </c>
      <c r="D3" s="59">
        <v>3</v>
      </c>
      <c r="E3" s="59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59">
        <v>10</v>
      </c>
      <c r="L3" s="59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59">
        <v>17</v>
      </c>
      <c r="S3" s="59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59">
        <v>24</v>
      </c>
      <c r="Z3" s="59">
        <v>25</v>
      </c>
      <c r="AA3" s="3">
        <v>26</v>
      </c>
      <c r="AB3" s="3">
        <v>27</v>
      </c>
      <c r="AC3" s="3">
        <v>28</v>
      </c>
      <c r="AD3" s="3">
        <v>29</v>
      </c>
      <c r="AE3" s="46">
        <v>30</v>
      </c>
      <c r="AF3" s="67">
        <v>31</v>
      </c>
      <c r="AG3" s="201"/>
    </row>
    <row r="4" spans="1:34" x14ac:dyDescent="0.45">
      <c r="A4" s="6" t="s">
        <v>2</v>
      </c>
      <c r="B4" s="86"/>
      <c r="C4" s="60"/>
      <c r="D4" s="60"/>
      <c r="E4" s="60"/>
      <c r="F4" s="13"/>
      <c r="G4" s="13"/>
      <c r="H4" s="13"/>
      <c r="I4" s="13"/>
      <c r="J4" s="13"/>
      <c r="K4" s="60"/>
      <c r="L4" s="60"/>
      <c r="M4" s="13"/>
      <c r="N4" s="13"/>
      <c r="O4" s="15"/>
      <c r="P4" s="13"/>
      <c r="Q4" s="13"/>
      <c r="R4" s="60"/>
      <c r="S4" s="60"/>
      <c r="T4" s="13"/>
      <c r="U4" s="13"/>
      <c r="V4" s="13"/>
      <c r="W4" s="13"/>
      <c r="X4" s="13"/>
      <c r="Y4" s="60"/>
      <c r="Z4" s="60"/>
      <c r="AA4" s="13"/>
      <c r="AB4" s="13"/>
      <c r="AC4" s="13"/>
      <c r="AD4" s="13"/>
      <c r="AE4" s="48"/>
      <c r="AF4" s="68"/>
      <c r="AG4" s="21"/>
    </row>
    <row r="5" spans="1:34" x14ac:dyDescent="0.45">
      <c r="A5" s="19" t="s">
        <v>12</v>
      </c>
      <c r="B5" s="87"/>
      <c r="C5" s="80"/>
      <c r="D5" s="80"/>
      <c r="E5" s="80"/>
      <c r="F5" s="77"/>
      <c r="G5" s="77"/>
      <c r="H5" s="77">
        <v>600</v>
      </c>
      <c r="I5" s="77">
        <v>600</v>
      </c>
      <c r="J5" s="77">
        <v>600</v>
      </c>
      <c r="K5" s="80">
        <v>600</v>
      </c>
      <c r="L5" s="80"/>
      <c r="M5" s="77">
        <v>480</v>
      </c>
      <c r="N5" s="77">
        <v>600</v>
      </c>
      <c r="O5" s="77">
        <v>600</v>
      </c>
      <c r="P5" s="77">
        <v>600</v>
      </c>
      <c r="Q5" s="77">
        <v>600</v>
      </c>
      <c r="R5" s="80">
        <v>480</v>
      </c>
      <c r="S5" s="80"/>
      <c r="T5" s="77">
        <v>600</v>
      </c>
      <c r="U5" s="77">
        <v>600</v>
      </c>
      <c r="V5" s="77">
        <v>600</v>
      </c>
      <c r="W5" s="77">
        <v>600</v>
      </c>
      <c r="X5" s="77">
        <v>600</v>
      </c>
      <c r="Y5" s="80"/>
      <c r="Z5" s="80"/>
      <c r="AA5" s="77">
        <v>600</v>
      </c>
      <c r="AB5" s="77">
        <v>600</v>
      </c>
      <c r="AC5" s="77">
        <v>600</v>
      </c>
      <c r="AD5" s="77">
        <v>600</v>
      </c>
      <c r="AE5" s="81">
        <v>480</v>
      </c>
      <c r="AF5" s="82">
        <v>480</v>
      </c>
      <c r="AG5" s="20">
        <f>SUM(B5:AF5)</f>
        <v>12120</v>
      </c>
    </row>
    <row r="6" spans="1:34" x14ac:dyDescent="0.45">
      <c r="A6" s="7" t="s">
        <v>5</v>
      </c>
      <c r="B6" s="88"/>
      <c r="C6" s="61"/>
      <c r="D6" s="61"/>
      <c r="E6" s="61"/>
      <c r="F6" s="24">
        <v>0</v>
      </c>
      <c r="G6" s="24">
        <v>0</v>
      </c>
      <c r="H6" s="24">
        <v>10</v>
      </c>
      <c r="I6" s="24">
        <v>30</v>
      </c>
      <c r="J6" s="24">
        <v>30</v>
      </c>
      <c r="K6" s="61">
        <v>30</v>
      </c>
      <c r="L6" s="61"/>
      <c r="M6" s="24">
        <v>30</v>
      </c>
      <c r="N6" s="24">
        <v>30</v>
      </c>
      <c r="O6" s="24">
        <v>30</v>
      </c>
      <c r="P6" s="24">
        <v>30</v>
      </c>
      <c r="Q6" s="24">
        <v>30</v>
      </c>
      <c r="R6" s="61">
        <v>24</v>
      </c>
      <c r="S6" s="61"/>
      <c r="T6" s="24">
        <v>30</v>
      </c>
      <c r="U6" s="24">
        <v>30</v>
      </c>
      <c r="V6" s="24">
        <v>30</v>
      </c>
      <c r="W6" s="24">
        <v>30</v>
      </c>
      <c r="X6" s="24">
        <v>30</v>
      </c>
      <c r="Y6" s="61">
        <v>30</v>
      </c>
      <c r="Z6" s="61"/>
      <c r="AA6" s="24">
        <v>30</v>
      </c>
      <c r="AB6" s="24">
        <v>30</v>
      </c>
      <c r="AC6" s="24">
        <v>30</v>
      </c>
      <c r="AD6" s="24">
        <v>30</v>
      </c>
      <c r="AE6" s="50">
        <v>30</v>
      </c>
      <c r="AF6" s="69">
        <v>30</v>
      </c>
      <c r="AG6" s="17">
        <f>SUM(B6:AF6)</f>
        <v>634</v>
      </c>
    </row>
    <row r="7" spans="1:34" x14ac:dyDescent="0.45">
      <c r="A7" s="7" t="s">
        <v>6</v>
      </c>
      <c r="B7" s="88"/>
      <c r="C7" s="61"/>
      <c r="D7" s="61"/>
      <c r="E7" s="61"/>
      <c r="F7" s="24">
        <v>0</v>
      </c>
      <c r="G7" s="24">
        <v>0</v>
      </c>
      <c r="H7" s="24">
        <v>0</v>
      </c>
      <c r="I7" s="24">
        <v>8</v>
      </c>
      <c r="J7" s="24">
        <v>32</v>
      </c>
      <c r="K7" s="24">
        <v>33</v>
      </c>
      <c r="L7" s="61"/>
      <c r="M7" s="24">
        <v>27</v>
      </c>
      <c r="N7" s="24">
        <v>7</v>
      </c>
      <c r="O7" s="24">
        <v>23</v>
      </c>
      <c r="P7" s="24">
        <v>33</v>
      </c>
      <c r="Q7" s="24">
        <v>30</v>
      </c>
      <c r="R7" s="24">
        <v>17</v>
      </c>
      <c r="S7" s="61"/>
      <c r="T7" s="24">
        <v>29</v>
      </c>
      <c r="U7" s="24">
        <v>30</v>
      </c>
      <c r="V7" s="24">
        <v>16</v>
      </c>
      <c r="W7" s="24">
        <v>23</v>
      </c>
      <c r="X7" s="94">
        <v>31</v>
      </c>
      <c r="Y7" s="24">
        <v>2</v>
      </c>
      <c r="Z7" s="61"/>
      <c r="AA7" s="24">
        <v>36</v>
      </c>
      <c r="AB7" s="24">
        <v>24</v>
      </c>
      <c r="AC7" s="24">
        <v>12</v>
      </c>
      <c r="AD7" s="24">
        <v>17</v>
      </c>
      <c r="AE7" s="50">
        <v>28</v>
      </c>
      <c r="AF7" s="69">
        <v>8</v>
      </c>
      <c r="AG7" s="17">
        <f>SUM(B7:AF7)</f>
        <v>466</v>
      </c>
    </row>
    <row r="8" spans="1:34" ht="19" thickBot="1" x14ac:dyDescent="0.5">
      <c r="A8" s="39" t="s">
        <v>7</v>
      </c>
      <c r="B8" s="89">
        <f>B7-B6</f>
        <v>0</v>
      </c>
      <c r="C8" s="62">
        <f t="shared" ref="C8:AF8" si="0">C7-C6</f>
        <v>0</v>
      </c>
      <c r="D8" s="62">
        <f t="shared" si="0"/>
        <v>0</v>
      </c>
      <c r="E8" s="62">
        <f t="shared" si="0"/>
        <v>0</v>
      </c>
      <c r="F8" s="52">
        <f t="shared" si="0"/>
        <v>0</v>
      </c>
      <c r="G8" s="52">
        <f t="shared" si="0"/>
        <v>0</v>
      </c>
      <c r="H8" s="52">
        <f t="shared" si="0"/>
        <v>-10</v>
      </c>
      <c r="I8" s="52">
        <f t="shared" si="0"/>
        <v>-22</v>
      </c>
      <c r="J8" s="52">
        <f>J7-J6</f>
        <v>2</v>
      </c>
      <c r="K8" s="62">
        <f>K7-K6</f>
        <v>3</v>
      </c>
      <c r="L8" s="62">
        <f t="shared" si="0"/>
        <v>0</v>
      </c>
      <c r="M8" s="52">
        <f t="shared" si="0"/>
        <v>-3</v>
      </c>
      <c r="N8" s="52">
        <f t="shared" si="0"/>
        <v>-23</v>
      </c>
      <c r="O8" s="52">
        <f t="shared" si="0"/>
        <v>-7</v>
      </c>
      <c r="P8" s="52">
        <f t="shared" si="0"/>
        <v>3</v>
      </c>
      <c r="Q8" s="52">
        <f t="shared" si="0"/>
        <v>0</v>
      </c>
      <c r="R8" s="62">
        <f t="shared" si="0"/>
        <v>-7</v>
      </c>
      <c r="S8" s="62">
        <f t="shared" si="0"/>
        <v>0</v>
      </c>
      <c r="T8" s="52">
        <f t="shared" si="0"/>
        <v>-1</v>
      </c>
      <c r="U8" s="52">
        <f t="shared" si="0"/>
        <v>0</v>
      </c>
      <c r="V8" s="52">
        <f t="shared" si="0"/>
        <v>-14</v>
      </c>
      <c r="W8" s="52">
        <f t="shared" si="0"/>
        <v>-7</v>
      </c>
      <c r="X8" s="52">
        <f t="shared" si="0"/>
        <v>1</v>
      </c>
      <c r="Y8" s="52">
        <f>Z7-Y6</f>
        <v>-30</v>
      </c>
      <c r="Z8" s="62">
        <f t="shared" si="0"/>
        <v>0</v>
      </c>
      <c r="AA8" s="52">
        <f t="shared" si="0"/>
        <v>6</v>
      </c>
      <c r="AB8" s="52">
        <f t="shared" si="0"/>
        <v>-6</v>
      </c>
      <c r="AC8" s="52">
        <f t="shared" si="0"/>
        <v>-18</v>
      </c>
      <c r="AD8" s="52">
        <f t="shared" si="0"/>
        <v>-13</v>
      </c>
      <c r="AE8" s="52">
        <f t="shared" si="0"/>
        <v>-2</v>
      </c>
      <c r="AF8" s="70">
        <f t="shared" si="0"/>
        <v>-22</v>
      </c>
      <c r="AG8" s="18">
        <f>AG7-AG6</f>
        <v>-168</v>
      </c>
      <c r="AH8" s="84">
        <f>AG7/AG6</f>
        <v>0.73501577287066244</v>
      </c>
    </row>
    <row r="9" spans="1:34" x14ac:dyDescent="0.45">
      <c r="A9" s="6" t="s">
        <v>14</v>
      </c>
      <c r="B9" s="90"/>
      <c r="C9" s="63"/>
      <c r="D9" s="63"/>
      <c r="E9" s="63"/>
      <c r="F9" s="42"/>
      <c r="G9" s="42"/>
      <c r="H9" s="42"/>
      <c r="I9" s="42"/>
      <c r="J9" s="42"/>
      <c r="K9" s="63"/>
      <c r="L9" s="63"/>
      <c r="M9" s="42"/>
      <c r="N9" s="93"/>
      <c r="O9" s="93" t="s">
        <v>15</v>
      </c>
      <c r="P9" s="42"/>
      <c r="Q9" s="42"/>
      <c r="R9" s="63"/>
      <c r="S9" s="63"/>
      <c r="T9" s="42"/>
      <c r="U9" s="42"/>
      <c r="V9" s="42"/>
      <c r="W9" s="42"/>
      <c r="X9" s="42"/>
      <c r="Y9" s="63"/>
      <c r="Z9" s="63"/>
      <c r="AA9" s="42"/>
      <c r="AB9" s="42"/>
      <c r="AC9" s="42"/>
      <c r="AD9" s="42"/>
      <c r="AE9" s="54"/>
      <c r="AF9" s="71"/>
      <c r="AG9" s="44"/>
    </row>
    <row r="10" spans="1:34" x14ac:dyDescent="0.45">
      <c r="A10" s="19" t="s">
        <v>12</v>
      </c>
      <c r="B10" s="87"/>
      <c r="C10" s="80"/>
      <c r="D10" s="80"/>
      <c r="E10" s="80"/>
      <c r="F10" s="77"/>
      <c r="G10" s="77"/>
      <c r="H10" s="29">
        <v>600</v>
      </c>
      <c r="I10" s="29">
        <v>600</v>
      </c>
      <c r="J10" s="29">
        <v>600</v>
      </c>
      <c r="K10" s="64">
        <v>600</v>
      </c>
      <c r="L10" s="64"/>
      <c r="M10" s="29">
        <v>600</v>
      </c>
      <c r="N10" s="29">
        <v>480</v>
      </c>
      <c r="O10" s="29">
        <v>600</v>
      </c>
      <c r="P10" s="29">
        <v>600</v>
      </c>
      <c r="Q10" s="29">
        <v>600</v>
      </c>
      <c r="R10" s="64">
        <v>480</v>
      </c>
      <c r="S10" s="64"/>
      <c r="T10" s="29">
        <v>600</v>
      </c>
      <c r="U10" s="29">
        <v>600</v>
      </c>
      <c r="V10" s="29">
        <v>600</v>
      </c>
      <c r="W10" s="29">
        <v>600</v>
      </c>
      <c r="X10" s="29">
        <v>600</v>
      </c>
      <c r="Y10" s="64"/>
      <c r="Z10" s="64"/>
      <c r="AA10" s="29">
        <v>600</v>
      </c>
      <c r="AB10" s="29">
        <v>600</v>
      </c>
      <c r="AC10" s="29">
        <v>600</v>
      </c>
      <c r="AD10" s="29">
        <v>600</v>
      </c>
      <c r="AE10" s="56">
        <v>480</v>
      </c>
      <c r="AF10" s="72">
        <v>480</v>
      </c>
      <c r="AG10" s="20">
        <f>SUM(B10:AF10)</f>
        <v>12120</v>
      </c>
    </row>
    <row r="11" spans="1:34" x14ac:dyDescent="0.45">
      <c r="A11" s="7" t="s">
        <v>5</v>
      </c>
      <c r="B11" s="88"/>
      <c r="C11" s="61"/>
      <c r="D11" s="61"/>
      <c r="E11" s="61"/>
      <c r="F11" s="24">
        <v>0</v>
      </c>
      <c r="G11" s="24">
        <v>0</v>
      </c>
      <c r="H11" s="24">
        <v>14</v>
      </c>
      <c r="I11" s="24">
        <v>14</v>
      </c>
      <c r="J11" s="24">
        <v>14</v>
      </c>
      <c r="K11" s="61">
        <v>14</v>
      </c>
      <c r="L11" s="61"/>
      <c r="M11" s="24">
        <v>14</v>
      </c>
      <c r="N11" s="24">
        <v>10</v>
      </c>
      <c r="O11" s="24">
        <v>0</v>
      </c>
      <c r="P11" s="24">
        <v>30</v>
      </c>
      <c r="Q11" s="24">
        <v>30</v>
      </c>
      <c r="R11" s="61">
        <v>24</v>
      </c>
      <c r="S11" s="61"/>
      <c r="T11" s="24">
        <v>30</v>
      </c>
      <c r="U11" s="24">
        <v>30</v>
      </c>
      <c r="V11" s="24">
        <v>30</v>
      </c>
      <c r="W11" s="24">
        <v>30</v>
      </c>
      <c r="X11" s="24">
        <v>30</v>
      </c>
      <c r="Y11" s="61">
        <v>30</v>
      </c>
      <c r="Z11" s="61"/>
      <c r="AA11" s="24">
        <v>30</v>
      </c>
      <c r="AB11" s="24">
        <v>30</v>
      </c>
      <c r="AC11" s="24">
        <v>30</v>
      </c>
      <c r="AD11" s="24">
        <v>30</v>
      </c>
      <c r="AE11" s="50">
        <v>30</v>
      </c>
      <c r="AF11" s="69">
        <v>30</v>
      </c>
      <c r="AG11" s="17">
        <f>SUM(B11:AF11)</f>
        <v>524</v>
      </c>
    </row>
    <row r="12" spans="1:34" x14ac:dyDescent="0.45">
      <c r="A12" s="7" t="s">
        <v>6</v>
      </c>
      <c r="B12" s="88"/>
      <c r="C12" s="61"/>
      <c r="D12" s="61"/>
      <c r="E12" s="61"/>
      <c r="F12" s="24"/>
      <c r="G12" s="24"/>
      <c r="H12" s="24">
        <v>14</v>
      </c>
      <c r="I12" s="24">
        <v>13</v>
      </c>
      <c r="J12" s="24">
        <v>14</v>
      </c>
      <c r="K12" s="24">
        <v>12</v>
      </c>
      <c r="L12" s="61"/>
      <c r="M12" s="24">
        <v>10</v>
      </c>
      <c r="N12" s="24">
        <v>9</v>
      </c>
      <c r="O12" s="24">
        <v>0</v>
      </c>
      <c r="P12" s="24">
        <v>7</v>
      </c>
      <c r="Q12" s="24">
        <v>25</v>
      </c>
      <c r="R12" s="24">
        <v>15</v>
      </c>
      <c r="S12" s="61"/>
      <c r="T12" s="24">
        <v>7</v>
      </c>
      <c r="U12" s="24">
        <v>20</v>
      </c>
      <c r="V12" s="24">
        <v>26</v>
      </c>
      <c r="W12" s="24">
        <v>19</v>
      </c>
      <c r="X12" s="94">
        <v>30</v>
      </c>
      <c r="Y12" s="24">
        <v>26</v>
      </c>
      <c r="Z12" s="61"/>
      <c r="AA12" s="24">
        <v>14</v>
      </c>
      <c r="AB12" s="24">
        <v>30</v>
      </c>
      <c r="AC12" s="24">
        <v>30</v>
      </c>
      <c r="AD12" s="24">
        <v>30</v>
      </c>
      <c r="AE12" s="50">
        <v>14</v>
      </c>
      <c r="AF12" s="69">
        <v>6</v>
      </c>
      <c r="AG12" s="17">
        <f>SUM(B12:AF12)</f>
        <v>371</v>
      </c>
    </row>
    <row r="13" spans="1:34" ht="19" thickBot="1" x14ac:dyDescent="0.5">
      <c r="A13" s="39" t="s">
        <v>7</v>
      </c>
      <c r="B13" s="89">
        <f>B12-B11</f>
        <v>0</v>
      </c>
      <c r="C13" s="62">
        <f t="shared" ref="C13:AF13" si="1">C12-C11</f>
        <v>0</v>
      </c>
      <c r="D13" s="62">
        <f t="shared" si="1"/>
        <v>0</v>
      </c>
      <c r="E13" s="62">
        <f t="shared" si="1"/>
        <v>0</v>
      </c>
      <c r="F13" s="52">
        <f t="shared" si="1"/>
        <v>0</v>
      </c>
      <c r="G13" s="52">
        <f t="shared" si="1"/>
        <v>0</v>
      </c>
      <c r="H13" s="52">
        <f t="shared" si="1"/>
        <v>0</v>
      </c>
      <c r="I13" s="52">
        <f t="shared" si="1"/>
        <v>-1</v>
      </c>
      <c r="J13" s="52">
        <f t="shared" si="1"/>
        <v>0</v>
      </c>
      <c r="K13" s="62">
        <f t="shared" si="1"/>
        <v>-2</v>
      </c>
      <c r="L13" s="62">
        <f t="shared" si="1"/>
        <v>0</v>
      </c>
      <c r="M13" s="52">
        <f t="shared" si="1"/>
        <v>-4</v>
      </c>
      <c r="N13" s="52">
        <f t="shared" si="1"/>
        <v>-1</v>
      </c>
      <c r="O13" s="52">
        <f t="shared" si="1"/>
        <v>0</v>
      </c>
      <c r="P13" s="52">
        <f t="shared" si="1"/>
        <v>-23</v>
      </c>
      <c r="Q13" s="52">
        <f t="shared" si="1"/>
        <v>-5</v>
      </c>
      <c r="R13" s="62">
        <f t="shared" si="1"/>
        <v>-9</v>
      </c>
      <c r="S13" s="62">
        <f t="shared" si="1"/>
        <v>0</v>
      </c>
      <c r="T13" s="52">
        <f t="shared" si="1"/>
        <v>-23</v>
      </c>
      <c r="U13" s="52">
        <f t="shared" si="1"/>
        <v>-10</v>
      </c>
      <c r="V13" s="52">
        <f t="shared" si="1"/>
        <v>-4</v>
      </c>
      <c r="W13" s="52">
        <f t="shared" si="1"/>
        <v>-11</v>
      </c>
      <c r="X13" s="52">
        <f t="shared" si="1"/>
        <v>0</v>
      </c>
      <c r="Y13" s="52">
        <f>Z12-Y11</f>
        <v>-30</v>
      </c>
      <c r="Z13" s="62">
        <f t="shared" si="1"/>
        <v>0</v>
      </c>
      <c r="AA13" s="52">
        <f t="shared" si="1"/>
        <v>-16</v>
      </c>
      <c r="AB13" s="52">
        <f t="shared" si="1"/>
        <v>0</v>
      </c>
      <c r="AC13" s="52">
        <f t="shared" si="1"/>
        <v>0</v>
      </c>
      <c r="AD13" s="52">
        <f t="shared" si="1"/>
        <v>0</v>
      </c>
      <c r="AE13" s="52">
        <f t="shared" si="1"/>
        <v>-16</v>
      </c>
      <c r="AF13" s="70">
        <f t="shared" si="1"/>
        <v>-24</v>
      </c>
      <c r="AG13" s="18">
        <f>AG12-AG11</f>
        <v>-153</v>
      </c>
      <c r="AH13" s="84">
        <f>AG12/AG11</f>
        <v>0.7080152671755725</v>
      </c>
    </row>
    <row r="14" spans="1:34" x14ac:dyDescent="0.45">
      <c r="A14" s="19"/>
      <c r="B14" s="91"/>
      <c r="C14" s="64"/>
      <c r="D14" s="64"/>
      <c r="E14" s="64"/>
      <c r="F14" s="29"/>
      <c r="G14" s="29"/>
      <c r="H14" s="29"/>
      <c r="I14" s="29"/>
      <c r="J14" s="29"/>
      <c r="K14" s="64"/>
      <c r="L14" s="64"/>
      <c r="M14" s="29"/>
      <c r="N14" s="29"/>
      <c r="O14" s="29"/>
      <c r="P14" s="29"/>
      <c r="Q14" s="29"/>
      <c r="R14" s="64"/>
      <c r="S14" s="64"/>
      <c r="T14" s="29"/>
      <c r="U14" s="29"/>
      <c r="V14" s="29"/>
      <c r="W14" s="29"/>
      <c r="X14" s="29"/>
      <c r="Y14" s="64"/>
      <c r="Z14" s="64"/>
      <c r="AA14" s="29"/>
      <c r="AB14" s="29"/>
      <c r="AC14" s="29"/>
      <c r="AD14" s="29"/>
      <c r="AE14" s="56"/>
      <c r="AF14" s="72"/>
      <c r="AG14" s="20"/>
    </row>
    <row r="15" spans="1:34" x14ac:dyDescent="0.45">
      <c r="A15" s="74" t="s">
        <v>13</v>
      </c>
      <c r="B15" s="91">
        <f t="shared" ref="B15:AE15" si="2">B5+B10</f>
        <v>0</v>
      </c>
      <c r="C15" s="64">
        <f t="shared" si="2"/>
        <v>0</v>
      </c>
      <c r="D15" s="64">
        <f t="shared" si="2"/>
        <v>0</v>
      </c>
      <c r="E15" s="64">
        <f t="shared" si="2"/>
        <v>0</v>
      </c>
      <c r="F15" s="29">
        <f t="shared" si="2"/>
        <v>0</v>
      </c>
      <c r="G15" s="29">
        <f t="shared" si="2"/>
        <v>0</v>
      </c>
      <c r="H15" s="29">
        <f t="shared" si="2"/>
        <v>1200</v>
      </c>
      <c r="I15" s="29">
        <f t="shared" si="2"/>
        <v>1200</v>
      </c>
      <c r="J15" s="29">
        <f t="shared" si="2"/>
        <v>1200</v>
      </c>
      <c r="K15" s="64">
        <f t="shared" si="2"/>
        <v>1200</v>
      </c>
      <c r="L15" s="64">
        <f t="shared" si="2"/>
        <v>0</v>
      </c>
      <c r="M15" s="29">
        <f t="shared" si="2"/>
        <v>1080</v>
      </c>
      <c r="N15" s="29">
        <f t="shared" si="2"/>
        <v>1080</v>
      </c>
      <c r="O15" s="29">
        <f t="shared" si="2"/>
        <v>1200</v>
      </c>
      <c r="P15" s="29">
        <f t="shared" si="2"/>
        <v>1200</v>
      </c>
      <c r="Q15" s="29">
        <f t="shared" si="2"/>
        <v>1200</v>
      </c>
      <c r="R15" s="64">
        <f t="shared" si="2"/>
        <v>960</v>
      </c>
      <c r="S15" s="64">
        <f t="shared" si="2"/>
        <v>0</v>
      </c>
      <c r="T15" s="29">
        <f t="shared" si="2"/>
        <v>1200</v>
      </c>
      <c r="U15" s="29">
        <f t="shared" si="2"/>
        <v>1200</v>
      </c>
      <c r="V15" s="29">
        <f t="shared" si="2"/>
        <v>1200</v>
      </c>
      <c r="W15" s="29">
        <f t="shared" si="2"/>
        <v>1200</v>
      </c>
      <c r="X15" s="29">
        <f t="shared" si="2"/>
        <v>1200</v>
      </c>
      <c r="Y15" s="64">
        <f t="shared" si="2"/>
        <v>0</v>
      </c>
      <c r="Z15" s="64">
        <f t="shared" si="2"/>
        <v>0</v>
      </c>
      <c r="AA15" s="29">
        <f t="shared" si="2"/>
        <v>1200</v>
      </c>
      <c r="AB15" s="29">
        <f t="shared" si="2"/>
        <v>1200</v>
      </c>
      <c r="AC15" s="29">
        <f t="shared" si="2"/>
        <v>1200</v>
      </c>
      <c r="AD15" s="29">
        <f t="shared" si="2"/>
        <v>1200</v>
      </c>
      <c r="AE15" s="29">
        <f t="shared" si="2"/>
        <v>960</v>
      </c>
      <c r="AF15" s="72">
        <f>AF5+AF10</f>
        <v>960</v>
      </c>
      <c r="AG15" s="20">
        <f>SUM(B15:AF15)</f>
        <v>24240</v>
      </c>
    </row>
    <row r="16" spans="1:34" x14ac:dyDescent="0.45">
      <c r="A16" s="8" t="s">
        <v>10</v>
      </c>
      <c r="B16" s="92">
        <f t="shared" ref="B16:AF17" si="3">SUM(B6,B11)</f>
        <v>0</v>
      </c>
      <c r="C16" s="65">
        <f t="shared" si="3"/>
        <v>0</v>
      </c>
      <c r="D16" s="65">
        <f t="shared" si="3"/>
        <v>0</v>
      </c>
      <c r="E16" s="65">
        <f t="shared" si="3"/>
        <v>0</v>
      </c>
      <c r="F16" s="58">
        <f t="shared" si="3"/>
        <v>0</v>
      </c>
      <c r="G16" s="58">
        <f t="shared" si="3"/>
        <v>0</v>
      </c>
      <c r="H16" s="58">
        <f t="shared" si="3"/>
        <v>24</v>
      </c>
      <c r="I16" s="58">
        <f t="shared" si="3"/>
        <v>44</v>
      </c>
      <c r="J16" s="58">
        <f t="shared" si="3"/>
        <v>44</v>
      </c>
      <c r="K16" s="65">
        <f t="shared" si="3"/>
        <v>44</v>
      </c>
      <c r="L16" s="65">
        <f t="shared" si="3"/>
        <v>0</v>
      </c>
      <c r="M16" s="58">
        <f t="shared" si="3"/>
        <v>44</v>
      </c>
      <c r="N16" s="58">
        <f t="shared" si="3"/>
        <v>40</v>
      </c>
      <c r="O16" s="58">
        <f t="shared" si="3"/>
        <v>30</v>
      </c>
      <c r="P16" s="58">
        <f t="shared" si="3"/>
        <v>60</v>
      </c>
      <c r="Q16" s="58">
        <f t="shared" si="3"/>
        <v>60</v>
      </c>
      <c r="R16" s="65">
        <f t="shared" si="3"/>
        <v>48</v>
      </c>
      <c r="S16" s="65">
        <f t="shared" si="3"/>
        <v>0</v>
      </c>
      <c r="T16" s="58">
        <f t="shared" si="3"/>
        <v>60</v>
      </c>
      <c r="U16" s="58">
        <f t="shared" si="3"/>
        <v>60</v>
      </c>
      <c r="V16" s="58">
        <f t="shared" si="3"/>
        <v>60</v>
      </c>
      <c r="W16" s="58">
        <f t="shared" si="3"/>
        <v>60</v>
      </c>
      <c r="X16" s="58">
        <f t="shared" si="3"/>
        <v>60</v>
      </c>
      <c r="Y16" s="65">
        <f t="shared" si="3"/>
        <v>60</v>
      </c>
      <c r="Z16" s="65">
        <f t="shared" si="3"/>
        <v>0</v>
      </c>
      <c r="AA16" s="58">
        <f t="shared" si="3"/>
        <v>60</v>
      </c>
      <c r="AB16" s="58">
        <f t="shared" si="3"/>
        <v>60</v>
      </c>
      <c r="AC16" s="58">
        <f t="shared" si="3"/>
        <v>60</v>
      </c>
      <c r="AD16" s="58">
        <f t="shared" si="3"/>
        <v>60</v>
      </c>
      <c r="AE16" s="58">
        <f t="shared" si="3"/>
        <v>60</v>
      </c>
      <c r="AF16" s="73">
        <f t="shared" si="3"/>
        <v>60</v>
      </c>
      <c r="AG16" s="17">
        <f>SUM(B16:AF16)</f>
        <v>1158</v>
      </c>
    </row>
    <row r="17" spans="1:34" x14ac:dyDescent="0.45">
      <c r="A17" s="8" t="s">
        <v>11</v>
      </c>
      <c r="B17" s="92">
        <f t="shared" si="3"/>
        <v>0</v>
      </c>
      <c r="C17" s="65">
        <f t="shared" si="3"/>
        <v>0</v>
      </c>
      <c r="D17" s="65">
        <f t="shared" si="3"/>
        <v>0</v>
      </c>
      <c r="E17" s="65">
        <f t="shared" si="3"/>
        <v>0</v>
      </c>
      <c r="F17" s="58">
        <f t="shared" si="3"/>
        <v>0</v>
      </c>
      <c r="G17" s="58">
        <f t="shared" si="3"/>
        <v>0</v>
      </c>
      <c r="H17" s="58">
        <f t="shared" si="3"/>
        <v>14</v>
      </c>
      <c r="I17" s="58">
        <f t="shared" si="3"/>
        <v>21</v>
      </c>
      <c r="J17" s="58">
        <f>SUM(J7,J12)</f>
        <v>46</v>
      </c>
      <c r="K17" s="58">
        <f>SUM(K7,K12)</f>
        <v>45</v>
      </c>
      <c r="L17" s="65">
        <f t="shared" si="3"/>
        <v>0</v>
      </c>
      <c r="M17" s="58">
        <f t="shared" si="3"/>
        <v>37</v>
      </c>
      <c r="N17" s="58">
        <f t="shared" si="3"/>
        <v>16</v>
      </c>
      <c r="O17" s="58">
        <f t="shared" si="3"/>
        <v>23</v>
      </c>
      <c r="P17" s="58">
        <f t="shared" si="3"/>
        <v>40</v>
      </c>
      <c r="Q17" s="58">
        <f t="shared" si="3"/>
        <v>55</v>
      </c>
      <c r="R17" s="58">
        <f t="shared" si="3"/>
        <v>32</v>
      </c>
      <c r="S17" s="65">
        <f t="shared" si="3"/>
        <v>0</v>
      </c>
      <c r="T17" s="58">
        <f t="shared" si="3"/>
        <v>36</v>
      </c>
      <c r="U17" s="58">
        <f t="shared" si="3"/>
        <v>50</v>
      </c>
      <c r="V17" s="58">
        <f t="shared" si="3"/>
        <v>42</v>
      </c>
      <c r="W17" s="58">
        <f t="shared" si="3"/>
        <v>42</v>
      </c>
      <c r="X17" s="58">
        <f>SUM(Y7,Y12)</f>
        <v>28</v>
      </c>
      <c r="Y17" s="58">
        <f>SUM(Y7,Y12)</f>
        <v>28</v>
      </c>
      <c r="Z17" s="65">
        <f t="shared" si="3"/>
        <v>0</v>
      </c>
      <c r="AA17" s="58">
        <f t="shared" si="3"/>
        <v>50</v>
      </c>
      <c r="AB17" s="58">
        <f t="shared" si="3"/>
        <v>54</v>
      </c>
      <c r="AC17" s="58">
        <f t="shared" si="3"/>
        <v>42</v>
      </c>
      <c r="AD17" s="58">
        <f t="shared" si="3"/>
        <v>47</v>
      </c>
      <c r="AE17" s="58">
        <f t="shared" si="3"/>
        <v>42</v>
      </c>
      <c r="AF17" s="73">
        <f>SUM(AF7,AF12)</f>
        <v>14</v>
      </c>
      <c r="AG17" s="17">
        <f>SUM(B17:AF17)</f>
        <v>804</v>
      </c>
    </row>
    <row r="18" spans="1:34" ht="19" thickBot="1" x14ac:dyDescent="0.5">
      <c r="A18" s="9" t="s">
        <v>7</v>
      </c>
      <c r="B18" s="89">
        <f>B17-B16</f>
        <v>0</v>
      </c>
      <c r="C18" s="62">
        <f t="shared" ref="C18:AF18" si="4">C17-C16</f>
        <v>0</v>
      </c>
      <c r="D18" s="62">
        <f t="shared" si="4"/>
        <v>0</v>
      </c>
      <c r="E18" s="62">
        <f t="shared" si="4"/>
        <v>0</v>
      </c>
      <c r="F18" s="52">
        <f t="shared" si="4"/>
        <v>0</v>
      </c>
      <c r="G18" s="52">
        <f t="shared" si="4"/>
        <v>0</v>
      </c>
      <c r="H18" s="52">
        <f t="shared" si="4"/>
        <v>-10</v>
      </c>
      <c r="I18" s="52">
        <f t="shared" si="4"/>
        <v>-23</v>
      </c>
      <c r="J18" s="52">
        <f t="shared" si="4"/>
        <v>2</v>
      </c>
      <c r="K18" s="62">
        <f t="shared" si="4"/>
        <v>1</v>
      </c>
      <c r="L18" s="62">
        <f t="shared" si="4"/>
        <v>0</v>
      </c>
      <c r="M18" s="52">
        <f t="shared" si="4"/>
        <v>-7</v>
      </c>
      <c r="N18" s="52">
        <f t="shared" si="4"/>
        <v>-24</v>
      </c>
      <c r="O18" s="52">
        <f t="shared" si="4"/>
        <v>-7</v>
      </c>
      <c r="P18" s="52">
        <f t="shared" si="4"/>
        <v>-20</v>
      </c>
      <c r="Q18" s="52">
        <f t="shared" si="4"/>
        <v>-5</v>
      </c>
      <c r="R18" s="62">
        <f t="shared" si="4"/>
        <v>-16</v>
      </c>
      <c r="S18" s="62">
        <f t="shared" si="4"/>
        <v>0</v>
      </c>
      <c r="T18" s="52">
        <f t="shared" si="4"/>
        <v>-24</v>
      </c>
      <c r="U18" s="52">
        <f t="shared" si="4"/>
        <v>-10</v>
      </c>
      <c r="V18" s="52">
        <f t="shared" si="4"/>
        <v>-18</v>
      </c>
      <c r="W18" s="52">
        <f t="shared" si="4"/>
        <v>-18</v>
      </c>
      <c r="X18" s="52">
        <f t="shared" si="4"/>
        <v>-32</v>
      </c>
      <c r="Y18" s="52">
        <f t="shared" ref="Y18" si="5">Y17-Y16</f>
        <v>-32</v>
      </c>
      <c r="Z18" s="62">
        <f t="shared" si="4"/>
        <v>0</v>
      </c>
      <c r="AA18" s="52">
        <f t="shared" si="4"/>
        <v>-10</v>
      </c>
      <c r="AB18" s="52">
        <f t="shared" si="4"/>
        <v>-6</v>
      </c>
      <c r="AC18" s="52">
        <f t="shared" si="4"/>
        <v>-18</v>
      </c>
      <c r="AD18" s="52">
        <f t="shared" si="4"/>
        <v>-13</v>
      </c>
      <c r="AE18" s="52">
        <f>AE17-AE16</f>
        <v>-18</v>
      </c>
      <c r="AF18" s="70">
        <f t="shared" si="4"/>
        <v>-46</v>
      </c>
      <c r="AG18" s="18">
        <f>AG17-AG16</f>
        <v>-354</v>
      </c>
      <c r="AH18" s="84">
        <f>AG17/AG16</f>
        <v>0.69430051813471505</v>
      </c>
    </row>
    <row r="22" spans="1:34" ht="19" thickBot="1" x14ac:dyDescent="0.5">
      <c r="AG22" s="10"/>
    </row>
  </sheetData>
  <mergeCells count="3">
    <mergeCell ref="A1:A3"/>
    <mergeCell ref="B2:AF2"/>
    <mergeCell ref="AG2:AG3"/>
  </mergeCells>
  <conditionalFormatting sqref="B9:M9 P9:AF9 AF10 B11:AF11 X12">
    <cfRule type="cellIs" dxfId="147" priority="66" operator="greaterThan">
      <formula>0</formula>
    </cfRule>
  </conditionalFormatting>
  <conditionalFormatting sqref="B6:AF6">
    <cfRule type="cellIs" dxfId="146" priority="70" operator="greaterThan">
      <formula>0</formula>
    </cfRule>
  </conditionalFormatting>
  <conditionalFormatting sqref="B16:AF16">
    <cfRule type="cellIs" dxfId="145" priority="69" operator="greaterThan">
      <formula>0</formula>
    </cfRule>
  </conditionalFormatting>
  <conditionalFormatting sqref="B8:AG8">
    <cfRule type="cellIs" dxfId="144" priority="64" operator="lessThan">
      <formula>0</formula>
    </cfRule>
  </conditionalFormatting>
  <conditionalFormatting sqref="B13:AG13">
    <cfRule type="cellIs" dxfId="143" priority="63" operator="lessThan">
      <formula>0</formula>
    </cfRule>
  </conditionalFormatting>
  <conditionalFormatting sqref="B18:AG18">
    <cfRule type="cellIs" dxfId="142" priority="68" operator="lessThan">
      <formula>0</formula>
    </cfRule>
  </conditionalFormatting>
  <conditionalFormatting sqref="F7:K7">
    <cfRule type="cellIs" dxfId="141" priority="61" operator="lessThan">
      <formula>31</formula>
    </cfRule>
  </conditionalFormatting>
  <conditionalFormatting sqref="F12:K12">
    <cfRule type="cellIs" dxfId="140" priority="59" operator="lessThan">
      <formula>14</formula>
    </cfRule>
    <cfRule type="cellIs" dxfId="139" priority="56" operator="greaterThan">
      <formula>13</formula>
    </cfRule>
  </conditionalFormatting>
  <conditionalFormatting sqref="F17:K17">
    <cfRule type="cellIs" dxfId="138" priority="67" operator="greaterThan">
      <formula>0</formula>
    </cfRule>
    <cfRule type="cellIs" dxfId="137" priority="62" operator="lessThan">
      <formula>44</formula>
    </cfRule>
  </conditionalFormatting>
  <conditionalFormatting sqref="F7:R7">
    <cfRule type="cellIs" dxfId="136" priority="30" operator="greaterThan">
      <formula>30</formula>
    </cfRule>
  </conditionalFormatting>
  <conditionalFormatting sqref="I7:R7">
    <cfRule type="cellIs" dxfId="135" priority="29" operator="lessThan">
      <formula>30</formula>
    </cfRule>
    <cfRule type="cellIs" dxfId="134" priority="28" operator="equal">
      <formula>30</formula>
    </cfRule>
  </conditionalFormatting>
  <conditionalFormatting sqref="M12:O12">
    <cfRule type="cellIs" dxfId="133" priority="43" operator="lessThan">
      <formula>14</formula>
    </cfRule>
    <cfRule type="cellIs" dxfId="132" priority="42" operator="greaterThan">
      <formula>13</formula>
    </cfRule>
  </conditionalFormatting>
  <conditionalFormatting sqref="M17:P17">
    <cfRule type="cellIs" dxfId="131" priority="41" operator="greaterThan">
      <formula>0</formula>
    </cfRule>
    <cfRule type="cellIs" dxfId="130" priority="40" operator="lessThan">
      <formula>44</formula>
    </cfRule>
  </conditionalFormatting>
  <conditionalFormatting sqref="M7:R7">
    <cfRule type="cellIs" dxfId="129" priority="45" operator="lessThan">
      <formula>31</formula>
    </cfRule>
  </conditionalFormatting>
  <conditionalFormatting sqref="P12:R12">
    <cfRule type="cellIs" dxfId="128" priority="25" operator="greaterThan">
      <formula>30</formula>
    </cfRule>
    <cfRule type="cellIs" dxfId="127" priority="27" operator="lessThan">
      <formula>31</formula>
    </cfRule>
  </conditionalFormatting>
  <conditionalFormatting sqref="Q12:R12">
    <cfRule type="cellIs" dxfId="126" priority="23" operator="equal">
      <formula>30</formula>
    </cfRule>
    <cfRule type="cellIs" dxfId="125" priority="24" operator="lessThan">
      <formula>30</formula>
    </cfRule>
  </conditionalFormatting>
  <conditionalFormatting sqref="Q17:R17">
    <cfRule type="cellIs" dxfId="124" priority="31" operator="equal">
      <formula>60</formula>
    </cfRule>
    <cfRule type="cellIs" dxfId="123" priority="32" operator="lessThan">
      <formula>60</formula>
    </cfRule>
    <cfRule type="cellIs" dxfId="122" priority="33" operator="greaterThan">
      <formula>60</formula>
    </cfRule>
  </conditionalFormatting>
  <conditionalFormatting sqref="T7:Y7 T12:W12 Y12">
    <cfRule type="cellIs" dxfId="121" priority="20" operator="lessThan">
      <formula>30</formula>
    </cfRule>
    <cfRule type="cellIs" dxfId="120" priority="22" operator="lessThan">
      <formula>31</formula>
    </cfRule>
    <cfRule type="cellIs" dxfId="119" priority="19" operator="equal">
      <formula>30</formula>
    </cfRule>
    <cfRule type="cellIs" dxfId="118" priority="21" operator="greaterThan">
      <formula>30</formula>
    </cfRule>
  </conditionalFormatting>
  <conditionalFormatting sqref="T17:Y17">
    <cfRule type="cellIs" dxfId="117" priority="14" operator="greaterThan">
      <formula>60</formula>
    </cfRule>
    <cfRule type="cellIs" dxfId="116" priority="13" operator="lessThan">
      <formula>60</formula>
    </cfRule>
    <cfRule type="cellIs" dxfId="115" priority="12" operator="equal">
      <formula>60</formula>
    </cfRule>
  </conditionalFormatting>
  <conditionalFormatting sqref="AA7:AD7">
    <cfRule type="cellIs" dxfId="114" priority="10" operator="greaterThan">
      <formula>30</formula>
    </cfRule>
    <cfRule type="cellIs" dxfId="113" priority="9" operator="lessThan">
      <formula>30</formula>
    </cfRule>
    <cfRule type="cellIs" dxfId="112" priority="8" operator="equal">
      <formula>30</formula>
    </cfRule>
    <cfRule type="cellIs" dxfId="111" priority="11" operator="lessThan">
      <formula>31</formula>
    </cfRule>
  </conditionalFormatting>
  <conditionalFormatting sqref="AA12:AD12">
    <cfRule type="cellIs" dxfId="110" priority="7" operator="lessThan">
      <formula>31</formula>
    </cfRule>
    <cfRule type="cellIs" dxfId="109" priority="5" operator="lessThan">
      <formula>30</formula>
    </cfRule>
    <cfRule type="cellIs" dxfId="108" priority="4" operator="equal">
      <formula>30</formula>
    </cfRule>
    <cfRule type="cellIs" dxfId="107" priority="6" operator="greaterThan">
      <formula>30</formula>
    </cfRule>
  </conditionalFormatting>
  <conditionalFormatting sqref="AA17:AD17">
    <cfRule type="cellIs" dxfId="106" priority="1" operator="equal">
      <formula>60</formula>
    </cfRule>
    <cfRule type="cellIs" dxfId="105" priority="3" operator="greaterThan">
      <formula>60</formula>
    </cfRule>
    <cfRule type="cellIs" dxfId="104" priority="2" operator="lessThan">
      <formula>60</formula>
    </cfRule>
  </conditionalFormatting>
  <conditionalFormatting sqref="AG22">
    <cfRule type="cellIs" dxfId="103" priority="65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3F4B-9280-42AF-8313-C15B970F74E4}">
  <sheetPr>
    <tabColor rgb="FF00B050"/>
  </sheetPr>
  <dimension ref="A1:AH23"/>
  <sheetViews>
    <sheetView showGridLines="0" zoomScale="68" zoomScaleNormal="68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16" sqref="J16"/>
    </sheetView>
  </sheetViews>
  <sheetFormatPr defaultRowHeight="18.5" x14ac:dyDescent="0.45"/>
  <cols>
    <col min="1" max="1" width="31.26953125" style="5" customWidth="1"/>
    <col min="2" max="32" width="6.54296875" customWidth="1"/>
    <col min="33" max="33" width="10.26953125" customWidth="1"/>
    <col min="34" max="34" width="8.7265625" style="83"/>
  </cols>
  <sheetData>
    <row r="1" spans="1:34" ht="21.65" customHeight="1" thickBot="1" x14ac:dyDescent="0.4">
      <c r="A1" s="195" t="s">
        <v>0</v>
      </c>
    </row>
    <row r="2" spans="1:34" ht="19" thickBot="1" x14ac:dyDescent="0.5">
      <c r="A2" s="195"/>
      <c r="B2" s="197">
        <v>46055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9"/>
      <c r="AG2" s="200" t="s">
        <v>1</v>
      </c>
    </row>
    <row r="3" spans="1:34" ht="19" customHeight="1" thickBot="1" x14ac:dyDescent="0.4">
      <c r="A3" s="196"/>
      <c r="B3" s="85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59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59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59">
        <v>22</v>
      </c>
      <c r="X3" s="3">
        <v>23</v>
      </c>
      <c r="Y3" s="3">
        <v>24</v>
      </c>
      <c r="Z3" s="3">
        <v>25</v>
      </c>
      <c r="AA3" s="3">
        <v>26</v>
      </c>
      <c r="AB3" s="3">
        <v>27</v>
      </c>
      <c r="AC3" s="3">
        <v>28</v>
      </c>
      <c r="AD3" s="3"/>
      <c r="AE3" s="46"/>
      <c r="AF3" s="95"/>
      <c r="AG3" s="201"/>
    </row>
    <row r="4" spans="1:34" x14ac:dyDescent="0.45">
      <c r="A4" s="6" t="s">
        <v>2</v>
      </c>
      <c r="B4" s="90"/>
      <c r="C4" s="42"/>
      <c r="D4" s="42"/>
      <c r="E4" s="42"/>
      <c r="F4" s="42"/>
      <c r="G4" s="42"/>
      <c r="H4" s="42"/>
      <c r="I4" s="63"/>
      <c r="J4" s="42"/>
      <c r="K4" s="42"/>
      <c r="L4" s="42"/>
      <c r="M4" s="42"/>
      <c r="N4" s="42"/>
      <c r="O4" s="42"/>
      <c r="P4" s="63"/>
      <c r="Q4" s="42"/>
      <c r="R4" s="42"/>
      <c r="S4" s="42"/>
      <c r="T4" s="42"/>
      <c r="U4" s="42"/>
      <c r="V4" s="42"/>
      <c r="W4" s="63"/>
      <c r="X4" s="42"/>
      <c r="Y4" s="42"/>
      <c r="Z4" s="42"/>
      <c r="AA4" s="42"/>
      <c r="AB4" s="42"/>
      <c r="AC4" s="42"/>
      <c r="AD4" s="42"/>
      <c r="AE4" s="54"/>
      <c r="AF4" s="98"/>
      <c r="AG4" s="21"/>
    </row>
    <row r="5" spans="1:34" x14ac:dyDescent="0.45">
      <c r="A5" s="19" t="s">
        <v>12</v>
      </c>
      <c r="B5" s="91"/>
      <c r="C5" s="29">
        <v>600</v>
      </c>
      <c r="D5" s="29">
        <v>600</v>
      </c>
      <c r="E5" s="29">
        <v>480</v>
      </c>
      <c r="F5" s="29">
        <v>600</v>
      </c>
      <c r="G5" s="29">
        <v>480</v>
      </c>
      <c r="H5" s="29">
        <v>480</v>
      </c>
      <c r="I5" s="64"/>
      <c r="J5" s="29">
        <v>600</v>
      </c>
      <c r="K5" s="29">
        <v>480</v>
      </c>
      <c r="L5" s="141"/>
      <c r="M5" s="141"/>
      <c r="N5" s="141"/>
      <c r="O5" s="141"/>
      <c r="P5" s="64"/>
      <c r="Q5" s="29">
        <v>600</v>
      </c>
      <c r="R5" s="29">
        <v>600</v>
      </c>
      <c r="S5" s="29">
        <v>600</v>
      </c>
      <c r="T5" s="29">
        <v>600</v>
      </c>
      <c r="U5" s="141"/>
      <c r="V5" s="141"/>
      <c r="W5" s="64"/>
      <c r="X5" s="141">
        <v>480</v>
      </c>
      <c r="Y5" s="29">
        <v>600</v>
      </c>
      <c r="Z5" s="29">
        <v>600</v>
      </c>
      <c r="AA5" s="141">
        <v>480</v>
      </c>
      <c r="AB5" s="141">
        <v>480</v>
      </c>
      <c r="AC5" s="29">
        <v>480</v>
      </c>
      <c r="AD5" s="56"/>
      <c r="AE5" s="56"/>
      <c r="AF5" s="99"/>
      <c r="AG5" s="20">
        <f>SUM(B5:AF5)</f>
        <v>9840</v>
      </c>
    </row>
    <row r="6" spans="1:34" x14ac:dyDescent="0.45">
      <c r="A6" s="7" t="s">
        <v>5</v>
      </c>
      <c r="B6" s="88"/>
      <c r="C6" s="24">
        <v>30</v>
      </c>
      <c r="D6" s="24">
        <v>30</v>
      </c>
      <c r="E6" s="24">
        <v>30</v>
      </c>
      <c r="F6" s="24">
        <v>30</v>
      </c>
      <c r="G6" s="24">
        <v>24</v>
      </c>
      <c r="H6" s="24">
        <v>24</v>
      </c>
      <c r="I6" s="61"/>
      <c r="J6" s="24">
        <v>30</v>
      </c>
      <c r="K6" s="24">
        <v>30</v>
      </c>
      <c r="L6" s="140">
        <v>30</v>
      </c>
      <c r="M6" s="140">
        <v>30</v>
      </c>
      <c r="N6" s="140">
        <v>30</v>
      </c>
      <c r="O6" s="140">
        <v>24</v>
      </c>
      <c r="P6" s="140">
        <v>0</v>
      </c>
      <c r="Q6" s="24">
        <v>30</v>
      </c>
      <c r="R6" s="24">
        <v>30</v>
      </c>
      <c r="S6" s="24">
        <v>30</v>
      </c>
      <c r="T6" s="24">
        <v>30</v>
      </c>
      <c r="U6" s="140">
        <v>30</v>
      </c>
      <c r="V6" s="140">
        <v>24</v>
      </c>
      <c r="W6" s="140">
        <v>0</v>
      </c>
      <c r="X6" s="24">
        <v>30</v>
      </c>
      <c r="Y6" s="24">
        <v>30</v>
      </c>
      <c r="Z6" s="24">
        <v>30</v>
      </c>
      <c r="AA6" s="24">
        <v>30</v>
      </c>
      <c r="AB6" s="24">
        <v>30</v>
      </c>
      <c r="AC6" s="24">
        <v>24</v>
      </c>
      <c r="AD6" s="50"/>
      <c r="AE6" s="50"/>
      <c r="AF6" s="96"/>
      <c r="AG6" s="17">
        <f>SUM(B6:AF6)</f>
        <v>690</v>
      </c>
    </row>
    <row r="7" spans="1:34" x14ac:dyDescent="0.45">
      <c r="A7" s="7" t="s">
        <v>6</v>
      </c>
      <c r="B7" s="88"/>
      <c r="C7" s="24">
        <v>13</v>
      </c>
      <c r="D7" s="24">
        <v>33</v>
      </c>
      <c r="E7" s="24">
        <v>12</v>
      </c>
      <c r="F7" s="24">
        <v>18</v>
      </c>
      <c r="G7" s="24">
        <v>26</v>
      </c>
      <c r="H7" s="24">
        <v>9</v>
      </c>
      <c r="I7" s="61"/>
      <c r="J7" s="24">
        <v>33</v>
      </c>
      <c r="K7" s="24">
        <v>18</v>
      </c>
      <c r="L7" s="24">
        <v>0</v>
      </c>
      <c r="M7" s="24">
        <v>0</v>
      </c>
      <c r="N7" s="24">
        <v>0</v>
      </c>
      <c r="O7" s="24">
        <v>0</v>
      </c>
      <c r="P7" s="24"/>
      <c r="Q7" s="24">
        <v>33</v>
      </c>
      <c r="R7" s="24">
        <v>33</v>
      </c>
      <c r="S7" s="24">
        <v>30</v>
      </c>
      <c r="T7" s="24">
        <v>23</v>
      </c>
      <c r="U7" s="24">
        <v>0</v>
      </c>
      <c r="V7" s="24"/>
      <c r="W7" s="61"/>
      <c r="X7" s="94">
        <v>9</v>
      </c>
      <c r="Y7" s="24">
        <v>30</v>
      </c>
      <c r="Z7" s="24">
        <v>30</v>
      </c>
      <c r="AA7" s="24">
        <v>9</v>
      </c>
      <c r="AB7" s="24">
        <v>6</v>
      </c>
      <c r="AC7" s="24">
        <v>24</v>
      </c>
      <c r="AD7" s="50"/>
      <c r="AE7" s="50"/>
      <c r="AF7" s="96"/>
      <c r="AG7" s="17">
        <f>SUM(B7:AF7)</f>
        <v>389</v>
      </c>
    </row>
    <row r="8" spans="1:34" ht="19" thickBot="1" x14ac:dyDescent="0.5">
      <c r="A8" s="39" t="s">
        <v>7</v>
      </c>
      <c r="B8" s="89">
        <f>B7-B6</f>
        <v>0</v>
      </c>
      <c r="C8" s="52">
        <f t="shared" ref="C8:E8" si="0">C7-C6</f>
        <v>-17</v>
      </c>
      <c r="D8" s="52">
        <f t="shared" si="0"/>
        <v>3</v>
      </c>
      <c r="E8" s="52">
        <f t="shared" si="0"/>
        <v>-18</v>
      </c>
      <c r="F8" s="52">
        <f t="shared" ref="F8:AF8" si="1">F7-F6</f>
        <v>-12</v>
      </c>
      <c r="G8" s="52">
        <f t="shared" si="1"/>
        <v>2</v>
      </c>
      <c r="H8" s="52">
        <f t="shared" si="1"/>
        <v>-15</v>
      </c>
      <c r="I8" s="62">
        <f t="shared" si="1"/>
        <v>0</v>
      </c>
      <c r="J8" s="52">
        <f>J7-J6</f>
        <v>3</v>
      </c>
      <c r="K8" s="52">
        <f>K7-K6</f>
        <v>-12</v>
      </c>
      <c r="L8" s="52">
        <f t="shared" si="1"/>
        <v>-30</v>
      </c>
      <c r="M8" s="52">
        <f t="shared" si="1"/>
        <v>-30</v>
      </c>
      <c r="N8" s="52">
        <f t="shared" si="1"/>
        <v>-30</v>
      </c>
      <c r="O8" s="52">
        <f t="shared" si="1"/>
        <v>-24</v>
      </c>
      <c r="P8" s="62">
        <f t="shared" si="1"/>
        <v>0</v>
      </c>
      <c r="Q8" s="52">
        <f t="shared" si="1"/>
        <v>3</v>
      </c>
      <c r="R8" s="52">
        <f t="shared" si="1"/>
        <v>3</v>
      </c>
      <c r="S8" s="52">
        <f t="shared" si="1"/>
        <v>0</v>
      </c>
      <c r="T8" s="52">
        <f t="shared" si="1"/>
        <v>-7</v>
      </c>
      <c r="U8" s="52">
        <f t="shared" si="1"/>
        <v>-30</v>
      </c>
      <c r="V8" s="52">
        <f t="shared" si="1"/>
        <v>-24</v>
      </c>
      <c r="W8" s="62">
        <f t="shared" si="1"/>
        <v>0</v>
      </c>
      <c r="X8" s="52">
        <f t="shared" si="1"/>
        <v>-21</v>
      </c>
      <c r="Y8" s="52">
        <f>Z7-Y6</f>
        <v>0</v>
      </c>
      <c r="Z8" s="52">
        <f t="shared" si="1"/>
        <v>0</v>
      </c>
      <c r="AA8" s="52">
        <f t="shared" si="1"/>
        <v>-21</v>
      </c>
      <c r="AB8" s="52">
        <f t="shared" si="1"/>
        <v>-24</v>
      </c>
      <c r="AC8" s="52">
        <f t="shared" si="1"/>
        <v>0</v>
      </c>
      <c r="AD8" s="52">
        <f t="shared" ref="AD8" si="2">AD7-AD6</f>
        <v>0</v>
      </c>
      <c r="AE8" s="52">
        <f t="shared" si="1"/>
        <v>0</v>
      </c>
      <c r="AF8" s="97">
        <f t="shared" si="1"/>
        <v>0</v>
      </c>
      <c r="AG8" s="18">
        <f>AG7-AG6</f>
        <v>-301</v>
      </c>
      <c r="AH8" s="84">
        <f>AG7/AG6</f>
        <v>0.56376811594202902</v>
      </c>
    </row>
    <row r="9" spans="1:34" x14ac:dyDescent="0.45">
      <c r="A9" s="6" t="s">
        <v>16</v>
      </c>
      <c r="B9" s="90"/>
      <c r="C9" s="42"/>
      <c r="D9" s="42"/>
      <c r="E9" s="42"/>
      <c r="F9" s="42"/>
      <c r="G9" s="42"/>
      <c r="H9" s="42"/>
      <c r="I9" s="63"/>
      <c r="J9" s="42"/>
      <c r="K9" s="42"/>
      <c r="L9" s="42"/>
      <c r="M9" s="42"/>
      <c r="N9" s="42"/>
      <c r="O9" s="42"/>
      <c r="P9" s="63"/>
      <c r="Q9" s="42"/>
      <c r="R9" s="42"/>
      <c r="S9" s="42"/>
      <c r="T9" s="42"/>
      <c r="U9" s="42"/>
      <c r="V9" s="42"/>
      <c r="W9" s="63"/>
      <c r="X9" s="42"/>
      <c r="Y9" s="42"/>
      <c r="Z9" s="42"/>
      <c r="AA9" s="42"/>
      <c r="AB9" s="42"/>
      <c r="AC9" s="42"/>
      <c r="AD9" s="42"/>
      <c r="AE9" s="54"/>
      <c r="AF9" s="98"/>
      <c r="AG9" s="44"/>
    </row>
    <row r="10" spans="1:34" x14ac:dyDescent="0.45">
      <c r="A10" s="19" t="s">
        <v>12</v>
      </c>
      <c r="B10" s="91"/>
      <c r="C10" s="29">
        <v>600</v>
      </c>
      <c r="D10" s="29">
        <v>600</v>
      </c>
      <c r="E10" s="29">
        <v>480</v>
      </c>
      <c r="F10" s="29">
        <v>600</v>
      </c>
      <c r="G10" s="141">
        <v>480</v>
      </c>
      <c r="H10" s="29">
        <v>480</v>
      </c>
      <c r="I10" s="64"/>
      <c r="J10" s="29">
        <v>600</v>
      </c>
      <c r="K10" s="29">
        <v>480</v>
      </c>
      <c r="L10" s="141"/>
      <c r="M10" s="29">
        <v>600</v>
      </c>
      <c r="N10" s="29">
        <v>600</v>
      </c>
      <c r="O10" s="141"/>
      <c r="P10" s="64"/>
      <c r="Q10" s="29">
        <v>600</v>
      </c>
      <c r="R10" s="29">
        <v>600</v>
      </c>
      <c r="S10" s="29">
        <v>600</v>
      </c>
      <c r="T10" s="29">
        <v>600</v>
      </c>
      <c r="U10" s="29">
        <v>480</v>
      </c>
      <c r="V10" s="141"/>
      <c r="W10" s="64"/>
      <c r="X10" s="141">
        <v>480</v>
      </c>
      <c r="Y10" s="29">
        <v>600</v>
      </c>
      <c r="Z10" s="29">
        <v>600</v>
      </c>
      <c r="AA10" s="141">
        <v>480</v>
      </c>
      <c r="AB10" s="141">
        <v>480</v>
      </c>
      <c r="AC10" s="141">
        <v>480</v>
      </c>
      <c r="AD10" s="56"/>
      <c r="AE10" s="56"/>
      <c r="AF10" s="99"/>
      <c r="AG10" s="20">
        <f>SUM(B10:AF10)</f>
        <v>11520</v>
      </c>
    </row>
    <row r="11" spans="1:34" x14ac:dyDescent="0.45">
      <c r="A11" s="7" t="s">
        <v>5</v>
      </c>
      <c r="B11" s="88"/>
      <c r="C11" s="24">
        <v>30</v>
      </c>
      <c r="D11" s="24">
        <v>30</v>
      </c>
      <c r="E11" s="24">
        <v>30</v>
      </c>
      <c r="F11" s="24">
        <v>30</v>
      </c>
      <c r="G11" s="24">
        <v>24</v>
      </c>
      <c r="H11" s="24">
        <v>24</v>
      </c>
      <c r="I11" s="61"/>
      <c r="J11" s="24">
        <v>30</v>
      </c>
      <c r="K11" s="24">
        <v>30</v>
      </c>
      <c r="L11" s="140">
        <v>30</v>
      </c>
      <c r="M11" s="24">
        <v>30</v>
      </c>
      <c r="N11" s="24">
        <v>30</v>
      </c>
      <c r="O11" s="140">
        <v>24</v>
      </c>
      <c r="P11" s="140">
        <v>0</v>
      </c>
      <c r="Q11" s="24">
        <v>30</v>
      </c>
      <c r="R11" s="24">
        <v>30</v>
      </c>
      <c r="S11" s="24">
        <v>30</v>
      </c>
      <c r="T11" s="24">
        <v>30</v>
      </c>
      <c r="U11" s="24">
        <v>24</v>
      </c>
      <c r="V11" s="140">
        <v>24</v>
      </c>
      <c r="W11" s="140">
        <v>0</v>
      </c>
      <c r="X11" s="24">
        <v>30</v>
      </c>
      <c r="Y11" s="24">
        <v>30</v>
      </c>
      <c r="Z11" s="24">
        <v>30</v>
      </c>
      <c r="AA11" s="24">
        <v>30</v>
      </c>
      <c r="AB11" s="24">
        <v>30</v>
      </c>
      <c r="AC11" s="24">
        <v>24</v>
      </c>
      <c r="AD11" s="50"/>
      <c r="AE11" s="50"/>
      <c r="AF11" s="96"/>
      <c r="AG11" s="17">
        <f>SUM(B11:AF11)</f>
        <v>684</v>
      </c>
    </row>
    <row r="12" spans="1:34" x14ac:dyDescent="0.45">
      <c r="A12" s="7" t="s">
        <v>6</v>
      </c>
      <c r="B12" s="88"/>
      <c r="C12" s="24">
        <v>31</v>
      </c>
      <c r="D12" s="24">
        <v>32</v>
      </c>
      <c r="E12" s="24">
        <v>19</v>
      </c>
      <c r="F12" s="24">
        <v>14</v>
      </c>
      <c r="G12" s="24">
        <v>0</v>
      </c>
      <c r="H12" s="24">
        <v>17</v>
      </c>
      <c r="I12" s="61"/>
      <c r="J12" s="24">
        <v>30</v>
      </c>
      <c r="K12" s="24">
        <v>16</v>
      </c>
      <c r="L12" s="24">
        <v>0</v>
      </c>
      <c r="M12" s="24">
        <v>24</v>
      </c>
      <c r="N12" s="24">
        <v>38</v>
      </c>
      <c r="O12" s="24"/>
      <c r="P12" s="24"/>
      <c r="Q12" s="24">
        <v>25</v>
      </c>
      <c r="R12" s="24">
        <v>17</v>
      </c>
      <c r="S12" s="24">
        <v>23</v>
      </c>
      <c r="T12" s="24">
        <v>19</v>
      </c>
      <c r="U12" s="24">
        <v>24</v>
      </c>
      <c r="V12" s="24"/>
      <c r="W12" s="61"/>
      <c r="X12" s="24">
        <v>22</v>
      </c>
      <c r="Y12" s="24">
        <v>20</v>
      </c>
      <c r="Z12" s="24">
        <v>22</v>
      </c>
      <c r="AA12" s="24">
        <v>12</v>
      </c>
      <c r="AB12" s="24">
        <v>10</v>
      </c>
      <c r="AC12" s="24">
        <v>3</v>
      </c>
      <c r="AD12" s="50"/>
      <c r="AE12" s="50"/>
      <c r="AF12" s="96"/>
      <c r="AG12" s="17">
        <f>SUM(B12:AF12)</f>
        <v>418</v>
      </c>
    </row>
    <row r="13" spans="1:34" ht="19" thickBot="1" x14ac:dyDescent="0.5">
      <c r="A13" s="39" t="s">
        <v>7</v>
      </c>
      <c r="B13" s="89">
        <f>B12-B11</f>
        <v>0</v>
      </c>
      <c r="C13" s="52">
        <f t="shared" ref="C13:E13" si="3">C12-C11</f>
        <v>1</v>
      </c>
      <c r="D13" s="52">
        <f t="shared" si="3"/>
        <v>2</v>
      </c>
      <c r="E13" s="52">
        <f t="shared" si="3"/>
        <v>-11</v>
      </c>
      <c r="F13" s="52">
        <f t="shared" ref="F13:AF13" si="4">F12-F11</f>
        <v>-16</v>
      </c>
      <c r="G13" s="52">
        <f t="shared" si="4"/>
        <v>-24</v>
      </c>
      <c r="H13" s="52">
        <f t="shared" si="4"/>
        <v>-7</v>
      </c>
      <c r="I13" s="62">
        <f t="shared" si="4"/>
        <v>0</v>
      </c>
      <c r="J13" s="52">
        <f t="shared" si="4"/>
        <v>0</v>
      </c>
      <c r="K13" s="52">
        <f t="shared" si="4"/>
        <v>-14</v>
      </c>
      <c r="L13" s="52">
        <f t="shared" si="4"/>
        <v>-30</v>
      </c>
      <c r="M13" s="52">
        <f t="shared" si="4"/>
        <v>-6</v>
      </c>
      <c r="N13" s="52">
        <f t="shared" si="4"/>
        <v>8</v>
      </c>
      <c r="O13" s="52">
        <f t="shared" si="4"/>
        <v>-24</v>
      </c>
      <c r="P13" s="62">
        <f t="shared" si="4"/>
        <v>0</v>
      </c>
      <c r="Q13" s="52">
        <f t="shared" si="4"/>
        <v>-5</v>
      </c>
      <c r="R13" s="52">
        <f t="shared" si="4"/>
        <v>-13</v>
      </c>
      <c r="S13" s="52">
        <f t="shared" si="4"/>
        <v>-7</v>
      </c>
      <c r="T13" s="52">
        <f t="shared" si="4"/>
        <v>-11</v>
      </c>
      <c r="U13" s="52">
        <f t="shared" si="4"/>
        <v>0</v>
      </c>
      <c r="V13" s="52">
        <f t="shared" si="4"/>
        <v>-24</v>
      </c>
      <c r="W13" s="62">
        <f t="shared" si="4"/>
        <v>0</v>
      </c>
      <c r="X13" s="52">
        <f t="shared" si="4"/>
        <v>-8</v>
      </c>
      <c r="Y13" s="52">
        <f>Z12-Y11</f>
        <v>-8</v>
      </c>
      <c r="Z13" s="52">
        <f t="shared" si="4"/>
        <v>-8</v>
      </c>
      <c r="AA13" s="52">
        <f t="shared" si="4"/>
        <v>-18</v>
      </c>
      <c r="AB13" s="52">
        <f t="shared" si="4"/>
        <v>-20</v>
      </c>
      <c r="AC13" s="52">
        <f t="shared" si="4"/>
        <v>-21</v>
      </c>
      <c r="AD13" s="52">
        <f t="shared" ref="AD13" si="5">AD12-AD11</f>
        <v>0</v>
      </c>
      <c r="AE13" s="52">
        <f t="shared" si="4"/>
        <v>0</v>
      </c>
      <c r="AF13" s="97">
        <f t="shared" si="4"/>
        <v>0</v>
      </c>
      <c r="AG13" s="18">
        <f>AG12-AG11</f>
        <v>-266</v>
      </c>
      <c r="AH13" s="84">
        <f>AG12/AG11</f>
        <v>0.61111111111111116</v>
      </c>
    </row>
    <row r="14" spans="1:34" x14ac:dyDescent="0.45">
      <c r="A14" s="19"/>
      <c r="B14" s="91"/>
      <c r="C14" s="29"/>
      <c r="D14" s="29"/>
      <c r="E14" s="29"/>
      <c r="F14" s="29"/>
      <c r="G14" s="29"/>
      <c r="H14" s="29"/>
      <c r="I14" s="64"/>
      <c r="J14" s="29"/>
      <c r="K14" s="29"/>
      <c r="L14" s="29"/>
      <c r="M14" s="29"/>
      <c r="N14" s="29"/>
      <c r="O14" s="29"/>
      <c r="P14" s="64"/>
      <c r="Q14" s="29"/>
      <c r="R14" s="29"/>
      <c r="S14" s="29"/>
      <c r="T14" s="29"/>
      <c r="U14" s="29"/>
      <c r="V14" s="29"/>
      <c r="W14" s="64"/>
      <c r="X14" s="29"/>
      <c r="Y14" s="29"/>
      <c r="Z14" s="29"/>
      <c r="AA14" s="29"/>
      <c r="AB14" s="29"/>
      <c r="AC14" s="29"/>
      <c r="AD14" s="29"/>
      <c r="AE14" s="56"/>
      <c r="AF14" s="99"/>
      <c r="AG14" s="20"/>
    </row>
    <row r="15" spans="1:34" x14ac:dyDescent="0.45">
      <c r="A15" s="74" t="s">
        <v>13</v>
      </c>
      <c r="B15" s="91">
        <f t="shared" ref="B15:AE15" si="6">B5+B10</f>
        <v>0</v>
      </c>
      <c r="C15" s="29">
        <f t="shared" si="6"/>
        <v>1200</v>
      </c>
      <c r="D15" s="29">
        <f t="shared" si="6"/>
        <v>1200</v>
      </c>
      <c r="E15" s="29">
        <f t="shared" si="6"/>
        <v>960</v>
      </c>
      <c r="F15" s="29">
        <f t="shared" si="6"/>
        <v>1200</v>
      </c>
      <c r="G15" s="29">
        <f t="shared" si="6"/>
        <v>960</v>
      </c>
      <c r="H15" s="29">
        <f t="shared" si="6"/>
        <v>960</v>
      </c>
      <c r="I15" s="64">
        <f t="shared" si="6"/>
        <v>0</v>
      </c>
      <c r="J15" s="29">
        <f t="shared" si="6"/>
        <v>1200</v>
      </c>
      <c r="K15" s="29">
        <f t="shared" si="6"/>
        <v>960</v>
      </c>
      <c r="L15" s="141">
        <f t="shared" si="6"/>
        <v>0</v>
      </c>
      <c r="M15" s="29">
        <f t="shared" si="6"/>
        <v>600</v>
      </c>
      <c r="N15" s="29">
        <f t="shared" si="6"/>
        <v>600</v>
      </c>
      <c r="O15" s="141">
        <f t="shared" si="6"/>
        <v>0</v>
      </c>
      <c r="P15" s="141">
        <f t="shared" si="6"/>
        <v>0</v>
      </c>
      <c r="Q15" s="29">
        <f t="shared" si="6"/>
        <v>1200</v>
      </c>
      <c r="R15" s="29">
        <f t="shared" si="6"/>
        <v>1200</v>
      </c>
      <c r="S15" s="29">
        <f t="shared" si="6"/>
        <v>1200</v>
      </c>
      <c r="T15" s="29">
        <f t="shared" si="6"/>
        <v>1200</v>
      </c>
      <c r="U15" s="29">
        <f t="shared" si="6"/>
        <v>480</v>
      </c>
      <c r="V15" s="140">
        <v>0</v>
      </c>
      <c r="W15" s="140">
        <v>0</v>
      </c>
      <c r="X15" s="141">
        <f t="shared" si="6"/>
        <v>960</v>
      </c>
      <c r="Y15" s="29">
        <f t="shared" si="6"/>
        <v>1200</v>
      </c>
      <c r="Z15" s="29">
        <f t="shared" si="6"/>
        <v>1200</v>
      </c>
      <c r="AA15" s="29">
        <f t="shared" si="6"/>
        <v>960</v>
      </c>
      <c r="AB15" s="29">
        <f t="shared" si="6"/>
        <v>960</v>
      </c>
      <c r="AC15" s="29">
        <f t="shared" si="6"/>
        <v>960</v>
      </c>
      <c r="AD15" s="29">
        <f t="shared" si="6"/>
        <v>0</v>
      </c>
      <c r="AE15" s="29">
        <f t="shared" si="6"/>
        <v>0</v>
      </c>
      <c r="AF15" s="99">
        <f>AF5+AF10</f>
        <v>0</v>
      </c>
      <c r="AG15" s="20">
        <f>SUM(B15:AF15)</f>
        <v>21360</v>
      </c>
    </row>
    <row r="16" spans="1:34" x14ac:dyDescent="0.45">
      <c r="A16" s="8" t="s">
        <v>10</v>
      </c>
      <c r="B16" s="92">
        <f t="shared" ref="B16:AF17" si="7">SUM(B6,B11)</f>
        <v>0</v>
      </c>
      <c r="C16" s="58">
        <f t="shared" si="7"/>
        <v>60</v>
      </c>
      <c r="D16" s="58">
        <f t="shared" si="7"/>
        <v>60</v>
      </c>
      <c r="E16" s="58">
        <f t="shared" si="7"/>
        <v>60</v>
      </c>
      <c r="F16" s="58">
        <f t="shared" si="7"/>
        <v>60</v>
      </c>
      <c r="G16" s="58">
        <f t="shared" si="7"/>
        <v>48</v>
      </c>
      <c r="H16" s="58">
        <f t="shared" si="7"/>
        <v>48</v>
      </c>
      <c r="I16" s="65">
        <f t="shared" si="7"/>
        <v>0</v>
      </c>
      <c r="J16" s="58">
        <f t="shared" si="7"/>
        <v>60</v>
      </c>
      <c r="K16" s="58">
        <f t="shared" si="7"/>
        <v>60</v>
      </c>
      <c r="L16" s="58">
        <f t="shared" si="7"/>
        <v>60</v>
      </c>
      <c r="M16" s="58">
        <f t="shared" si="7"/>
        <v>60</v>
      </c>
      <c r="N16" s="58">
        <f t="shared" si="7"/>
        <v>60</v>
      </c>
      <c r="O16" s="58">
        <f t="shared" si="7"/>
        <v>48</v>
      </c>
      <c r="P16" s="65">
        <f t="shared" si="7"/>
        <v>0</v>
      </c>
      <c r="Q16" s="58">
        <f t="shared" si="7"/>
        <v>60</v>
      </c>
      <c r="R16" s="58">
        <f t="shared" si="7"/>
        <v>60</v>
      </c>
      <c r="S16" s="58">
        <f t="shared" si="7"/>
        <v>60</v>
      </c>
      <c r="T16" s="58">
        <f t="shared" si="7"/>
        <v>60</v>
      </c>
      <c r="U16" s="58">
        <f t="shared" si="7"/>
        <v>54</v>
      </c>
      <c r="V16" s="58">
        <f t="shared" si="7"/>
        <v>48</v>
      </c>
      <c r="W16" s="65">
        <f t="shared" si="7"/>
        <v>0</v>
      </c>
      <c r="X16" s="58">
        <f t="shared" si="7"/>
        <v>60</v>
      </c>
      <c r="Y16" s="58">
        <f t="shared" si="7"/>
        <v>60</v>
      </c>
      <c r="Z16" s="58">
        <f t="shared" si="7"/>
        <v>60</v>
      </c>
      <c r="AA16" s="58">
        <f t="shared" si="7"/>
        <v>60</v>
      </c>
      <c r="AB16" s="58">
        <f t="shared" si="7"/>
        <v>60</v>
      </c>
      <c r="AC16" s="58">
        <f t="shared" si="7"/>
        <v>48</v>
      </c>
      <c r="AD16" s="58">
        <f t="shared" ref="AD16" si="8">SUM(AD6,AD11)</f>
        <v>0</v>
      </c>
      <c r="AE16" s="58">
        <f t="shared" si="7"/>
        <v>0</v>
      </c>
      <c r="AF16" s="100">
        <f t="shared" si="7"/>
        <v>0</v>
      </c>
      <c r="AG16" s="17">
        <f>SUM(B16:AF16)</f>
        <v>1374</v>
      </c>
    </row>
    <row r="17" spans="1:34" x14ac:dyDescent="0.45">
      <c r="A17" s="8" t="s">
        <v>11</v>
      </c>
      <c r="B17" s="92">
        <f t="shared" si="7"/>
        <v>0</v>
      </c>
      <c r="C17" s="58">
        <f t="shared" ref="C17:E17" si="9">SUM(C7,C12)</f>
        <v>44</v>
      </c>
      <c r="D17" s="58">
        <f t="shared" si="9"/>
        <v>65</v>
      </c>
      <c r="E17" s="58">
        <f t="shared" si="9"/>
        <v>31</v>
      </c>
      <c r="F17" s="58">
        <f t="shared" si="7"/>
        <v>32</v>
      </c>
      <c r="G17" s="58">
        <f t="shared" si="7"/>
        <v>26</v>
      </c>
      <c r="H17" s="58">
        <f t="shared" si="7"/>
        <v>26</v>
      </c>
      <c r="I17" s="65">
        <f t="shared" si="7"/>
        <v>0</v>
      </c>
      <c r="J17" s="58">
        <f>SUM(J7,J12)</f>
        <v>63</v>
      </c>
      <c r="K17" s="58">
        <f>SUM(K7,K12)</f>
        <v>34</v>
      </c>
      <c r="L17" s="58">
        <f>SUM(L7,L12)</f>
        <v>0</v>
      </c>
      <c r="M17" s="58">
        <f t="shared" si="7"/>
        <v>24</v>
      </c>
      <c r="N17" s="58">
        <f t="shared" si="7"/>
        <v>38</v>
      </c>
      <c r="O17" s="58">
        <f t="shared" si="7"/>
        <v>0</v>
      </c>
      <c r="P17" s="58">
        <f t="shared" si="7"/>
        <v>0</v>
      </c>
      <c r="Q17" s="58">
        <f t="shared" si="7"/>
        <v>58</v>
      </c>
      <c r="R17" s="58">
        <f t="shared" si="7"/>
        <v>50</v>
      </c>
      <c r="S17" s="58">
        <f t="shared" si="7"/>
        <v>53</v>
      </c>
      <c r="T17" s="58">
        <f t="shared" si="7"/>
        <v>42</v>
      </c>
      <c r="U17" s="58">
        <f>SUM(U7,U12)</f>
        <v>24</v>
      </c>
      <c r="V17" s="58">
        <f>SUM(V7,V12)</f>
        <v>0</v>
      </c>
      <c r="W17" s="65">
        <f>SUM(W7,W12)</f>
        <v>0</v>
      </c>
      <c r="X17" s="58">
        <f>SUM(X7,X12)</f>
        <v>31</v>
      </c>
      <c r="Y17" s="58">
        <f>SUM(Y7,Y12)</f>
        <v>50</v>
      </c>
      <c r="Z17" s="58">
        <f t="shared" ref="Z17:AC17" si="10">SUM(Z7,Z12)</f>
        <v>52</v>
      </c>
      <c r="AA17" s="58">
        <f t="shared" si="10"/>
        <v>21</v>
      </c>
      <c r="AB17" s="58">
        <f t="shared" si="10"/>
        <v>16</v>
      </c>
      <c r="AC17" s="58">
        <f t="shared" si="10"/>
        <v>27</v>
      </c>
      <c r="AD17" s="58">
        <f t="shared" ref="AD17" si="11">SUM(AD7,AD12)</f>
        <v>0</v>
      </c>
      <c r="AE17" s="58">
        <f t="shared" si="7"/>
        <v>0</v>
      </c>
      <c r="AF17" s="100">
        <f>SUM(AF7,AF12)</f>
        <v>0</v>
      </c>
      <c r="AG17" s="17">
        <f>SUM(B17:AF17)</f>
        <v>807</v>
      </c>
      <c r="AH17" s="142">
        <f>AG17-900</f>
        <v>-93</v>
      </c>
    </row>
    <row r="18" spans="1:34" x14ac:dyDescent="0.45">
      <c r="A18" s="131" t="s">
        <v>7</v>
      </c>
      <c r="B18" s="132"/>
      <c r="C18" s="58">
        <f>C17-C16</f>
        <v>-16</v>
      </c>
      <c r="D18" s="58">
        <f t="shared" ref="D18:AC18" si="12">D17-D16</f>
        <v>5</v>
      </c>
      <c r="E18" s="58">
        <f t="shared" si="12"/>
        <v>-29</v>
      </c>
      <c r="F18" s="58">
        <f t="shared" si="12"/>
        <v>-28</v>
      </c>
      <c r="G18" s="58">
        <f t="shared" si="12"/>
        <v>-22</v>
      </c>
      <c r="H18" s="58">
        <f t="shared" si="12"/>
        <v>-22</v>
      </c>
      <c r="I18" s="58">
        <f t="shared" si="12"/>
        <v>0</v>
      </c>
      <c r="J18" s="58">
        <f t="shared" si="12"/>
        <v>3</v>
      </c>
      <c r="K18" s="58">
        <f t="shared" si="12"/>
        <v>-26</v>
      </c>
      <c r="L18" s="58">
        <f t="shared" si="12"/>
        <v>-60</v>
      </c>
      <c r="M18" s="58">
        <f t="shared" si="12"/>
        <v>-36</v>
      </c>
      <c r="N18" s="58">
        <f t="shared" si="12"/>
        <v>-22</v>
      </c>
      <c r="O18" s="58">
        <f t="shared" si="12"/>
        <v>-48</v>
      </c>
      <c r="P18" s="58">
        <f t="shared" si="12"/>
        <v>0</v>
      </c>
      <c r="Q18" s="58">
        <f t="shared" si="12"/>
        <v>-2</v>
      </c>
      <c r="R18" s="58">
        <f t="shared" si="12"/>
        <v>-10</v>
      </c>
      <c r="S18" s="58">
        <f t="shared" si="12"/>
        <v>-7</v>
      </c>
      <c r="T18" s="58">
        <f t="shared" si="12"/>
        <v>-18</v>
      </c>
      <c r="U18" s="58">
        <f t="shared" ref="U18:W18" si="13">U17-U16</f>
        <v>-30</v>
      </c>
      <c r="V18" s="58">
        <f t="shared" si="13"/>
        <v>-48</v>
      </c>
      <c r="W18" s="58">
        <f t="shared" si="13"/>
        <v>0</v>
      </c>
      <c r="X18" s="58">
        <f t="shared" si="12"/>
        <v>-29</v>
      </c>
      <c r="Y18" s="58">
        <f t="shared" si="12"/>
        <v>-10</v>
      </c>
      <c r="Z18" s="58">
        <f t="shared" si="12"/>
        <v>-8</v>
      </c>
      <c r="AA18" s="58">
        <f t="shared" si="12"/>
        <v>-39</v>
      </c>
      <c r="AB18" s="58">
        <f t="shared" si="12"/>
        <v>-44</v>
      </c>
      <c r="AC18" s="58">
        <f t="shared" si="12"/>
        <v>-21</v>
      </c>
      <c r="AD18" s="58"/>
      <c r="AE18" s="58"/>
      <c r="AF18" s="100"/>
      <c r="AG18" s="133"/>
    </row>
    <row r="19" spans="1:34" ht="19" thickBot="1" x14ac:dyDescent="0.5">
      <c r="A19" s="9" t="s">
        <v>17</v>
      </c>
      <c r="B19" s="89">
        <f>B17-B16</f>
        <v>0</v>
      </c>
      <c r="C19" s="134">
        <f>C18</f>
        <v>-16</v>
      </c>
      <c r="D19" s="134">
        <f>D18+C19</f>
        <v>-11</v>
      </c>
      <c r="E19" s="134">
        <f t="shared" ref="E19:M19" si="14">E18+D19</f>
        <v>-40</v>
      </c>
      <c r="F19" s="134">
        <f t="shared" si="14"/>
        <v>-68</v>
      </c>
      <c r="G19" s="134">
        <f t="shared" si="14"/>
        <v>-90</v>
      </c>
      <c r="H19" s="134">
        <f t="shared" si="14"/>
        <v>-112</v>
      </c>
      <c r="I19" s="134">
        <f t="shared" si="14"/>
        <v>-112</v>
      </c>
      <c r="J19" s="134">
        <f t="shared" si="14"/>
        <v>-109</v>
      </c>
      <c r="K19" s="134">
        <f t="shared" si="14"/>
        <v>-135</v>
      </c>
      <c r="L19" s="134">
        <f t="shared" si="14"/>
        <v>-195</v>
      </c>
      <c r="M19" s="134">
        <f t="shared" si="14"/>
        <v>-231</v>
      </c>
      <c r="N19" s="134">
        <f t="shared" ref="N19" si="15">N18+M19</f>
        <v>-253</v>
      </c>
      <c r="O19" s="134">
        <f t="shared" ref="O19" si="16">O18+N19</f>
        <v>-301</v>
      </c>
      <c r="P19" s="134">
        <f t="shared" ref="P19" si="17">P18+O19</f>
        <v>-301</v>
      </c>
      <c r="Q19" s="134">
        <f t="shared" ref="Q19" si="18">Q18+P19</f>
        <v>-303</v>
      </c>
      <c r="R19" s="134">
        <f t="shared" ref="R19:T19" si="19">R18+Q19</f>
        <v>-313</v>
      </c>
      <c r="S19" s="134">
        <f t="shared" si="19"/>
        <v>-320</v>
      </c>
      <c r="T19" s="134">
        <f t="shared" si="19"/>
        <v>-338</v>
      </c>
      <c r="U19" s="134">
        <f t="shared" ref="U19" si="20">U18+T19</f>
        <v>-368</v>
      </c>
      <c r="V19" s="134">
        <f t="shared" ref="V19" si="21">V18+U19</f>
        <v>-416</v>
      </c>
      <c r="W19" s="134">
        <f t="shared" ref="W19:AA19" si="22">W18+V19</f>
        <v>-416</v>
      </c>
      <c r="X19" s="134">
        <f t="shared" si="22"/>
        <v>-445</v>
      </c>
      <c r="Y19" s="134">
        <f t="shared" si="22"/>
        <v>-455</v>
      </c>
      <c r="Z19" s="134">
        <f t="shared" si="22"/>
        <v>-463</v>
      </c>
      <c r="AA19" s="134">
        <f t="shared" si="22"/>
        <v>-502</v>
      </c>
      <c r="AB19" s="134">
        <f t="shared" ref="AB19" si="23">AB18+AA19</f>
        <v>-546</v>
      </c>
      <c r="AC19" s="134">
        <f t="shared" ref="AC19" si="24">AC18+AB19</f>
        <v>-567</v>
      </c>
      <c r="AD19" s="134">
        <f>AD17-AD16</f>
        <v>0</v>
      </c>
      <c r="AE19" s="134">
        <f>AE17-AE16</f>
        <v>0</v>
      </c>
      <c r="AF19" s="135">
        <f t="shared" ref="AF19" si="25">AF17-AF16</f>
        <v>0</v>
      </c>
      <c r="AG19" s="18">
        <f>AG17-AG16</f>
        <v>-567</v>
      </c>
      <c r="AH19" s="84">
        <f>AG17/AG16</f>
        <v>0.5873362445414847</v>
      </c>
    </row>
    <row r="20" spans="1:34" s="136" customFormat="1" ht="14.5" x14ac:dyDescent="0.35">
      <c r="A20" s="138" t="s">
        <v>18</v>
      </c>
      <c r="C20" s="139">
        <f>C16</f>
        <v>60</v>
      </c>
      <c r="D20" s="139">
        <f>C20+D16</f>
        <v>120</v>
      </c>
      <c r="E20" s="139">
        <f t="shared" ref="E20:M20" si="26">D20+E16</f>
        <v>180</v>
      </c>
      <c r="F20" s="139">
        <f t="shared" si="26"/>
        <v>240</v>
      </c>
      <c r="G20" s="139">
        <f t="shared" si="26"/>
        <v>288</v>
      </c>
      <c r="H20" s="139">
        <f t="shared" si="26"/>
        <v>336</v>
      </c>
      <c r="I20" s="139">
        <f t="shared" si="26"/>
        <v>336</v>
      </c>
      <c r="J20" s="139">
        <f t="shared" si="26"/>
        <v>396</v>
      </c>
      <c r="K20" s="139">
        <f t="shared" si="26"/>
        <v>456</v>
      </c>
      <c r="L20" s="139">
        <f t="shared" si="26"/>
        <v>516</v>
      </c>
      <c r="M20" s="139">
        <f t="shared" si="26"/>
        <v>576</v>
      </c>
      <c r="N20" s="139">
        <f t="shared" ref="N20" si="27">M20+N16</f>
        <v>636</v>
      </c>
      <c r="O20" s="139">
        <f t="shared" ref="O20" si="28">N20+O16</f>
        <v>684</v>
      </c>
      <c r="P20" s="139">
        <f t="shared" ref="P20" si="29">O20+P16</f>
        <v>684</v>
      </c>
      <c r="Q20" s="139">
        <f t="shared" ref="Q20" si="30">P20+Q16</f>
        <v>744</v>
      </c>
      <c r="R20" s="139">
        <f t="shared" ref="R20:T20" si="31">Q20+R16</f>
        <v>804</v>
      </c>
      <c r="S20" s="139">
        <f t="shared" si="31"/>
        <v>864</v>
      </c>
      <c r="T20" s="139">
        <f t="shared" si="31"/>
        <v>924</v>
      </c>
      <c r="U20" s="139">
        <f t="shared" ref="U20" si="32">T20+U16</f>
        <v>978</v>
      </c>
      <c r="V20" s="139">
        <f t="shared" ref="V20" si="33">U20+V16</f>
        <v>1026</v>
      </c>
      <c r="W20" s="139">
        <f t="shared" ref="W20:AA20" si="34">V20+W16</f>
        <v>1026</v>
      </c>
      <c r="X20" s="139">
        <f t="shared" si="34"/>
        <v>1086</v>
      </c>
      <c r="Y20" s="139">
        <f t="shared" si="34"/>
        <v>1146</v>
      </c>
      <c r="Z20" s="139">
        <f t="shared" si="34"/>
        <v>1206</v>
      </c>
      <c r="AA20" s="139">
        <f t="shared" si="34"/>
        <v>1266</v>
      </c>
      <c r="AB20" s="139">
        <f t="shared" ref="AB20" si="35">AA20+AB16</f>
        <v>1326</v>
      </c>
      <c r="AC20" s="139">
        <f t="shared" ref="AC20" si="36">AB20+AC16</f>
        <v>1374</v>
      </c>
      <c r="AD20" s="137"/>
      <c r="AE20" s="137"/>
      <c r="AF20" s="137"/>
      <c r="AH20" s="137"/>
    </row>
    <row r="23" spans="1:34" ht="19" thickBot="1" x14ac:dyDescent="0.5">
      <c r="AG23" s="10"/>
    </row>
  </sheetData>
  <mergeCells count="3">
    <mergeCell ref="A1:A3"/>
    <mergeCell ref="B2:AF2"/>
    <mergeCell ref="AG2:AG3"/>
  </mergeCells>
  <conditionalFormatting sqref="B6:AF6 I7">
    <cfRule type="cellIs" dxfId="102" priority="72" operator="greaterThan">
      <formula>0</formula>
    </cfRule>
  </conditionalFormatting>
  <conditionalFormatting sqref="B9:AF9 AF10 I12">
    <cfRule type="cellIs" dxfId="101" priority="68" operator="greaterThan">
      <formula>0</formula>
    </cfRule>
  </conditionalFormatting>
  <conditionalFormatting sqref="B11:AF11">
    <cfRule type="cellIs" dxfId="100" priority="9" operator="greaterThan">
      <formula>0</formula>
    </cfRule>
  </conditionalFormatting>
  <conditionalFormatting sqref="B16:AF16 I17">
    <cfRule type="cellIs" dxfId="99" priority="71" operator="greaterThan">
      <formula>0</formula>
    </cfRule>
  </conditionalFormatting>
  <conditionalFormatting sqref="B8:AG8">
    <cfRule type="cellIs" dxfId="98" priority="66" operator="lessThan">
      <formula>0</formula>
    </cfRule>
  </conditionalFormatting>
  <conditionalFormatting sqref="B13:AG13">
    <cfRule type="cellIs" dxfId="97" priority="65" operator="lessThan">
      <formula>0</formula>
    </cfRule>
  </conditionalFormatting>
  <conditionalFormatting sqref="B19:AG19">
    <cfRule type="cellIs" dxfId="96" priority="70" operator="lessThan">
      <formula>0</formula>
    </cfRule>
  </conditionalFormatting>
  <conditionalFormatting sqref="C7:H7 J7:V7">
    <cfRule type="cellIs" dxfId="95" priority="44" operator="greaterThan">
      <formula>30</formula>
    </cfRule>
  </conditionalFormatting>
  <conditionalFormatting sqref="C7:H7">
    <cfRule type="cellIs" dxfId="94" priority="63" operator="lessThan">
      <formula>31</formula>
    </cfRule>
  </conditionalFormatting>
  <conditionalFormatting sqref="C12:H12 J12:AC12">
    <cfRule type="cellIs" dxfId="93" priority="11" operator="lessThan">
      <formula>29.5</formula>
    </cfRule>
  </conditionalFormatting>
  <conditionalFormatting sqref="C12:H12">
    <cfRule type="cellIs" dxfId="92" priority="13" operator="equal">
      <formula>30</formula>
    </cfRule>
    <cfRule type="cellIs" dxfId="91" priority="14" operator="lessThan">
      <formula>30</formula>
    </cfRule>
    <cfRule type="cellIs" dxfId="90" priority="15" operator="greaterThan">
      <formula>30</formula>
    </cfRule>
    <cfRule type="cellIs" dxfId="89" priority="16" operator="lessThan">
      <formula>31</formula>
    </cfRule>
  </conditionalFormatting>
  <conditionalFormatting sqref="C17:H17">
    <cfRule type="cellIs" dxfId="88" priority="17" operator="equal">
      <formula>60</formula>
    </cfRule>
    <cfRule type="cellIs" dxfId="87" priority="18" operator="lessThan">
      <formula>60</formula>
    </cfRule>
    <cfRule type="cellIs" dxfId="86" priority="19" operator="greaterThan">
      <formula>60</formula>
    </cfRule>
  </conditionalFormatting>
  <conditionalFormatting sqref="C18:AC18">
    <cfRule type="cellIs" dxfId="85" priority="10" operator="lessThan">
      <formula>0</formula>
    </cfRule>
  </conditionalFormatting>
  <conditionalFormatting sqref="J12:O12">
    <cfRule type="cellIs" dxfId="84" priority="2" operator="lessThan">
      <formula>30</formula>
    </cfRule>
    <cfRule type="cellIs" dxfId="83" priority="4" operator="lessThan">
      <formula>31</formula>
    </cfRule>
  </conditionalFormatting>
  <conditionalFormatting sqref="J7:V7 P12:V12">
    <cfRule type="cellIs" dxfId="82" priority="45" operator="lessThan">
      <formula>31</formula>
    </cfRule>
  </conditionalFormatting>
  <conditionalFormatting sqref="J12:V12">
    <cfRule type="cellIs" dxfId="81" priority="1" operator="equal">
      <formula>30</formula>
    </cfRule>
    <cfRule type="cellIs" dxfId="80" priority="3" operator="greaterThan">
      <formula>30</formula>
    </cfRule>
  </conditionalFormatting>
  <conditionalFormatting sqref="J17:V17">
    <cfRule type="cellIs" dxfId="79" priority="6" operator="lessThan">
      <formula>60</formula>
    </cfRule>
    <cfRule type="cellIs" dxfId="78" priority="7" operator="greaterThan">
      <formula>60</formula>
    </cfRule>
    <cfRule type="cellIs" dxfId="77" priority="5" operator="equal">
      <formula>60</formula>
    </cfRule>
  </conditionalFormatting>
  <conditionalFormatting sqref="J12:AC12 C12:H12">
    <cfRule type="cellIs" dxfId="76" priority="12" operator="greaterThan">
      <formula>29.5</formula>
    </cfRule>
  </conditionalFormatting>
  <conditionalFormatting sqref="P7:V7">
    <cfRule type="cellIs" dxfId="75" priority="42" operator="equal">
      <formula>30</formula>
    </cfRule>
  </conditionalFormatting>
  <conditionalFormatting sqref="P12:V12 P7:V7">
    <cfRule type="cellIs" dxfId="74" priority="43" operator="lessThan">
      <formula>30</formula>
    </cfRule>
  </conditionalFormatting>
  <conditionalFormatting sqref="V15:W15">
    <cfRule type="cellIs" dxfId="73" priority="8" operator="greaterThan">
      <formula>0</formula>
    </cfRule>
  </conditionalFormatting>
  <conditionalFormatting sqref="X7:AC7">
    <cfRule type="cellIs" dxfId="72" priority="36" operator="lessThan">
      <formula>30</formula>
    </cfRule>
    <cfRule type="cellIs" dxfId="71" priority="37" operator="greaterThan">
      <formula>30</formula>
    </cfRule>
    <cfRule type="cellIs" dxfId="70" priority="38" operator="lessThan">
      <formula>31</formula>
    </cfRule>
    <cfRule type="cellIs" dxfId="69" priority="35" operator="equal">
      <formula>30</formula>
    </cfRule>
  </conditionalFormatting>
  <conditionalFormatting sqref="X12:AC12">
    <cfRule type="cellIs" dxfId="68" priority="32" operator="lessThan">
      <formula>30</formula>
    </cfRule>
    <cfRule type="cellIs" dxfId="67" priority="33" operator="greaterThan">
      <formula>30</formula>
    </cfRule>
    <cfRule type="cellIs" dxfId="66" priority="34" operator="lessThan">
      <formula>31</formula>
    </cfRule>
    <cfRule type="cellIs" dxfId="65" priority="31" operator="equal">
      <formula>30</formula>
    </cfRule>
  </conditionalFormatting>
  <conditionalFormatting sqref="X17:AC17">
    <cfRule type="cellIs" dxfId="64" priority="30" operator="greaterThan">
      <formula>60</formula>
    </cfRule>
    <cfRule type="cellIs" dxfId="63" priority="29" operator="lessThan">
      <formula>60</formula>
    </cfRule>
    <cfRule type="cellIs" dxfId="62" priority="28" operator="equal">
      <formula>60</formula>
    </cfRule>
  </conditionalFormatting>
  <conditionalFormatting sqref="AG23">
    <cfRule type="cellIs" dxfId="61" priority="67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DD71-1DD1-4AE0-8E75-25DDF6D9C298}">
  <sheetPr>
    <tabColor rgb="FF00B050"/>
  </sheetPr>
  <dimension ref="A1:AH24"/>
  <sheetViews>
    <sheetView showGridLines="0" zoomScale="68" zoomScaleNormal="68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Z17" sqref="Z17"/>
    </sheetView>
  </sheetViews>
  <sheetFormatPr defaultRowHeight="18.5" x14ac:dyDescent="0.45"/>
  <cols>
    <col min="1" max="1" width="27.81640625" style="5" customWidth="1"/>
    <col min="2" max="32" width="6.54296875" customWidth="1"/>
    <col min="33" max="33" width="10.26953125" customWidth="1"/>
    <col min="34" max="34" width="8.7265625" style="167"/>
  </cols>
  <sheetData>
    <row r="1" spans="1:34" ht="21.65" customHeight="1" thickBot="1" x14ac:dyDescent="0.4">
      <c r="A1" s="195" t="s">
        <v>0</v>
      </c>
    </row>
    <row r="2" spans="1:34" ht="19" thickBot="1" x14ac:dyDescent="0.5">
      <c r="A2" s="195"/>
      <c r="B2" s="197">
        <v>46083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9"/>
      <c r="AG2" s="200" t="s">
        <v>1</v>
      </c>
    </row>
    <row r="3" spans="1:34" ht="19" customHeight="1" thickBot="1" x14ac:dyDescent="0.4">
      <c r="A3" s="196"/>
      <c r="B3" s="85">
        <v>1</v>
      </c>
      <c r="C3" s="3">
        <v>2</v>
      </c>
      <c r="D3" s="59">
        <v>3</v>
      </c>
      <c r="E3" s="3">
        <v>4</v>
      </c>
      <c r="F3" s="3">
        <v>5</v>
      </c>
      <c r="G3" s="3">
        <v>6</v>
      </c>
      <c r="H3" s="3">
        <v>7</v>
      </c>
      <c r="I3" s="59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59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59">
        <v>22</v>
      </c>
      <c r="X3" s="3">
        <v>23</v>
      </c>
      <c r="Y3" s="3">
        <v>24</v>
      </c>
      <c r="Z3" s="3">
        <v>25</v>
      </c>
      <c r="AA3" s="3">
        <v>26</v>
      </c>
      <c r="AB3" s="3">
        <v>27</v>
      </c>
      <c r="AC3" s="3">
        <v>28</v>
      </c>
      <c r="AD3" s="59">
        <v>29</v>
      </c>
      <c r="AE3" s="46">
        <v>30</v>
      </c>
      <c r="AF3" s="95">
        <v>31</v>
      </c>
      <c r="AG3" s="201"/>
    </row>
    <row r="4" spans="1:34" x14ac:dyDescent="0.45">
      <c r="A4" s="6" t="s">
        <v>2</v>
      </c>
      <c r="B4" s="90"/>
      <c r="C4" s="42"/>
      <c r="D4" s="63"/>
      <c r="E4" s="42"/>
      <c r="F4" s="42"/>
      <c r="G4" s="42"/>
      <c r="H4" s="42"/>
      <c r="I4" s="63"/>
      <c r="J4" s="42"/>
      <c r="K4" s="42"/>
      <c r="L4" s="42"/>
      <c r="M4" s="42"/>
      <c r="N4" s="42"/>
      <c r="O4" s="42"/>
      <c r="P4" s="63"/>
      <c r="Q4" s="42"/>
      <c r="R4" s="42"/>
      <c r="S4" s="42"/>
      <c r="T4" s="42"/>
      <c r="U4" s="42"/>
      <c r="V4" s="42"/>
      <c r="W4" s="63"/>
      <c r="X4" s="42"/>
      <c r="Y4" s="42"/>
      <c r="Z4" s="42"/>
      <c r="AA4" s="42"/>
      <c r="AB4" s="42"/>
      <c r="AC4" s="42"/>
      <c r="AD4" s="63"/>
      <c r="AE4" s="54"/>
      <c r="AF4" s="98"/>
      <c r="AG4" s="21"/>
    </row>
    <row r="5" spans="1:34" x14ac:dyDescent="0.45">
      <c r="A5" s="19" t="s">
        <v>12</v>
      </c>
      <c r="B5" s="91"/>
      <c r="C5" s="29">
        <v>600</v>
      </c>
      <c r="D5" s="64"/>
      <c r="E5" s="29">
        <v>600</v>
      </c>
      <c r="F5" s="143">
        <v>480</v>
      </c>
      <c r="G5" s="143">
        <v>480</v>
      </c>
      <c r="H5" s="29">
        <v>480</v>
      </c>
      <c r="I5" s="64"/>
      <c r="J5" s="29">
        <v>600</v>
      </c>
      <c r="K5" s="29">
        <v>480</v>
      </c>
      <c r="L5" s="29">
        <v>600</v>
      </c>
      <c r="M5" s="29">
        <v>600</v>
      </c>
      <c r="N5" s="29">
        <v>600</v>
      </c>
      <c r="O5" s="143"/>
      <c r="P5" s="143"/>
      <c r="Q5" s="29">
        <v>600</v>
      </c>
      <c r="R5" s="29">
        <v>600</v>
      </c>
      <c r="S5" s="29">
        <v>600</v>
      </c>
      <c r="T5" s="29">
        <v>600</v>
      </c>
      <c r="U5" s="29">
        <v>600</v>
      </c>
      <c r="V5" s="143">
        <v>480</v>
      </c>
      <c r="W5" s="143">
        <v>480</v>
      </c>
      <c r="X5" s="29">
        <v>480</v>
      </c>
      <c r="Y5" s="29">
        <v>480</v>
      </c>
      <c r="Z5" s="29">
        <v>600</v>
      </c>
      <c r="AA5" s="29">
        <v>600</v>
      </c>
      <c r="AB5" s="143">
        <v>600</v>
      </c>
      <c r="AC5" s="143">
        <v>480</v>
      </c>
      <c r="AD5" s="64"/>
      <c r="AE5" s="56">
        <v>600</v>
      </c>
      <c r="AF5" s="99">
        <v>600</v>
      </c>
      <c r="AG5" s="20">
        <f>SUM(B5:AF5)</f>
        <v>13920</v>
      </c>
    </row>
    <row r="6" spans="1:34" x14ac:dyDescent="0.45">
      <c r="A6" s="7" t="s">
        <v>5</v>
      </c>
      <c r="B6" s="88"/>
      <c r="C6" s="24">
        <v>30</v>
      </c>
      <c r="D6" s="140">
        <v>0</v>
      </c>
      <c r="E6" s="24">
        <v>30</v>
      </c>
      <c r="F6" s="24">
        <v>30</v>
      </c>
      <c r="G6" s="24">
        <v>30</v>
      </c>
      <c r="H6" s="24">
        <v>24</v>
      </c>
      <c r="I6" s="140">
        <v>0</v>
      </c>
      <c r="J6" s="24">
        <v>30</v>
      </c>
      <c r="K6" s="24">
        <v>30</v>
      </c>
      <c r="L6" s="140">
        <v>30</v>
      </c>
      <c r="M6" s="140">
        <v>30</v>
      </c>
      <c r="N6" s="140">
        <v>30</v>
      </c>
      <c r="O6" s="140"/>
      <c r="P6" s="140">
        <v>0</v>
      </c>
      <c r="Q6" s="24">
        <v>30</v>
      </c>
      <c r="R6" s="24">
        <v>30</v>
      </c>
      <c r="S6" s="24">
        <v>30</v>
      </c>
      <c r="T6" s="24">
        <v>30</v>
      </c>
      <c r="U6" s="140">
        <v>30</v>
      </c>
      <c r="V6" s="140">
        <v>24</v>
      </c>
      <c r="W6" s="140">
        <v>0</v>
      </c>
      <c r="X6" s="24">
        <v>30</v>
      </c>
      <c r="Y6" s="24">
        <v>30</v>
      </c>
      <c r="Z6" s="24">
        <v>30</v>
      </c>
      <c r="AA6" s="24">
        <v>30</v>
      </c>
      <c r="AB6" s="24">
        <v>30</v>
      </c>
      <c r="AC6" s="24">
        <v>24</v>
      </c>
      <c r="AD6" s="140">
        <v>0</v>
      </c>
      <c r="AE6" s="50">
        <v>30</v>
      </c>
      <c r="AF6" s="96">
        <v>30</v>
      </c>
      <c r="AG6" s="17">
        <f>SUM(B6:AF6)</f>
        <v>702</v>
      </c>
    </row>
    <row r="7" spans="1:34" x14ac:dyDescent="0.45">
      <c r="A7" s="7" t="s">
        <v>6</v>
      </c>
      <c r="B7" s="88"/>
      <c r="C7" s="24">
        <v>30</v>
      </c>
      <c r="D7" s="61"/>
      <c r="E7" s="24">
        <v>15</v>
      </c>
      <c r="F7" s="24">
        <v>20</v>
      </c>
      <c r="G7" s="24">
        <v>8</v>
      </c>
      <c r="H7" s="24">
        <v>11</v>
      </c>
      <c r="I7" s="61"/>
      <c r="J7" s="24">
        <v>23</v>
      </c>
      <c r="K7" s="24">
        <v>21</v>
      </c>
      <c r="L7" s="24">
        <v>0</v>
      </c>
      <c r="M7" s="24">
        <v>24</v>
      </c>
      <c r="N7" s="24">
        <v>25</v>
      </c>
      <c r="O7" s="24">
        <v>19</v>
      </c>
      <c r="P7" s="24"/>
      <c r="Q7" s="24">
        <v>29</v>
      </c>
      <c r="R7" s="24">
        <v>19</v>
      </c>
      <c r="S7" s="24">
        <v>0</v>
      </c>
      <c r="T7" s="24">
        <v>30</v>
      </c>
      <c r="U7" s="24">
        <v>26</v>
      </c>
      <c r="V7" s="24">
        <v>33</v>
      </c>
      <c r="W7" s="61">
        <v>20</v>
      </c>
      <c r="X7" s="94">
        <v>0</v>
      </c>
      <c r="Y7" s="24">
        <v>26</v>
      </c>
      <c r="Z7" s="24">
        <v>15</v>
      </c>
      <c r="AA7" s="24">
        <v>33</v>
      </c>
      <c r="AB7" s="24">
        <v>20</v>
      </c>
      <c r="AC7" s="24">
        <v>0</v>
      </c>
      <c r="AD7" s="61"/>
      <c r="AE7" s="24">
        <v>12</v>
      </c>
      <c r="AF7" s="24">
        <v>25</v>
      </c>
      <c r="AG7" s="17">
        <f>SUM(B7:AF7)</f>
        <v>484</v>
      </c>
    </row>
    <row r="8" spans="1:34" ht="19" thickBot="1" x14ac:dyDescent="0.5">
      <c r="A8" s="39" t="s">
        <v>7</v>
      </c>
      <c r="B8" s="89">
        <f>B7-B6</f>
        <v>0</v>
      </c>
      <c r="C8" s="52">
        <f t="shared" ref="C8:AF8" si="0">C7-C6</f>
        <v>0</v>
      </c>
      <c r="D8" s="62">
        <f t="shared" si="0"/>
        <v>0</v>
      </c>
      <c r="E8" s="52">
        <f t="shared" si="0"/>
        <v>-15</v>
      </c>
      <c r="F8" s="52">
        <f t="shared" si="0"/>
        <v>-10</v>
      </c>
      <c r="G8" s="52">
        <f t="shared" si="0"/>
        <v>-22</v>
      </c>
      <c r="H8" s="52">
        <f t="shared" si="0"/>
        <v>-13</v>
      </c>
      <c r="I8" s="62">
        <f t="shared" si="0"/>
        <v>0</v>
      </c>
      <c r="J8" s="52">
        <f>J7-J6</f>
        <v>-7</v>
      </c>
      <c r="K8" s="52">
        <f>K7-K6</f>
        <v>-9</v>
      </c>
      <c r="L8" s="52">
        <f t="shared" si="0"/>
        <v>-30</v>
      </c>
      <c r="M8" s="52">
        <f t="shared" si="0"/>
        <v>-6</v>
      </c>
      <c r="N8" s="52">
        <f t="shared" si="0"/>
        <v>-5</v>
      </c>
      <c r="O8" s="52">
        <f t="shared" si="0"/>
        <v>19</v>
      </c>
      <c r="P8" s="62">
        <f t="shared" si="0"/>
        <v>0</v>
      </c>
      <c r="Q8" s="52">
        <f t="shared" si="0"/>
        <v>-1</v>
      </c>
      <c r="R8" s="52">
        <f t="shared" si="0"/>
        <v>-11</v>
      </c>
      <c r="S8" s="52">
        <f t="shared" si="0"/>
        <v>-30</v>
      </c>
      <c r="T8" s="52">
        <f t="shared" si="0"/>
        <v>0</v>
      </c>
      <c r="U8" s="52">
        <f t="shared" si="0"/>
        <v>-4</v>
      </c>
      <c r="V8" s="52">
        <f t="shared" si="0"/>
        <v>9</v>
      </c>
      <c r="W8" s="62">
        <f t="shared" si="0"/>
        <v>20</v>
      </c>
      <c r="X8" s="52">
        <f t="shared" si="0"/>
        <v>-30</v>
      </c>
      <c r="Y8" s="52">
        <f>Z7-Y6</f>
        <v>-15</v>
      </c>
      <c r="Z8" s="52">
        <f t="shared" si="0"/>
        <v>-15</v>
      </c>
      <c r="AA8" s="52">
        <f t="shared" si="0"/>
        <v>3</v>
      </c>
      <c r="AB8" s="52">
        <f t="shared" si="0"/>
        <v>-10</v>
      </c>
      <c r="AC8" s="52">
        <f t="shared" si="0"/>
        <v>-24</v>
      </c>
      <c r="AD8" s="62">
        <f t="shared" si="0"/>
        <v>0</v>
      </c>
      <c r="AE8" s="52">
        <f t="shared" si="0"/>
        <v>-18</v>
      </c>
      <c r="AF8" s="97">
        <f t="shared" si="0"/>
        <v>-5</v>
      </c>
      <c r="AG8" s="18">
        <f>AG7-AG6</f>
        <v>-218</v>
      </c>
      <c r="AH8" s="168">
        <f>AG7/AG6</f>
        <v>0.68945868945868949</v>
      </c>
    </row>
    <row r="9" spans="1:34" x14ac:dyDescent="0.45">
      <c r="A9" s="6" t="s">
        <v>16</v>
      </c>
      <c r="B9" s="90"/>
      <c r="C9" s="42"/>
      <c r="D9" s="63"/>
      <c r="E9" s="42"/>
      <c r="F9" s="42"/>
      <c r="G9" s="42"/>
      <c r="H9" s="42"/>
      <c r="I9" s="63"/>
      <c r="J9" s="42"/>
      <c r="K9" s="42"/>
      <c r="L9" s="42"/>
      <c r="M9" s="42"/>
      <c r="N9" s="42"/>
      <c r="O9" s="42"/>
      <c r="P9" s="63"/>
      <c r="Q9" s="42"/>
      <c r="R9" s="42"/>
      <c r="S9" s="42"/>
      <c r="T9" s="42"/>
      <c r="U9" s="42"/>
      <c r="V9" s="42"/>
      <c r="W9" s="63"/>
      <c r="X9" s="42"/>
      <c r="Y9" s="42"/>
      <c r="Z9" s="42"/>
      <c r="AA9" s="42"/>
      <c r="AB9" s="42"/>
      <c r="AC9" s="42"/>
      <c r="AD9" s="63"/>
      <c r="AE9" s="54"/>
      <c r="AF9" s="98"/>
      <c r="AG9" s="44"/>
    </row>
    <row r="10" spans="1:34" x14ac:dyDescent="0.45">
      <c r="A10" s="19" t="s">
        <v>12</v>
      </c>
      <c r="B10" s="91"/>
      <c r="C10" s="29">
        <v>600</v>
      </c>
      <c r="D10" s="64"/>
      <c r="E10" s="29">
        <v>600</v>
      </c>
      <c r="F10" s="143">
        <v>480</v>
      </c>
      <c r="G10" s="143">
        <v>480</v>
      </c>
      <c r="H10" s="29">
        <v>480</v>
      </c>
      <c r="I10" s="64"/>
      <c r="J10" s="29">
        <v>600</v>
      </c>
      <c r="K10" s="29">
        <v>480</v>
      </c>
      <c r="L10" s="29">
        <v>600</v>
      </c>
      <c r="M10" s="29">
        <v>600</v>
      </c>
      <c r="N10" s="29">
        <v>600</v>
      </c>
      <c r="O10" s="143"/>
      <c r="P10" s="143"/>
      <c r="Q10" s="29">
        <v>600</v>
      </c>
      <c r="R10" s="29">
        <v>600</v>
      </c>
      <c r="S10" s="29">
        <v>600</v>
      </c>
      <c r="T10" s="29">
        <v>600</v>
      </c>
      <c r="U10" s="29">
        <v>600</v>
      </c>
      <c r="V10" s="143">
        <v>480</v>
      </c>
      <c r="W10" s="143">
        <v>480</v>
      </c>
      <c r="X10" s="29">
        <v>480</v>
      </c>
      <c r="Y10" s="29">
        <v>600</v>
      </c>
      <c r="Z10" s="29">
        <v>600</v>
      </c>
      <c r="AA10" s="29">
        <v>600</v>
      </c>
      <c r="AB10" s="143">
        <v>600</v>
      </c>
      <c r="AC10" s="143">
        <v>480</v>
      </c>
      <c r="AD10" s="64"/>
      <c r="AE10" s="56">
        <v>480</v>
      </c>
      <c r="AF10" s="99">
        <v>600</v>
      </c>
      <c r="AG10" s="20">
        <f>SUM(B10:AF10)</f>
        <v>13920</v>
      </c>
    </row>
    <row r="11" spans="1:34" x14ac:dyDescent="0.45">
      <c r="A11" s="7" t="s">
        <v>5</v>
      </c>
      <c r="B11" s="88"/>
      <c r="C11" s="24">
        <v>30</v>
      </c>
      <c r="D11" s="140">
        <v>0</v>
      </c>
      <c r="E11" s="24">
        <v>30</v>
      </c>
      <c r="F11" s="24">
        <v>30</v>
      </c>
      <c r="G11" s="24">
        <v>30</v>
      </c>
      <c r="H11" s="24">
        <v>24</v>
      </c>
      <c r="I11" s="140">
        <v>0</v>
      </c>
      <c r="J11" s="24">
        <v>30</v>
      </c>
      <c r="K11" s="24">
        <v>30</v>
      </c>
      <c r="L11" s="140">
        <v>30</v>
      </c>
      <c r="M11" s="24">
        <v>30</v>
      </c>
      <c r="N11" s="24">
        <v>30</v>
      </c>
      <c r="O11" s="140"/>
      <c r="P11" s="140">
        <v>0</v>
      </c>
      <c r="Q11" s="24">
        <v>30</v>
      </c>
      <c r="R11" s="24">
        <v>30</v>
      </c>
      <c r="S11" s="24">
        <v>30</v>
      </c>
      <c r="T11" s="24">
        <v>30</v>
      </c>
      <c r="U11" s="24">
        <v>30</v>
      </c>
      <c r="V11" s="140">
        <v>24</v>
      </c>
      <c r="W11" s="140">
        <v>0</v>
      </c>
      <c r="X11" s="24">
        <v>30</v>
      </c>
      <c r="Y11" s="24">
        <v>30</v>
      </c>
      <c r="Z11" s="24">
        <v>30</v>
      </c>
      <c r="AA11" s="24">
        <v>30</v>
      </c>
      <c r="AB11" s="24">
        <v>30</v>
      </c>
      <c r="AC11" s="24">
        <v>24</v>
      </c>
      <c r="AD11" s="140">
        <v>0</v>
      </c>
      <c r="AE11" s="50">
        <v>30</v>
      </c>
      <c r="AF11" s="96">
        <v>30</v>
      </c>
      <c r="AG11" s="17">
        <f>SUM(B11:AF11)</f>
        <v>702</v>
      </c>
    </row>
    <row r="12" spans="1:34" x14ac:dyDescent="0.45">
      <c r="A12" s="7" t="s">
        <v>6</v>
      </c>
      <c r="B12" s="88"/>
      <c r="C12" s="24">
        <v>15</v>
      </c>
      <c r="D12" s="61"/>
      <c r="E12" s="24">
        <v>19</v>
      </c>
      <c r="F12" s="24">
        <v>19</v>
      </c>
      <c r="G12" s="24">
        <v>17</v>
      </c>
      <c r="H12" s="24">
        <v>21</v>
      </c>
      <c r="I12" s="61"/>
      <c r="J12" s="24">
        <v>21</v>
      </c>
      <c r="K12" s="24">
        <v>25</v>
      </c>
      <c r="L12" s="24">
        <v>33</v>
      </c>
      <c r="M12" s="24">
        <v>11</v>
      </c>
      <c r="N12" s="24">
        <v>21</v>
      </c>
      <c r="O12" s="24">
        <v>0</v>
      </c>
      <c r="P12" s="24"/>
      <c r="Q12" s="24">
        <v>30</v>
      </c>
      <c r="R12" s="24">
        <v>24</v>
      </c>
      <c r="S12" s="24">
        <v>0</v>
      </c>
      <c r="T12" s="24">
        <v>30</v>
      </c>
      <c r="U12" s="24">
        <v>21</v>
      </c>
      <c r="V12" s="24">
        <v>20</v>
      </c>
      <c r="W12" s="61">
        <v>24</v>
      </c>
      <c r="X12" s="94">
        <v>24</v>
      </c>
      <c r="Y12" s="24">
        <v>33</v>
      </c>
      <c r="Z12" s="24">
        <v>10</v>
      </c>
      <c r="AA12" s="24">
        <v>28</v>
      </c>
      <c r="AB12" s="24">
        <v>22</v>
      </c>
      <c r="AC12" s="24">
        <v>0</v>
      </c>
      <c r="AD12" s="61"/>
      <c r="AE12" s="24">
        <v>0</v>
      </c>
      <c r="AF12" s="24">
        <v>7</v>
      </c>
      <c r="AG12" s="17">
        <f>SUM(B12:AF12)</f>
        <v>475</v>
      </c>
    </row>
    <row r="13" spans="1:34" ht="19" thickBot="1" x14ac:dyDescent="0.5">
      <c r="A13" s="39" t="s">
        <v>7</v>
      </c>
      <c r="B13" s="89">
        <f>B12-B11</f>
        <v>0</v>
      </c>
      <c r="C13" s="52">
        <f t="shared" ref="C13:AF13" si="1">C12-C11</f>
        <v>-15</v>
      </c>
      <c r="D13" s="62">
        <f t="shared" si="1"/>
        <v>0</v>
      </c>
      <c r="E13" s="52">
        <f t="shared" si="1"/>
        <v>-11</v>
      </c>
      <c r="F13" s="52">
        <f t="shared" si="1"/>
        <v>-11</v>
      </c>
      <c r="G13" s="52">
        <f t="shared" si="1"/>
        <v>-13</v>
      </c>
      <c r="H13" s="52">
        <f t="shared" si="1"/>
        <v>-3</v>
      </c>
      <c r="I13" s="62">
        <f t="shared" si="1"/>
        <v>0</v>
      </c>
      <c r="J13" s="52">
        <f t="shared" si="1"/>
        <v>-9</v>
      </c>
      <c r="K13" s="52">
        <f t="shared" si="1"/>
        <v>-5</v>
      </c>
      <c r="L13" s="52">
        <f t="shared" si="1"/>
        <v>3</v>
      </c>
      <c r="M13" s="52">
        <f t="shared" si="1"/>
        <v>-19</v>
      </c>
      <c r="N13" s="52">
        <f t="shared" si="1"/>
        <v>-9</v>
      </c>
      <c r="O13" s="52">
        <f t="shared" si="1"/>
        <v>0</v>
      </c>
      <c r="P13" s="62">
        <f t="shared" si="1"/>
        <v>0</v>
      </c>
      <c r="Q13" s="52">
        <f t="shared" si="1"/>
        <v>0</v>
      </c>
      <c r="R13" s="52">
        <f t="shared" si="1"/>
        <v>-6</v>
      </c>
      <c r="S13" s="52">
        <f t="shared" si="1"/>
        <v>-30</v>
      </c>
      <c r="T13" s="52">
        <f t="shared" si="1"/>
        <v>0</v>
      </c>
      <c r="U13" s="52">
        <f t="shared" si="1"/>
        <v>-9</v>
      </c>
      <c r="V13" s="52">
        <f t="shared" si="1"/>
        <v>-4</v>
      </c>
      <c r="W13" s="62">
        <f t="shared" si="1"/>
        <v>24</v>
      </c>
      <c r="X13" s="52">
        <f t="shared" si="1"/>
        <v>-6</v>
      </c>
      <c r="Y13" s="52">
        <f>Z12-Y11</f>
        <v>-20</v>
      </c>
      <c r="Z13" s="52">
        <f t="shared" si="1"/>
        <v>-20</v>
      </c>
      <c r="AA13" s="52">
        <f t="shared" si="1"/>
        <v>-2</v>
      </c>
      <c r="AB13" s="52">
        <f t="shared" si="1"/>
        <v>-8</v>
      </c>
      <c r="AC13" s="52">
        <f t="shared" si="1"/>
        <v>-24</v>
      </c>
      <c r="AD13" s="62">
        <f t="shared" si="1"/>
        <v>0</v>
      </c>
      <c r="AE13" s="52">
        <f t="shared" si="1"/>
        <v>-30</v>
      </c>
      <c r="AF13" s="97">
        <f t="shared" si="1"/>
        <v>-23</v>
      </c>
      <c r="AG13" s="18">
        <f>AG12-AG11</f>
        <v>-227</v>
      </c>
      <c r="AH13" s="168">
        <f>AG12/AG11</f>
        <v>0.6766381766381766</v>
      </c>
    </row>
    <row r="14" spans="1:34" x14ac:dyDescent="0.45">
      <c r="A14" s="19"/>
      <c r="B14" s="91"/>
      <c r="C14" s="29"/>
      <c r="D14" s="64"/>
      <c r="E14" s="29"/>
      <c r="F14" s="29"/>
      <c r="G14" s="29"/>
      <c r="H14" s="29"/>
      <c r="I14" s="64"/>
      <c r="J14" s="29"/>
      <c r="K14" s="29"/>
      <c r="L14" s="29"/>
      <c r="M14" s="29"/>
      <c r="N14" s="29"/>
      <c r="O14" s="29"/>
      <c r="P14" s="64"/>
      <c r="Q14" s="29"/>
      <c r="R14" s="29"/>
      <c r="S14" s="29"/>
      <c r="T14" s="29"/>
      <c r="U14" s="29"/>
      <c r="V14" s="29"/>
      <c r="W14" s="64"/>
      <c r="X14" s="29"/>
      <c r="Y14" s="29"/>
      <c r="Z14" s="29"/>
      <c r="AA14" s="29"/>
      <c r="AB14" s="29"/>
      <c r="AC14" s="29"/>
      <c r="AD14" s="64"/>
      <c r="AE14" s="56"/>
      <c r="AF14" s="99"/>
      <c r="AG14" s="20"/>
    </row>
    <row r="15" spans="1:34" x14ac:dyDescent="0.45">
      <c r="A15" s="74" t="s">
        <v>13</v>
      </c>
      <c r="B15" s="91">
        <f t="shared" ref="B15:AE15" si="2">B5+B10</f>
        <v>0</v>
      </c>
      <c r="C15" s="29">
        <f t="shared" si="2"/>
        <v>1200</v>
      </c>
      <c r="D15" s="140">
        <f t="shared" si="2"/>
        <v>0</v>
      </c>
      <c r="E15" s="29">
        <f t="shared" si="2"/>
        <v>1200</v>
      </c>
      <c r="F15" s="29">
        <f t="shared" si="2"/>
        <v>960</v>
      </c>
      <c r="G15" s="29">
        <f t="shared" si="2"/>
        <v>960</v>
      </c>
      <c r="H15" s="29">
        <f t="shared" si="2"/>
        <v>960</v>
      </c>
      <c r="I15" s="140">
        <v>0</v>
      </c>
      <c r="J15" s="29">
        <f t="shared" si="2"/>
        <v>1200</v>
      </c>
      <c r="K15" s="29">
        <f t="shared" si="2"/>
        <v>960</v>
      </c>
      <c r="L15" s="29">
        <f t="shared" si="2"/>
        <v>1200</v>
      </c>
      <c r="M15" s="29">
        <f t="shared" si="2"/>
        <v>1200</v>
      </c>
      <c r="N15" s="29">
        <f t="shared" si="2"/>
        <v>1200</v>
      </c>
      <c r="O15" s="143">
        <f t="shared" si="2"/>
        <v>0</v>
      </c>
      <c r="P15" s="143">
        <f t="shared" si="2"/>
        <v>0</v>
      </c>
      <c r="Q15" s="29">
        <f t="shared" si="2"/>
        <v>1200</v>
      </c>
      <c r="R15" s="29">
        <f t="shared" si="2"/>
        <v>1200</v>
      </c>
      <c r="S15" s="29">
        <f t="shared" si="2"/>
        <v>1200</v>
      </c>
      <c r="T15" s="29">
        <f t="shared" si="2"/>
        <v>1200</v>
      </c>
      <c r="U15" s="29">
        <f t="shared" si="2"/>
        <v>1200</v>
      </c>
      <c r="V15" s="143">
        <f t="shared" si="2"/>
        <v>960</v>
      </c>
      <c r="W15" s="143">
        <f t="shared" si="2"/>
        <v>960</v>
      </c>
      <c r="X15" s="29">
        <f t="shared" si="2"/>
        <v>960</v>
      </c>
      <c r="Y15" s="29">
        <f t="shared" si="2"/>
        <v>1080</v>
      </c>
      <c r="Z15" s="29">
        <f t="shared" si="2"/>
        <v>1200</v>
      </c>
      <c r="AA15" s="29">
        <f t="shared" si="2"/>
        <v>1200</v>
      </c>
      <c r="AB15" s="143">
        <f t="shared" si="2"/>
        <v>1200</v>
      </c>
      <c r="AC15" s="143">
        <f t="shared" si="2"/>
        <v>960</v>
      </c>
      <c r="AD15" s="140">
        <v>0</v>
      </c>
      <c r="AE15" s="29">
        <f t="shared" si="2"/>
        <v>1080</v>
      </c>
      <c r="AF15" s="99">
        <f>AF5+AF10</f>
        <v>1200</v>
      </c>
      <c r="AG15" s="20">
        <f>SUM(B15:AF15)</f>
        <v>27840</v>
      </c>
    </row>
    <row r="16" spans="1:34" x14ac:dyDescent="0.45">
      <c r="A16" s="8" t="s">
        <v>10</v>
      </c>
      <c r="B16" s="92">
        <f t="shared" ref="B16:AF17" si="3">SUM(B6,B11)</f>
        <v>0</v>
      </c>
      <c r="C16" s="58">
        <f t="shared" si="3"/>
        <v>60</v>
      </c>
      <c r="D16" s="65">
        <f t="shared" si="3"/>
        <v>0</v>
      </c>
      <c r="E16" s="58">
        <f t="shared" si="3"/>
        <v>60</v>
      </c>
      <c r="F16" s="58">
        <f t="shared" si="3"/>
        <v>60</v>
      </c>
      <c r="G16" s="58">
        <f t="shared" si="3"/>
        <v>60</v>
      </c>
      <c r="H16" s="58">
        <f t="shared" si="3"/>
        <v>48</v>
      </c>
      <c r="I16" s="65">
        <f t="shared" si="3"/>
        <v>0</v>
      </c>
      <c r="J16" s="58">
        <f t="shared" si="3"/>
        <v>60</v>
      </c>
      <c r="K16" s="58">
        <f t="shared" si="3"/>
        <v>60</v>
      </c>
      <c r="L16" s="58">
        <f t="shared" si="3"/>
        <v>60</v>
      </c>
      <c r="M16" s="58">
        <f t="shared" si="3"/>
        <v>60</v>
      </c>
      <c r="N16" s="58">
        <f t="shared" si="3"/>
        <v>60</v>
      </c>
      <c r="O16" s="58">
        <f t="shared" si="3"/>
        <v>0</v>
      </c>
      <c r="P16" s="65">
        <f t="shared" si="3"/>
        <v>0</v>
      </c>
      <c r="Q16" s="58">
        <f t="shared" si="3"/>
        <v>60</v>
      </c>
      <c r="R16" s="58">
        <f t="shared" si="3"/>
        <v>60</v>
      </c>
      <c r="S16" s="58">
        <f t="shared" si="3"/>
        <v>60</v>
      </c>
      <c r="T16" s="58">
        <f t="shared" si="3"/>
        <v>60</v>
      </c>
      <c r="U16" s="58">
        <f t="shared" si="3"/>
        <v>60</v>
      </c>
      <c r="V16" s="58">
        <f t="shared" si="3"/>
        <v>48</v>
      </c>
      <c r="W16" s="65">
        <f t="shared" si="3"/>
        <v>0</v>
      </c>
      <c r="X16" s="58">
        <f t="shared" si="3"/>
        <v>60</v>
      </c>
      <c r="Y16" s="58">
        <f t="shared" si="3"/>
        <v>60</v>
      </c>
      <c r="Z16" s="58">
        <f t="shared" si="3"/>
        <v>60</v>
      </c>
      <c r="AA16" s="58">
        <f t="shared" si="3"/>
        <v>60</v>
      </c>
      <c r="AB16" s="58">
        <f t="shared" si="3"/>
        <v>60</v>
      </c>
      <c r="AC16" s="58">
        <f t="shared" si="3"/>
        <v>48</v>
      </c>
      <c r="AD16" s="65">
        <f t="shared" si="3"/>
        <v>0</v>
      </c>
      <c r="AE16" s="58">
        <f t="shared" si="3"/>
        <v>60</v>
      </c>
      <c r="AF16" s="100">
        <f t="shared" si="3"/>
        <v>60</v>
      </c>
      <c r="AG16" s="17">
        <f>SUM(B16:AF16)</f>
        <v>1404</v>
      </c>
    </row>
    <row r="17" spans="1:34" x14ac:dyDescent="0.45">
      <c r="A17" s="8" t="s">
        <v>11</v>
      </c>
      <c r="B17" s="92">
        <f t="shared" si="3"/>
        <v>0</v>
      </c>
      <c r="C17" s="58">
        <f t="shared" si="3"/>
        <v>45</v>
      </c>
      <c r="D17" s="65">
        <f t="shared" si="3"/>
        <v>0</v>
      </c>
      <c r="E17" s="58">
        <f t="shared" si="3"/>
        <v>34</v>
      </c>
      <c r="F17" s="58">
        <f t="shared" si="3"/>
        <v>39</v>
      </c>
      <c r="G17" s="58">
        <f t="shared" si="3"/>
        <v>25</v>
      </c>
      <c r="H17" s="58">
        <f t="shared" si="3"/>
        <v>32</v>
      </c>
      <c r="I17" s="65">
        <f t="shared" si="3"/>
        <v>0</v>
      </c>
      <c r="J17" s="58">
        <f>SUM(J7,J12)</f>
        <v>44</v>
      </c>
      <c r="K17" s="58">
        <f>SUM(K7,K12)</f>
        <v>46</v>
      </c>
      <c r="L17" s="58">
        <f>SUM(L7,L12)</f>
        <v>33</v>
      </c>
      <c r="M17" s="58">
        <f t="shared" si="3"/>
        <v>35</v>
      </c>
      <c r="N17" s="58">
        <f t="shared" si="3"/>
        <v>46</v>
      </c>
      <c r="O17" s="58">
        <f t="shared" si="3"/>
        <v>19</v>
      </c>
      <c r="P17" s="58">
        <f t="shared" si="3"/>
        <v>0</v>
      </c>
      <c r="Q17" s="58">
        <f t="shared" si="3"/>
        <v>59</v>
      </c>
      <c r="R17" s="58">
        <f t="shared" si="3"/>
        <v>43</v>
      </c>
      <c r="S17" s="58">
        <f t="shared" si="3"/>
        <v>0</v>
      </c>
      <c r="T17" s="58">
        <f t="shared" si="3"/>
        <v>60</v>
      </c>
      <c r="U17" s="58">
        <f>SUM(U7,U12)</f>
        <v>47</v>
      </c>
      <c r="V17" s="58">
        <f>SUM(V7,V12)</f>
        <v>53</v>
      </c>
      <c r="W17" s="65">
        <f>SUM(W7,W12)</f>
        <v>44</v>
      </c>
      <c r="X17" s="58">
        <f>SUM(X7,X12)</f>
        <v>24</v>
      </c>
      <c r="Y17" s="58">
        <f>SUM(Y7,Y12)</f>
        <v>59</v>
      </c>
      <c r="Z17" s="58">
        <f t="shared" si="3"/>
        <v>25</v>
      </c>
      <c r="AA17" s="58">
        <f t="shared" si="3"/>
        <v>61</v>
      </c>
      <c r="AB17" s="58">
        <f t="shared" si="3"/>
        <v>42</v>
      </c>
      <c r="AC17" s="58">
        <f t="shared" si="3"/>
        <v>0</v>
      </c>
      <c r="AD17" s="65">
        <f t="shared" si="3"/>
        <v>0</v>
      </c>
      <c r="AE17" s="58">
        <f t="shared" si="3"/>
        <v>12</v>
      </c>
      <c r="AF17" s="58">
        <f t="shared" si="3"/>
        <v>32</v>
      </c>
      <c r="AG17" s="17">
        <f>SUM(B17:AF17)</f>
        <v>959</v>
      </c>
      <c r="AH17" s="169"/>
    </row>
    <row r="18" spans="1:34" x14ac:dyDescent="0.45">
      <c r="A18" s="131" t="s">
        <v>7</v>
      </c>
      <c r="B18" s="132"/>
      <c r="C18" s="58">
        <f>C17-C16</f>
        <v>-15</v>
      </c>
      <c r="D18" s="58">
        <f t="shared" ref="D18:AF18" si="4">D17-D16</f>
        <v>0</v>
      </c>
      <c r="E18" s="58">
        <f t="shared" si="4"/>
        <v>-26</v>
      </c>
      <c r="F18" s="58">
        <f t="shared" si="4"/>
        <v>-21</v>
      </c>
      <c r="G18" s="58">
        <f t="shared" si="4"/>
        <v>-35</v>
      </c>
      <c r="H18" s="58">
        <f t="shared" si="4"/>
        <v>-16</v>
      </c>
      <c r="I18" s="58">
        <f t="shared" si="4"/>
        <v>0</v>
      </c>
      <c r="J18" s="58">
        <f t="shared" si="4"/>
        <v>-16</v>
      </c>
      <c r="K18" s="58">
        <f t="shared" si="4"/>
        <v>-14</v>
      </c>
      <c r="L18" s="58">
        <f t="shared" si="4"/>
        <v>-27</v>
      </c>
      <c r="M18" s="58">
        <f t="shared" si="4"/>
        <v>-25</v>
      </c>
      <c r="N18" s="58">
        <f t="shared" si="4"/>
        <v>-14</v>
      </c>
      <c r="O18" s="58">
        <f t="shared" ref="O18:P18" si="5">O17-O16</f>
        <v>19</v>
      </c>
      <c r="P18" s="58">
        <f t="shared" si="5"/>
        <v>0</v>
      </c>
      <c r="Q18" s="58">
        <f t="shared" si="4"/>
        <v>-1</v>
      </c>
      <c r="R18" s="58">
        <f t="shared" si="4"/>
        <v>-17</v>
      </c>
      <c r="S18" s="58">
        <f t="shared" si="4"/>
        <v>-60</v>
      </c>
      <c r="T18" s="58">
        <f t="shared" si="4"/>
        <v>0</v>
      </c>
      <c r="U18" s="58">
        <f t="shared" si="4"/>
        <v>-13</v>
      </c>
      <c r="V18" s="58">
        <f t="shared" si="4"/>
        <v>5</v>
      </c>
      <c r="W18" s="58">
        <f t="shared" si="4"/>
        <v>44</v>
      </c>
      <c r="X18" s="58">
        <f t="shared" si="4"/>
        <v>-36</v>
      </c>
      <c r="Y18" s="58">
        <f t="shared" si="4"/>
        <v>-1</v>
      </c>
      <c r="Z18" s="58">
        <f t="shared" si="4"/>
        <v>-35</v>
      </c>
      <c r="AA18" s="58">
        <f t="shared" si="4"/>
        <v>1</v>
      </c>
      <c r="AB18" s="58">
        <f t="shared" si="4"/>
        <v>-18</v>
      </c>
      <c r="AC18" s="58">
        <f t="shared" si="4"/>
        <v>-48</v>
      </c>
      <c r="AD18" s="58">
        <f t="shared" si="4"/>
        <v>0</v>
      </c>
      <c r="AE18" s="58">
        <f t="shared" si="4"/>
        <v>-48</v>
      </c>
      <c r="AF18" s="58">
        <f t="shared" si="4"/>
        <v>-28</v>
      </c>
      <c r="AG18" s="133"/>
    </row>
    <row r="19" spans="1:34" ht="19" thickBot="1" x14ac:dyDescent="0.5">
      <c r="A19" s="9" t="s">
        <v>17</v>
      </c>
      <c r="B19" s="89">
        <f>B17-B16</f>
        <v>0</v>
      </c>
      <c r="C19" s="134">
        <f>C18</f>
        <v>-15</v>
      </c>
      <c r="D19" s="134">
        <f>D18+C19</f>
        <v>-15</v>
      </c>
      <c r="E19" s="134">
        <f>E18+D19</f>
        <v>-41</v>
      </c>
      <c r="F19" s="134">
        <f>F18+E19</f>
        <v>-62</v>
      </c>
      <c r="G19" s="134">
        <f>G18+F19</f>
        <v>-97</v>
      </c>
      <c r="H19" s="134">
        <f>H18+G19</f>
        <v>-113</v>
      </c>
      <c r="I19" s="134">
        <f t="shared" ref="I19:N19" si="6">I18+H19</f>
        <v>-113</v>
      </c>
      <c r="J19" s="134">
        <f t="shared" si="6"/>
        <v>-129</v>
      </c>
      <c r="K19" s="134">
        <f t="shared" si="6"/>
        <v>-143</v>
      </c>
      <c r="L19" s="134">
        <f t="shared" si="6"/>
        <v>-170</v>
      </c>
      <c r="M19" s="134">
        <f t="shared" si="6"/>
        <v>-195</v>
      </c>
      <c r="N19" s="134">
        <f t="shared" si="6"/>
        <v>-209</v>
      </c>
      <c r="O19" s="134">
        <f t="shared" ref="O19" si="7">O18+N19</f>
        <v>-190</v>
      </c>
      <c r="P19" s="134">
        <f t="shared" ref="P19:U19" si="8">P18+O19</f>
        <v>-190</v>
      </c>
      <c r="Q19" s="134">
        <f t="shared" si="8"/>
        <v>-191</v>
      </c>
      <c r="R19" s="134">
        <f t="shared" si="8"/>
        <v>-208</v>
      </c>
      <c r="S19" s="134">
        <f t="shared" si="8"/>
        <v>-268</v>
      </c>
      <c r="T19" s="134">
        <f t="shared" si="8"/>
        <v>-268</v>
      </c>
      <c r="U19" s="134">
        <f t="shared" si="8"/>
        <v>-281</v>
      </c>
      <c r="V19" s="134">
        <f t="shared" ref="V19" si="9">V18+U19</f>
        <v>-276</v>
      </c>
      <c r="W19" s="134">
        <f t="shared" ref="W19:AA19" si="10">W18+V19</f>
        <v>-232</v>
      </c>
      <c r="X19" s="134">
        <f t="shared" si="10"/>
        <v>-268</v>
      </c>
      <c r="Y19" s="134">
        <f t="shared" si="10"/>
        <v>-269</v>
      </c>
      <c r="Z19" s="134">
        <f t="shared" si="10"/>
        <v>-304</v>
      </c>
      <c r="AA19" s="134">
        <f t="shared" si="10"/>
        <v>-303</v>
      </c>
      <c r="AB19" s="134">
        <f t="shared" ref="AB19" si="11">AB18+AA19</f>
        <v>-321</v>
      </c>
      <c r="AC19" s="134">
        <f t="shared" ref="AC19" si="12">AC18+AB19</f>
        <v>-369</v>
      </c>
      <c r="AD19" s="134">
        <f t="shared" ref="AD19:AF19" si="13">AD18+AC19</f>
        <v>-369</v>
      </c>
      <c r="AE19" s="134">
        <f t="shared" si="13"/>
        <v>-417</v>
      </c>
      <c r="AF19" s="135">
        <f t="shared" si="13"/>
        <v>-445</v>
      </c>
      <c r="AG19" s="18">
        <f>AG17-AG16</f>
        <v>-445</v>
      </c>
      <c r="AH19" s="168">
        <f>AG17/AG16</f>
        <v>0.6830484330484331</v>
      </c>
    </row>
    <row r="20" spans="1:34" s="179" customFormat="1" ht="14.5" x14ac:dyDescent="0.35">
      <c r="A20" s="176" t="s">
        <v>18</v>
      </c>
      <c r="C20" s="178">
        <f>C16</f>
        <v>60</v>
      </c>
      <c r="D20" s="178">
        <f>D16+C20</f>
        <v>60</v>
      </c>
      <c r="E20" s="178">
        <f>E16+D20</f>
        <v>120</v>
      </c>
      <c r="F20" s="178">
        <f t="shared" ref="F20:AC21" si="14">E20+F16</f>
        <v>180</v>
      </c>
      <c r="G20" s="178">
        <f t="shared" si="14"/>
        <v>240</v>
      </c>
      <c r="H20" s="178">
        <f t="shared" si="14"/>
        <v>288</v>
      </c>
      <c r="I20" s="178">
        <f t="shared" si="14"/>
        <v>288</v>
      </c>
      <c r="J20" s="178">
        <f t="shared" si="14"/>
        <v>348</v>
      </c>
      <c r="K20" s="178">
        <f t="shared" si="14"/>
        <v>408</v>
      </c>
      <c r="L20" s="178">
        <f t="shared" si="14"/>
        <v>468</v>
      </c>
      <c r="M20" s="178">
        <f t="shared" si="14"/>
        <v>528</v>
      </c>
      <c r="N20" s="178">
        <f t="shared" si="14"/>
        <v>588</v>
      </c>
      <c r="O20" s="178">
        <f t="shared" si="14"/>
        <v>588</v>
      </c>
      <c r="P20" s="178">
        <f t="shared" si="14"/>
        <v>588</v>
      </c>
      <c r="Q20" s="178">
        <f t="shared" si="14"/>
        <v>648</v>
      </c>
      <c r="R20" s="178">
        <f t="shared" si="14"/>
        <v>708</v>
      </c>
      <c r="S20" s="178">
        <f t="shared" si="14"/>
        <v>768</v>
      </c>
      <c r="T20" s="178">
        <f t="shared" si="14"/>
        <v>828</v>
      </c>
      <c r="U20" s="178">
        <f t="shared" si="14"/>
        <v>888</v>
      </c>
      <c r="V20" s="178">
        <f t="shared" si="14"/>
        <v>936</v>
      </c>
      <c r="W20" s="178">
        <f t="shared" si="14"/>
        <v>936</v>
      </c>
      <c r="X20" s="178">
        <f t="shared" si="14"/>
        <v>996</v>
      </c>
      <c r="Y20" s="178">
        <f t="shared" si="14"/>
        <v>1056</v>
      </c>
      <c r="Z20" s="178">
        <f t="shared" si="14"/>
        <v>1116</v>
      </c>
      <c r="AA20" s="178">
        <f t="shared" si="14"/>
        <v>1176</v>
      </c>
      <c r="AB20" s="178">
        <f t="shared" si="14"/>
        <v>1236</v>
      </c>
      <c r="AC20" s="178">
        <f t="shared" si="14"/>
        <v>1284</v>
      </c>
      <c r="AD20" s="178">
        <f t="shared" ref="AD20:AF21" si="15">AC20+AD16</f>
        <v>1284</v>
      </c>
      <c r="AE20" s="178">
        <f t="shared" ref="AE20" si="16">AD20+AE16</f>
        <v>1344</v>
      </c>
      <c r="AF20" s="178">
        <f t="shared" ref="AF20" si="17">AE20+AF16</f>
        <v>1404</v>
      </c>
      <c r="AH20" s="176"/>
    </row>
    <row r="21" spans="1:34" s="179" customFormat="1" ht="14.5" x14ac:dyDescent="0.35">
      <c r="A21" s="176" t="s">
        <v>19</v>
      </c>
      <c r="B21" s="177">
        <f>B17</f>
        <v>0</v>
      </c>
      <c r="C21" s="178">
        <f>B21+C17</f>
        <v>45</v>
      </c>
      <c r="D21" s="178">
        <f t="shared" ref="D21:N21" si="18">C21+D17</f>
        <v>45</v>
      </c>
      <c r="E21" s="178">
        <f t="shared" si="18"/>
        <v>79</v>
      </c>
      <c r="F21" s="178">
        <f t="shared" si="18"/>
        <v>118</v>
      </c>
      <c r="G21" s="178">
        <f t="shared" si="18"/>
        <v>143</v>
      </c>
      <c r="H21" s="178">
        <f t="shared" si="18"/>
        <v>175</v>
      </c>
      <c r="I21" s="178">
        <f t="shared" si="18"/>
        <v>175</v>
      </c>
      <c r="J21" s="178">
        <f t="shared" si="18"/>
        <v>219</v>
      </c>
      <c r="K21" s="178">
        <f t="shared" si="18"/>
        <v>265</v>
      </c>
      <c r="L21" s="178">
        <f t="shared" si="18"/>
        <v>298</v>
      </c>
      <c r="M21" s="178">
        <f t="shared" si="18"/>
        <v>333</v>
      </c>
      <c r="N21" s="178">
        <f t="shared" si="18"/>
        <v>379</v>
      </c>
      <c r="O21" s="178">
        <f t="shared" si="14"/>
        <v>398</v>
      </c>
      <c r="P21" s="178">
        <f t="shared" si="14"/>
        <v>398</v>
      </c>
      <c r="Q21" s="178">
        <f t="shared" si="14"/>
        <v>457</v>
      </c>
      <c r="R21" s="178">
        <f t="shared" si="14"/>
        <v>500</v>
      </c>
      <c r="S21" s="178">
        <f t="shared" si="14"/>
        <v>500</v>
      </c>
      <c r="T21" s="178">
        <f t="shared" si="14"/>
        <v>560</v>
      </c>
      <c r="U21" s="178">
        <f t="shared" si="14"/>
        <v>607</v>
      </c>
      <c r="V21" s="178">
        <f t="shared" ref="V21" si="19">U21+V17</f>
        <v>660</v>
      </c>
      <c r="W21" s="178">
        <f t="shared" ref="W21:AA21" si="20">V21+W17</f>
        <v>704</v>
      </c>
      <c r="X21" s="178">
        <f t="shared" si="20"/>
        <v>728</v>
      </c>
      <c r="Y21" s="178">
        <f t="shared" si="20"/>
        <v>787</v>
      </c>
      <c r="Z21" s="178">
        <f t="shared" si="20"/>
        <v>812</v>
      </c>
      <c r="AA21" s="178">
        <f t="shared" si="20"/>
        <v>873</v>
      </c>
      <c r="AB21" s="178">
        <f t="shared" si="14"/>
        <v>915</v>
      </c>
      <c r="AC21" s="178">
        <f t="shared" si="14"/>
        <v>915</v>
      </c>
      <c r="AD21" s="178">
        <f t="shared" si="15"/>
        <v>915</v>
      </c>
      <c r="AE21" s="178">
        <f t="shared" si="15"/>
        <v>927</v>
      </c>
      <c r="AF21" s="178">
        <f t="shared" si="15"/>
        <v>959</v>
      </c>
      <c r="AH21" s="176"/>
    </row>
    <row r="24" spans="1:34" ht="19" thickBot="1" x14ac:dyDescent="0.5">
      <c r="AG24" s="10"/>
    </row>
  </sheetData>
  <mergeCells count="3">
    <mergeCell ref="A1:A3"/>
    <mergeCell ref="B2:AF2"/>
    <mergeCell ref="AG2:AG3"/>
  </mergeCells>
  <conditionalFormatting sqref="B9:AF9 AF10">
    <cfRule type="cellIs" dxfId="60" priority="78" operator="greaterThan">
      <formula>0</formula>
    </cfRule>
  </conditionalFormatting>
  <conditionalFormatting sqref="B11:AF11">
    <cfRule type="cellIs" dxfId="59" priority="20" operator="greaterThan">
      <formula>0</formula>
    </cfRule>
  </conditionalFormatting>
  <conditionalFormatting sqref="B8:AG8">
    <cfRule type="cellIs" dxfId="58" priority="76" operator="lessThan">
      <formula>0</formula>
    </cfRule>
  </conditionalFormatting>
  <conditionalFormatting sqref="B13:AG13">
    <cfRule type="cellIs" dxfId="57" priority="75" operator="lessThan">
      <formula>0</formula>
    </cfRule>
  </conditionalFormatting>
  <conditionalFormatting sqref="B19:AG19">
    <cfRule type="cellIs" dxfId="56" priority="79" operator="lessThan">
      <formula>0</formula>
    </cfRule>
  </conditionalFormatting>
  <conditionalFormatting sqref="C7 E7:H7">
    <cfRule type="cellIs" dxfId="55" priority="74" operator="lessThan">
      <formula>31</formula>
    </cfRule>
  </conditionalFormatting>
  <conditionalFormatting sqref="C12 E12:H12">
    <cfRule type="cellIs" dxfId="54" priority="16" operator="lessThan">
      <formula>31</formula>
    </cfRule>
  </conditionalFormatting>
  <conditionalFormatting sqref="C7:AF7">
    <cfRule type="cellIs" dxfId="53" priority="18" operator="greaterThan">
      <formula>30</formula>
    </cfRule>
    <cfRule type="cellIs" dxfId="52" priority="19" operator="equal">
      <formula>30</formula>
    </cfRule>
  </conditionalFormatting>
  <conditionalFormatting sqref="C12:AF12">
    <cfRule type="cellIs" dxfId="51" priority="4" operator="greaterThan">
      <formula>30</formula>
    </cfRule>
    <cfRule type="cellIs" dxfId="50" priority="5" operator="equal">
      <formula>30</formula>
    </cfRule>
  </conditionalFormatting>
  <conditionalFormatting sqref="C17:AF17">
    <cfRule type="cellIs" dxfId="49" priority="1" operator="lessThan">
      <formula>60</formula>
    </cfRule>
    <cfRule type="cellIs" dxfId="48" priority="2" operator="greaterThan">
      <formula>60</formula>
    </cfRule>
    <cfRule type="cellIs" dxfId="47" priority="3" operator="equal">
      <formula>60</formula>
    </cfRule>
  </conditionalFormatting>
  <conditionalFormatting sqref="C18:AF18">
    <cfRule type="cellIs" dxfId="46" priority="49" operator="lessThan">
      <formula>0</formula>
    </cfRule>
  </conditionalFormatting>
  <conditionalFormatting sqref="D6:D7 I6:I7 AD6:AD7 B6:C6 E6:AC6 AE6:AF6">
    <cfRule type="cellIs" dxfId="45" priority="81" operator="greaterThan">
      <formula>0</formula>
    </cfRule>
  </conditionalFormatting>
  <conditionalFormatting sqref="D12 I12 AD12">
    <cfRule type="cellIs" dxfId="44" priority="17" operator="greaterThan">
      <formula>0</formula>
    </cfRule>
  </conditionalFormatting>
  <conditionalFormatting sqref="D15:D17">
    <cfRule type="cellIs" dxfId="43" priority="21" operator="greaterThan">
      <formula>0</formula>
    </cfRule>
  </conditionalFormatting>
  <conditionalFormatting sqref="I15">
    <cfRule type="cellIs" dxfId="42" priority="37" operator="greaterThan">
      <formula>0</formula>
    </cfRule>
  </conditionalFormatting>
  <conditionalFormatting sqref="I17 B16:C16 E16:AC16 AE16:AF16">
    <cfRule type="cellIs" dxfId="41" priority="80" operator="greaterThan">
      <formula>0</formula>
    </cfRule>
  </conditionalFormatting>
  <conditionalFormatting sqref="J7:V7 J12:V12">
    <cfRule type="cellIs" dxfId="40" priority="73" operator="lessThan">
      <formula>31</formula>
    </cfRule>
  </conditionalFormatting>
  <conditionalFormatting sqref="P7:V7 P12:V12">
    <cfRule type="cellIs" dxfId="39" priority="71" operator="lessThan">
      <formula>30</formula>
    </cfRule>
  </conditionalFormatting>
  <conditionalFormatting sqref="X7:AC7">
    <cfRule type="cellIs" dxfId="38" priority="67" operator="lessThan">
      <formula>30</formula>
    </cfRule>
    <cfRule type="cellIs" dxfId="37" priority="69" operator="lessThan">
      <formula>31</formula>
    </cfRule>
  </conditionalFormatting>
  <conditionalFormatting sqref="X12:AC12">
    <cfRule type="cellIs" dxfId="36" priority="11" operator="lessThan">
      <formula>30</formula>
    </cfRule>
    <cfRule type="cellIs" dxfId="35" priority="13" operator="lessThan">
      <formula>31</formula>
    </cfRule>
  </conditionalFormatting>
  <conditionalFormatting sqref="AD15:AD17">
    <cfRule type="cellIs" dxfId="34" priority="36" operator="greaterThan">
      <formula>0</formula>
    </cfRule>
  </conditionalFormatting>
  <conditionalFormatting sqref="AE7:AF7">
    <cfRule type="cellIs" dxfId="33" priority="33" operator="lessThan">
      <formula>30</formula>
    </cfRule>
    <cfRule type="cellIs" dxfId="32" priority="35" operator="lessThan">
      <formula>31</formula>
    </cfRule>
  </conditionalFormatting>
  <conditionalFormatting sqref="AE12:AF12">
    <cfRule type="cellIs" dxfId="31" priority="7" operator="lessThan">
      <formula>30</formula>
    </cfRule>
    <cfRule type="cellIs" dxfId="30" priority="9" operator="lessThan">
      <formula>31</formula>
    </cfRule>
  </conditionalFormatting>
  <conditionalFormatting sqref="AG24">
    <cfRule type="cellIs" dxfId="29" priority="77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3C5E-9BC6-4358-9ACA-6249C3D8888E}">
  <sheetPr>
    <tabColor rgb="FF00B050"/>
  </sheetPr>
  <dimension ref="A1:AH24"/>
  <sheetViews>
    <sheetView showGridLines="0" tabSelected="1" zoomScale="68" zoomScaleNormal="68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G21"/>
    </sheetView>
  </sheetViews>
  <sheetFormatPr defaultRowHeight="18.5" x14ac:dyDescent="0.45"/>
  <cols>
    <col min="1" max="1" width="27.81640625" style="5" customWidth="1"/>
    <col min="2" max="32" width="6.54296875" customWidth="1"/>
    <col min="33" max="33" width="10.26953125" customWidth="1"/>
    <col min="34" max="34" width="8.7265625" style="167"/>
  </cols>
  <sheetData>
    <row r="1" spans="1:34" ht="21.65" customHeight="1" thickBot="1" x14ac:dyDescent="0.4">
      <c r="A1" s="195" t="s">
        <v>0</v>
      </c>
    </row>
    <row r="2" spans="1:34" ht="19" thickBot="1" x14ac:dyDescent="0.5">
      <c r="A2" s="195"/>
      <c r="B2" s="197">
        <v>46114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9"/>
      <c r="AG2" s="200" t="s">
        <v>1</v>
      </c>
    </row>
    <row r="3" spans="1:34" ht="19" customHeight="1" thickBot="1" x14ac:dyDescent="0.4">
      <c r="A3" s="196"/>
      <c r="B3" s="45">
        <v>1</v>
      </c>
      <c r="C3" s="3">
        <v>2</v>
      </c>
      <c r="D3" s="3">
        <v>3</v>
      </c>
      <c r="E3" s="2">
        <v>4</v>
      </c>
      <c r="F3" s="2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2">
        <v>25</v>
      </c>
      <c r="AA3" s="2">
        <v>26</v>
      </c>
      <c r="AB3" s="3">
        <v>27</v>
      </c>
      <c r="AC3" s="3">
        <v>28</v>
      </c>
      <c r="AD3" s="3">
        <v>29</v>
      </c>
      <c r="AE3" s="46">
        <v>30</v>
      </c>
      <c r="AF3" s="95"/>
      <c r="AG3" s="201"/>
    </row>
    <row r="4" spans="1:34" x14ac:dyDescent="0.45">
      <c r="A4" s="6" t="s">
        <v>2</v>
      </c>
      <c r="B4" s="53"/>
      <c r="C4" s="42"/>
      <c r="D4" s="42"/>
      <c r="E4" s="41"/>
      <c r="F4" s="41"/>
      <c r="G4" s="42"/>
      <c r="H4" s="42"/>
      <c r="I4" s="42"/>
      <c r="J4" s="42"/>
      <c r="K4" s="42"/>
      <c r="L4" s="41"/>
      <c r="M4" s="41"/>
      <c r="N4" s="41"/>
      <c r="O4" s="41"/>
      <c r="P4" s="41"/>
      <c r="Q4" s="41"/>
      <c r="R4" s="41"/>
      <c r="S4" s="41"/>
      <c r="T4" s="41"/>
      <c r="U4" s="42"/>
      <c r="V4" s="42"/>
      <c r="W4" s="42"/>
      <c r="X4" s="42"/>
      <c r="Y4" s="42"/>
      <c r="Z4" s="41"/>
      <c r="AA4" s="41"/>
      <c r="AB4" s="42"/>
      <c r="AC4" s="42"/>
      <c r="AD4" s="42"/>
      <c r="AE4" s="54"/>
      <c r="AF4" s="98"/>
      <c r="AG4" s="21"/>
    </row>
    <row r="5" spans="1:34" x14ac:dyDescent="0.45">
      <c r="A5" s="19" t="s">
        <v>12</v>
      </c>
      <c r="B5" s="190">
        <v>600</v>
      </c>
      <c r="C5" s="191">
        <v>600</v>
      </c>
      <c r="D5" s="191">
        <v>600</v>
      </c>
      <c r="E5" s="193">
        <v>480</v>
      </c>
      <c r="F5" s="193"/>
      <c r="G5" s="191">
        <v>480</v>
      </c>
      <c r="H5" s="191">
        <v>600</v>
      </c>
      <c r="I5" s="191">
        <v>600</v>
      </c>
      <c r="J5" s="191">
        <v>600</v>
      </c>
      <c r="K5" s="191">
        <v>480</v>
      </c>
      <c r="L5" s="193"/>
      <c r="M5" s="193"/>
      <c r="N5" s="193"/>
      <c r="O5" s="193"/>
      <c r="P5" s="193"/>
      <c r="Q5" s="193"/>
      <c r="R5" s="193"/>
      <c r="S5" s="193"/>
      <c r="T5" s="193"/>
      <c r="U5" s="191">
        <v>480</v>
      </c>
      <c r="V5" s="191">
        <v>600</v>
      </c>
      <c r="W5" s="191">
        <v>600</v>
      </c>
      <c r="X5" s="191">
        <v>600</v>
      </c>
      <c r="Y5" s="191">
        <v>600</v>
      </c>
      <c r="Z5" s="193">
        <v>480</v>
      </c>
      <c r="AA5" s="193"/>
      <c r="AB5" s="191">
        <v>600</v>
      </c>
      <c r="AC5" s="191">
        <v>600</v>
      </c>
      <c r="AD5" s="191">
        <v>600</v>
      </c>
      <c r="AE5" s="191">
        <v>600</v>
      </c>
      <c r="AF5" s="194"/>
      <c r="AG5" s="20">
        <f>SUM(B5:AF5)</f>
        <v>10800</v>
      </c>
    </row>
    <row r="6" spans="1:34" x14ac:dyDescent="0.45">
      <c r="A6" s="7" t="s">
        <v>5</v>
      </c>
      <c r="B6" s="49">
        <v>30</v>
      </c>
      <c r="C6" s="24">
        <v>30</v>
      </c>
      <c r="D6" s="180">
        <v>30</v>
      </c>
      <c r="E6" s="23">
        <v>25</v>
      </c>
      <c r="F6" s="23"/>
      <c r="G6" s="24">
        <v>30</v>
      </c>
      <c r="H6" s="24">
        <v>30</v>
      </c>
      <c r="I6" s="180">
        <v>30</v>
      </c>
      <c r="J6" s="24">
        <v>30</v>
      </c>
      <c r="K6" s="24">
        <v>25</v>
      </c>
      <c r="L6" s="182"/>
      <c r="M6" s="182"/>
      <c r="N6" s="182"/>
      <c r="O6" s="182"/>
      <c r="P6" s="182"/>
      <c r="Q6" s="23"/>
      <c r="R6" s="23"/>
      <c r="S6" s="23"/>
      <c r="T6" s="23"/>
      <c r="U6" s="180">
        <v>25</v>
      </c>
      <c r="V6" s="180">
        <v>30</v>
      </c>
      <c r="W6" s="180">
        <v>30</v>
      </c>
      <c r="X6" s="24">
        <v>30</v>
      </c>
      <c r="Y6" s="24">
        <v>30</v>
      </c>
      <c r="Z6" s="23">
        <v>25</v>
      </c>
      <c r="AA6" s="23"/>
      <c r="AB6" s="24">
        <v>30</v>
      </c>
      <c r="AC6" s="24">
        <v>30</v>
      </c>
      <c r="AD6" s="180">
        <v>30</v>
      </c>
      <c r="AE6" s="50">
        <v>30</v>
      </c>
      <c r="AF6" s="96"/>
      <c r="AG6" s="17">
        <f>SUM(B6:AF6)</f>
        <v>550</v>
      </c>
    </row>
    <row r="7" spans="1:34" x14ac:dyDescent="0.45">
      <c r="A7" s="7" t="s">
        <v>6</v>
      </c>
      <c r="B7" s="24">
        <v>31</v>
      </c>
      <c r="C7" s="24">
        <v>30</v>
      </c>
      <c r="D7" s="24">
        <v>25</v>
      </c>
      <c r="E7" s="23">
        <v>0</v>
      </c>
      <c r="F7" s="23"/>
      <c r="G7" s="24">
        <v>20</v>
      </c>
      <c r="H7" s="24">
        <v>24</v>
      </c>
      <c r="I7" s="24"/>
      <c r="J7" s="24"/>
      <c r="K7" s="24"/>
      <c r="L7" s="23"/>
      <c r="M7" s="23"/>
      <c r="N7" s="23"/>
      <c r="O7" s="23"/>
      <c r="P7" s="23"/>
      <c r="Q7" s="23"/>
      <c r="R7" s="23"/>
      <c r="S7" s="23"/>
      <c r="T7" s="23"/>
      <c r="U7" s="24"/>
      <c r="V7" s="24"/>
      <c r="W7" s="24"/>
      <c r="X7" s="24"/>
      <c r="Y7" s="24"/>
      <c r="Z7" s="23"/>
      <c r="AA7" s="23"/>
      <c r="AB7" s="24"/>
      <c r="AC7" s="24"/>
      <c r="AD7" s="24"/>
      <c r="AE7" s="24"/>
      <c r="AF7" s="24"/>
      <c r="AG7" s="17">
        <f>SUM(B7:AF7)</f>
        <v>130</v>
      </c>
    </row>
    <row r="8" spans="1:34" ht="19" thickBot="1" x14ac:dyDescent="0.5">
      <c r="A8" s="39" t="s">
        <v>7</v>
      </c>
      <c r="B8" s="51">
        <f>B7-B6</f>
        <v>1</v>
      </c>
      <c r="C8" s="52">
        <f t="shared" ref="C8:AF8" si="0">C7-C6</f>
        <v>0</v>
      </c>
      <c r="D8" s="52">
        <f t="shared" si="0"/>
        <v>-5</v>
      </c>
      <c r="E8" s="36">
        <f t="shared" si="0"/>
        <v>-25</v>
      </c>
      <c r="F8" s="36">
        <f t="shared" si="0"/>
        <v>0</v>
      </c>
      <c r="G8" s="52">
        <f t="shared" si="0"/>
        <v>-10</v>
      </c>
      <c r="H8" s="52">
        <f t="shared" si="0"/>
        <v>-6</v>
      </c>
      <c r="I8" s="52">
        <f t="shared" si="0"/>
        <v>-30</v>
      </c>
      <c r="J8" s="52">
        <f>J7-J6</f>
        <v>-30</v>
      </c>
      <c r="K8" s="52">
        <f>K7-K6</f>
        <v>-25</v>
      </c>
      <c r="L8" s="36">
        <f t="shared" si="0"/>
        <v>0</v>
      </c>
      <c r="M8" s="36">
        <f t="shared" si="0"/>
        <v>0</v>
      </c>
      <c r="N8" s="36">
        <f t="shared" si="0"/>
        <v>0</v>
      </c>
      <c r="O8" s="36">
        <f t="shared" si="0"/>
        <v>0</v>
      </c>
      <c r="P8" s="36">
        <f t="shared" si="0"/>
        <v>0</v>
      </c>
      <c r="Q8" s="36">
        <f t="shared" si="0"/>
        <v>0</v>
      </c>
      <c r="R8" s="36">
        <f t="shared" si="0"/>
        <v>0</v>
      </c>
      <c r="S8" s="36">
        <f t="shared" si="0"/>
        <v>0</v>
      </c>
      <c r="T8" s="36">
        <f t="shared" si="0"/>
        <v>0</v>
      </c>
      <c r="U8" s="52">
        <f t="shared" si="0"/>
        <v>-25</v>
      </c>
      <c r="V8" s="52">
        <f t="shared" si="0"/>
        <v>-30</v>
      </c>
      <c r="W8" s="52">
        <f t="shared" si="0"/>
        <v>-30</v>
      </c>
      <c r="X8" s="52">
        <f t="shared" si="0"/>
        <v>-30</v>
      </c>
      <c r="Y8" s="52">
        <f t="shared" si="0"/>
        <v>-30</v>
      </c>
      <c r="Z8" s="36">
        <f t="shared" si="0"/>
        <v>-25</v>
      </c>
      <c r="AA8" s="36">
        <f t="shared" si="0"/>
        <v>0</v>
      </c>
      <c r="AB8" s="52">
        <f t="shared" si="0"/>
        <v>-30</v>
      </c>
      <c r="AC8" s="52">
        <f t="shared" si="0"/>
        <v>-30</v>
      </c>
      <c r="AD8" s="52">
        <f t="shared" si="0"/>
        <v>-30</v>
      </c>
      <c r="AE8" s="52">
        <f t="shared" si="0"/>
        <v>-30</v>
      </c>
      <c r="AF8" s="97">
        <f t="shared" si="0"/>
        <v>0</v>
      </c>
      <c r="AG8" s="18">
        <f>AG7-AG6</f>
        <v>-420</v>
      </c>
      <c r="AH8" s="168">
        <f>AG7/AG6</f>
        <v>0.23636363636363636</v>
      </c>
    </row>
    <row r="9" spans="1:34" x14ac:dyDescent="0.45">
      <c r="A9" s="6" t="s">
        <v>16</v>
      </c>
      <c r="B9" s="53"/>
      <c r="C9" s="42"/>
      <c r="D9" s="42"/>
      <c r="E9" s="41"/>
      <c r="F9" s="41"/>
      <c r="G9" s="42"/>
      <c r="H9" s="42"/>
      <c r="I9" s="42"/>
      <c r="J9" s="42"/>
      <c r="K9" s="42"/>
      <c r="L9" s="41"/>
      <c r="M9" s="41"/>
      <c r="N9" s="41"/>
      <c r="O9" s="41"/>
      <c r="P9" s="41"/>
      <c r="Q9" s="41"/>
      <c r="R9" s="41"/>
      <c r="S9" s="41"/>
      <c r="T9" s="41"/>
      <c r="U9" s="42"/>
      <c r="V9" s="42"/>
      <c r="W9" s="42"/>
      <c r="X9" s="42"/>
      <c r="Y9" s="42"/>
      <c r="Z9" s="41"/>
      <c r="AA9" s="41"/>
      <c r="AB9" s="42"/>
      <c r="AC9" s="42"/>
      <c r="AD9" s="42"/>
      <c r="AE9" s="54"/>
      <c r="AF9" s="98"/>
      <c r="AG9" s="44"/>
    </row>
    <row r="10" spans="1:34" x14ac:dyDescent="0.45">
      <c r="A10" s="19" t="s">
        <v>12</v>
      </c>
      <c r="B10" s="190">
        <v>600</v>
      </c>
      <c r="C10" s="191">
        <v>600</v>
      </c>
      <c r="D10" s="191">
        <v>600</v>
      </c>
      <c r="E10" s="193">
        <v>480</v>
      </c>
      <c r="F10" s="193"/>
      <c r="G10" s="191">
        <v>480</v>
      </c>
      <c r="H10" s="191">
        <v>600</v>
      </c>
      <c r="I10" s="191">
        <v>600</v>
      </c>
      <c r="J10" s="191">
        <v>600</v>
      </c>
      <c r="K10" s="191">
        <v>480</v>
      </c>
      <c r="L10" s="193"/>
      <c r="M10" s="193"/>
      <c r="N10" s="193"/>
      <c r="O10" s="193"/>
      <c r="P10" s="193"/>
      <c r="Q10" s="193"/>
      <c r="R10" s="193"/>
      <c r="S10" s="193"/>
      <c r="T10" s="193"/>
      <c r="U10" s="191">
        <v>480</v>
      </c>
      <c r="V10" s="191">
        <v>600</v>
      </c>
      <c r="W10" s="191">
        <v>600</v>
      </c>
      <c r="X10" s="191">
        <v>600</v>
      </c>
      <c r="Y10" s="191">
        <v>600</v>
      </c>
      <c r="Z10" s="193">
        <v>480</v>
      </c>
      <c r="AA10" s="193"/>
      <c r="AB10" s="191">
        <v>600</v>
      </c>
      <c r="AC10" s="191">
        <v>600</v>
      </c>
      <c r="AD10" s="191">
        <v>600</v>
      </c>
      <c r="AE10" s="191">
        <v>600</v>
      </c>
      <c r="AF10" s="194"/>
      <c r="AG10" s="20">
        <f>SUM(B10:AF10)</f>
        <v>10800</v>
      </c>
    </row>
    <row r="11" spans="1:34" x14ac:dyDescent="0.45">
      <c r="A11" s="7" t="s">
        <v>5</v>
      </c>
      <c r="B11" s="49">
        <v>30</v>
      </c>
      <c r="C11" s="24">
        <v>30</v>
      </c>
      <c r="D11" s="180">
        <v>30</v>
      </c>
      <c r="E11" s="23">
        <v>25</v>
      </c>
      <c r="F11" s="23"/>
      <c r="G11" s="24">
        <v>30</v>
      </c>
      <c r="H11" s="24">
        <v>30</v>
      </c>
      <c r="I11" s="180">
        <v>30</v>
      </c>
      <c r="J11" s="24">
        <v>30</v>
      </c>
      <c r="K11" s="24">
        <v>25</v>
      </c>
      <c r="L11" s="182"/>
      <c r="M11" s="182"/>
      <c r="N11" s="182"/>
      <c r="O11" s="182"/>
      <c r="P11" s="182"/>
      <c r="Q11" s="23"/>
      <c r="R11" s="23"/>
      <c r="S11" s="23"/>
      <c r="T11" s="23"/>
      <c r="U11" s="180">
        <v>25</v>
      </c>
      <c r="V11" s="180">
        <v>30</v>
      </c>
      <c r="W11" s="180">
        <v>30</v>
      </c>
      <c r="X11" s="24">
        <v>30</v>
      </c>
      <c r="Y11" s="24">
        <v>30</v>
      </c>
      <c r="Z11" s="23">
        <v>25</v>
      </c>
      <c r="AA11" s="23"/>
      <c r="AB11" s="24">
        <v>30</v>
      </c>
      <c r="AC11" s="24">
        <v>30</v>
      </c>
      <c r="AD11" s="180">
        <v>30</v>
      </c>
      <c r="AE11" s="50">
        <v>30</v>
      </c>
      <c r="AF11" s="96"/>
      <c r="AG11" s="17">
        <f>SUM(B11:AF11)</f>
        <v>550</v>
      </c>
    </row>
    <row r="12" spans="1:34" x14ac:dyDescent="0.45">
      <c r="A12" s="7" t="s">
        <v>6</v>
      </c>
      <c r="B12" s="24">
        <v>30</v>
      </c>
      <c r="C12" s="24">
        <v>30</v>
      </c>
      <c r="D12" s="24">
        <v>25</v>
      </c>
      <c r="E12" s="23">
        <v>25</v>
      </c>
      <c r="F12" s="23"/>
      <c r="G12" s="24">
        <v>25</v>
      </c>
      <c r="H12" s="24">
        <v>30</v>
      </c>
      <c r="I12" s="24"/>
      <c r="J12" s="24"/>
      <c r="K12" s="24"/>
      <c r="L12" s="23"/>
      <c r="M12" s="23"/>
      <c r="N12" s="23"/>
      <c r="O12" s="23"/>
      <c r="P12" s="23"/>
      <c r="Q12" s="23"/>
      <c r="R12" s="23"/>
      <c r="S12" s="23"/>
      <c r="T12" s="23"/>
      <c r="U12" s="24"/>
      <c r="V12" s="24"/>
      <c r="W12" s="24"/>
      <c r="X12" s="24"/>
      <c r="Y12" s="24"/>
      <c r="Z12" s="23"/>
      <c r="AA12" s="23"/>
      <c r="AB12" s="24"/>
      <c r="AC12" s="24"/>
      <c r="AD12" s="24"/>
      <c r="AE12" s="24"/>
      <c r="AF12" s="24"/>
      <c r="AG12" s="17">
        <f>SUM(B12:AF12)</f>
        <v>165</v>
      </c>
    </row>
    <row r="13" spans="1:34" ht="19" thickBot="1" x14ac:dyDescent="0.5">
      <c r="A13" s="39" t="s">
        <v>7</v>
      </c>
      <c r="B13" s="51">
        <f>B12-B11</f>
        <v>0</v>
      </c>
      <c r="C13" s="52">
        <f t="shared" ref="C13:AF13" si="1">C12-C11</f>
        <v>0</v>
      </c>
      <c r="D13" s="52">
        <f t="shared" si="1"/>
        <v>-5</v>
      </c>
      <c r="E13" s="36">
        <f t="shared" si="1"/>
        <v>0</v>
      </c>
      <c r="F13" s="36">
        <f t="shared" si="1"/>
        <v>0</v>
      </c>
      <c r="G13" s="52">
        <f t="shared" si="1"/>
        <v>-5</v>
      </c>
      <c r="H13" s="52">
        <f t="shared" si="1"/>
        <v>0</v>
      </c>
      <c r="I13" s="52">
        <f t="shared" si="1"/>
        <v>-30</v>
      </c>
      <c r="J13" s="52">
        <f t="shared" si="1"/>
        <v>-30</v>
      </c>
      <c r="K13" s="52">
        <f t="shared" si="1"/>
        <v>-25</v>
      </c>
      <c r="L13" s="36">
        <f t="shared" si="1"/>
        <v>0</v>
      </c>
      <c r="M13" s="36">
        <f t="shared" si="1"/>
        <v>0</v>
      </c>
      <c r="N13" s="36">
        <f t="shared" si="1"/>
        <v>0</v>
      </c>
      <c r="O13" s="36">
        <f t="shared" si="1"/>
        <v>0</v>
      </c>
      <c r="P13" s="36">
        <f t="shared" si="1"/>
        <v>0</v>
      </c>
      <c r="Q13" s="36">
        <f t="shared" si="1"/>
        <v>0</v>
      </c>
      <c r="R13" s="36">
        <f t="shared" si="1"/>
        <v>0</v>
      </c>
      <c r="S13" s="36">
        <f t="shared" si="1"/>
        <v>0</v>
      </c>
      <c r="T13" s="36">
        <f t="shared" si="1"/>
        <v>0</v>
      </c>
      <c r="U13" s="52">
        <f t="shared" si="1"/>
        <v>-25</v>
      </c>
      <c r="V13" s="52">
        <f t="shared" si="1"/>
        <v>-30</v>
      </c>
      <c r="W13" s="52">
        <f t="shared" si="1"/>
        <v>-30</v>
      </c>
      <c r="X13" s="52">
        <f t="shared" si="1"/>
        <v>-30</v>
      </c>
      <c r="Y13" s="52">
        <f>Z12-Y11</f>
        <v>-30</v>
      </c>
      <c r="Z13" s="36">
        <f t="shared" si="1"/>
        <v>-25</v>
      </c>
      <c r="AA13" s="36">
        <f t="shared" si="1"/>
        <v>0</v>
      </c>
      <c r="AB13" s="52">
        <f t="shared" si="1"/>
        <v>-30</v>
      </c>
      <c r="AC13" s="52">
        <f t="shared" si="1"/>
        <v>-30</v>
      </c>
      <c r="AD13" s="52">
        <f t="shared" si="1"/>
        <v>-30</v>
      </c>
      <c r="AE13" s="52">
        <f t="shared" si="1"/>
        <v>-30</v>
      </c>
      <c r="AF13" s="97">
        <f t="shared" si="1"/>
        <v>0</v>
      </c>
      <c r="AG13" s="18">
        <f>AG12-AG11</f>
        <v>-385</v>
      </c>
      <c r="AH13" s="168">
        <f>AG12/AG11</f>
        <v>0.3</v>
      </c>
    </row>
    <row r="14" spans="1:34" x14ac:dyDescent="0.45">
      <c r="A14" s="19"/>
      <c r="B14" s="55"/>
      <c r="C14" s="29"/>
      <c r="D14" s="29"/>
      <c r="E14" s="28"/>
      <c r="F14" s="28"/>
      <c r="G14" s="29"/>
      <c r="H14" s="29"/>
      <c r="I14" s="29"/>
      <c r="J14" s="29"/>
      <c r="K14" s="29"/>
      <c r="L14" s="28"/>
      <c r="M14" s="28"/>
      <c r="N14" s="28"/>
      <c r="O14" s="28"/>
      <c r="P14" s="28"/>
      <c r="Q14" s="28"/>
      <c r="R14" s="28"/>
      <c r="S14" s="28"/>
      <c r="T14" s="28"/>
      <c r="U14" s="29"/>
      <c r="V14" s="29"/>
      <c r="W14" s="29"/>
      <c r="X14" s="29"/>
      <c r="Y14" s="29"/>
      <c r="Z14" s="28"/>
      <c r="AA14" s="28"/>
      <c r="AB14" s="29"/>
      <c r="AC14" s="29"/>
      <c r="AD14" s="29"/>
      <c r="AE14" s="56"/>
      <c r="AF14" s="99"/>
      <c r="AG14" s="20"/>
    </row>
    <row r="15" spans="1:34" x14ac:dyDescent="0.45">
      <c r="A15" s="74" t="s">
        <v>13</v>
      </c>
      <c r="B15" s="190">
        <f t="shared" ref="B15:AE15" si="2">B5+B10</f>
        <v>1200</v>
      </c>
      <c r="C15" s="191">
        <f t="shared" si="2"/>
        <v>1200</v>
      </c>
      <c r="D15" s="192">
        <f t="shared" si="2"/>
        <v>1200</v>
      </c>
      <c r="E15" s="193">
        <f t="shared" si="2"/>
        <v>960</v>
      </c>
      <c r="F15" s="193">
        <f t="shared" si="2"/>
        <v>0</v>
      </c>
      <c r="G15" s="191">
        <f t="shared" si="2"/>
        <v>960</v>
      </c>
      <c r="H15" s="191">
        <f t="shared" si="2"/>
        <v>1200</v>
      </c>
      <c r="I15" s="191">
        <f t="shared" si="2"/>
        <v>1200</v>
      </c>
      <c r="J15" s="191">
        <f t="shared" si="2"/>
        <v>1200</v>
      </c>
      <c r="K15" s="191">
        <f t="shared" si="2"/>
        <v>960</v>
      </c>
      <c r="L15" s="193">
        <f t="shared" si="2"/>
        <v>0</v>
      </c>
      <c r="M15" s="193">
        <f t="shared" si="2"/>
        <v>0</v>
      </c>
      <c r="N15" s="193">
        <f t="shared" si="2"/>
        <v>0</v>
      </c>
      <c r="O15" s="193">
        <f t="shared" si="2"/>
        <v>0</v>
      </c>
      <c r="P15" s="193">
        <f t="shared" si="2"/>
        <v>0</v>
      </c>
      <c r="Q15" s="193">
        <f t="shared" si="2"/>
        <v>0</v>
      </c>
      <c r="R15" s="193">
        <f t="shared" si="2"/>
        <v>0</v>
      </c>
      <c r="S15" s="193">
        <f t="shared" si="2"/>
        <v>0</v>
      </c>
      <c r="T15" s="193">
        <f t="shared" si="2"/>
        <v>0</v>
      </c>
      <c r="U15" s="191">
        <f t="shared" si="2"/>
        <v>960</v>
      </c>
      <c r="V15" s="191">
        <f t="shared" si="2"/>
        <v>1200</v>
      </c>
      <c r="W15" s="191">
        <f t="shared" si="2"/>
        <v>1200</v>
      </c>
      <c r="X15" s="191">
        <f t="shared" si="2"/>
        <v>1200</v>
      </c>
      <c r="Y15" s="191">
        <f t="shared" si="2"/>
        <v>1200</v>
      </c>
      <c r="Z15" s="193">
        <f t="shared" si="2"/>
        <v>960</v>
      </c>
      <c r="AA15" s="193">
        <f t="shared" si="2"/>
        <v>0</v>
      </c>
      <c r="AB15" s="191">
        <f t="shared" si="2"/>
        <v>1200</v>
      </c>
      <c r="AC15" s="191">
        <f t="shared" si="2"/>
        <v>1200</v>
      </c>
      <c r="AD15" s="192">
        <v>0</v>
      </c>
      <c r="AE15" s="191">
        <f t="shared" si="2"/>
        <v>1200</v>
      </c>
      <c r="AF15" s="194">
        <f>AF5+AF10</f>
        <v>0</v>
      </c>
      <c r="AG15" s="20">
        <f>SUM(B15:AF15)</f>
        <v>20400</v>
      </c>
    </row>
    <row r="16" spans="1:34" x14ac:dyDescent="0.45">
      <c r="A16" s="8" t="s">
        <v>10</v>
      </c>
      <c r="B16" s="57">
        <f t="shared" ref="B16:AF17" si="3">SUM(B6,B11)</f>
        <v>60</v>
      </c>
      <c r="C16" s="58">
        <f t="shared" si="3"/>
        <v>60</v>
      </c>
      <c r="D16" s="58">
        <f t="shared" si="3"/>
        <v>60</v>
      </c>
      <c r="E16" s="32">
        <f t="shared" si="3"/>
        <v>50</v>
      </c>
      <c r="F16" s="32">
        <f t="shared" si="3"/>
        <v>0</v>
      </c>
      <c r="G16" s="58">
        <f t="shared" si="3"/>
        <v>60</v>
      </c>
      <c r="H16" s="58">
        <f t="shared" si="3"/>
        <v>60</v>
      </c>
      <c r="I16" s="58">
        <f t="shared" si="3"/>
        <v>60</v>
      </c>
      <c r="J16" s="58">
        <f t="shared" si="3"/>
        <v>60</v>
      </c>
      <c r="K16" s="58">
        <f t="shared" si="3"/>
        <v>50</v>
      </c>
      <c r="L16" s="32">
        <f t="shared" si="3"/>
        <v>0</v>
      </c>
      <c r="M16" s="32">
        <f t="shared" si="3"/>
        <v>0</v>
      </c>
      <c r="N16" s="32">
        <f t="shared" si="3"/>
        <v>0</v>
      </c>
      <c r="O16" s="32">
        <f t="shared" si="3"/>
        <v>0</v>
      </c>
      <c r="P16" s="32">
        <f t="shared" si="3"/>
        <v>0</v>
      </c>
      <c r="Q16" s="32">
        <f t="shared" si="3"/>
        <v>0</v>
      </c>
      <c r="R16" s="32">
        <f t="shared" si="3"/>
        <v>0</v>
      </c>
      <c r="S16" s="32">
        <f t="shared" si="3"/>
        <v>0</v>
      </c>
      <c r="T16" s="32">
        <f t="shared" si="3"/>
        <v>0</v>
      </c>
      <c r="U16" s="58">
        <f t="shared" si="3"/>
        <v>50</v>
      </c>
      <c r="V16" s="58">
        <f t="shared" si="3"/>
        <v>60</v>
      </c>
      <c r="W16" s="58">
        <f t="shared" si="3"/>
        <v>60</v>
      </c>
      <c r="X16" s="58">
        <f t="shared" si="3"/>
        <v>60</v>
      </c>
      <c r="Y16" s="58">
        <f t="shared" si="3"/>
        <v>60</v>
      </c>
      <c r="Z16" s="32">
        <f t="shared" si="3"/>
        <v>50</v>
      </c>
      <c r="AA16" s="32">
        <f t="shared" si="3"/>
        <v>0</v>
      </c>
      <c r="AB16" s="58">
        <f t="shared" si="3"/>
        <v>60</v>
      </c>
      <c r="AC16" s="58">
        <f t="shared" si="3"/>
        <v>60</v>
      </c>
      <c r="AD16" s="58">
        <f t="shared" si="3"/>
        <v>60</v>
      </c>
      <c r="AE16" s="58">
        <f t="shared" si="3"/>
        <v>60</v>
      </c>
      <c r="AF16" s="100">
        <f t="shared" si="3"/>
        <v>0</v>
      </c>
      <c r="AG16" s="17">
        <f>SUM(B16:AF16)</f>
        <v>1100</v>
      </c>
    </row>
    <row r="17" spans="1:34" x14ac:dyDescent="0.45">
      <c r="A17" s="8" t="s">
        <v>11</v>
      </c>
      <c r="B17" s="58">
        <f t="shared" si="3"/>
        <v>61</v>
      </c>
      <c r="C17" s="58">
        <f t="shared" si="3"/>
        <v>60</v>
      </c>
      <c r="D17" s="58">
        <f t="shared" si="3"/>
        <v>50</v>
      </c>
      <c r="E17" s="32">
        <f t="shared" si="3"/>
        <v>25</v>
      </c>
      <c r="F17" s="32">
        <f t="shared" si="3"/>
        <v>0</v>
      </c>
      <c r="G17" s="58">
        <f t="shared" si="3"/>
        <v>45</v>
      </c>
      <c r="H17" s="58">
        <f t="shared" si="3"/>
        <v>54</v>
      </c>
      <c r="I17" s="58">
        <f t="shared" si="3"/>
        <v>0</v>
      </c>
      <c r="J17" s="58">
        <f>SUM(J7,J12)</f>
        <v>0</v>
      </c>
      <c r="K17" s="58">
        <f>SUM(K7,K12)</f>
        <v>0</v>
      </c>
      <c r="L17" s="32">
        <f>SUM(L7,L12)</f>
        <v>0</v>
      </c>
      <c r="M17" s="32">
        <f t="shared" si="3"/>
        <v>0</v>
      </c>
      <c r="N17" s="32">
        <f t="shared" si="3"/>
        <v>0</v>
      </c>
      <c r="O17" s="32">
        <f t="shared" si="3"/>
        <v>0</v>
      </c>
      <c r="P17" s="32">
        <f t="shared" si="3"/>
        <v>0</v>
      </c>
      <c r="Q17" s="32">
        <f t="shared" si="3"/>
        <v>0</v>
      </c>
      <c r="R17" s="32">
        <f t="shared" si="3"/>
        <v>0</v>
      </c>
      <c r="S17" s="32">
        <f t="shared" si="3"/>
        <v>0</v>
      </c>
      <c r="T17" s="32">
        <f t="shared" si="3"/>
        <v>0</v>
      </c>
      <c r="U17" s="58">
        <f>SUM(U7,U12)</f>
        <v>0</v>
      </c>
      <c r="V17" s="58">
        <f>SUM(V7,V12)</f>
        <v>0</v>
      </c>
      <c r="W17" s="58">
        <f>SUM(W7,W12)</f>
        <v>0</v>
      </c>
      <c r="X17" s="58">
        <f>SUM(X7,X12)</f>
        <v>0</v>
      </c>
      <c r="Y17" s="58">
        <f>SUM(Y7,Y12)</f>
        <v>0</v>
      </c>
      <c r="Z17" s="32">
        <f t="shared" si="3"/>
        <v>0</v>
      </c>
      <c r="AA17" s="32">
        <f t="shared" si="3"/>
        <v>0</v>
      </c>
      <c r="AB17" s="58">
        <f t="shared" si="3"/>
        <v>0</v>
      </c>
      <c r="AC17" s="58">
        <f t="shared" si="3"/>
        <v>0</v>
      </c>
      <c r="AD17" s="58">
        <f t="shared" si="3"/>
        <v>0</v>
      </c>
      <c r="AE17" s="58">
        <f t="shared" si="3"/>
        <v>0</v>
      </c>
      <c r="AF17" s="58">
        <f>SUM(AF7,AF12)</f>
        <v>0</v>
      </c>
      <c r="AG17" s="17">
        <f>SUM(B17:AF17)</f>
        <v>295</v>
      </c>
      <c r="AH17" s="169"/>
    </row>
    <row r="18" spans="1:34" x14ac:dyDescent="0.45">
      <c r="A18" s="131" t="s">
        <v>7</v>
      </c>
      <c r="B18" s="58">
        <f t="shared" ref="B18:C18" si="4">B17-B16</f>
        <v>1</v>
      </c>
      <c r="C18" s="58">
        <f t="shared" si="4"/>
        <v>0</v>
      </c>
      <c r="D18" s="58">
        <f t="shared" ref="D18:AF18" si="5">D17-D16</f>
        <v>-10</v>
      </c>
      <c r="E18" s="32">
        <f t="shared" si="5"/>
        <v>-25</v>
      </c>
      <c r="F18" s="32">
        <f t="shared" si="5"/>
        <v>0</v>
      </c>
      <c r="G18" s="58">
        <f t="shared" si="5"/>
        <v>-15</v>
      </c>
      <c r="H18" s="58">
        <f t="shared" si="5"/>
        <v>-6</v>
      </c>
      <c r="I18" s="58">
        <f t="shared" si="5"/>
        <v>-60</v>
      </c>
      <c r="J18" s="58">
        <f t="shared" si="5"/>
        <v>-60</v>
      </c>
      <c r="K18" s="58">
        <f t="shared" si="5"/>
        <v>-50</v>
      </c>
      <c r="L18" s="32">
        <f t="shared" si="5"/>
        <v>0</v>
      </c>
      <c r="M18" s="32">
        <f t="shared" si="5"/>
        <v>0</v>
      </c>
      <c r="N18" s="32">
        <f t="shared" si="5"/>
        <v>0</v>
      </c>
      <c r="O18" s="32">
        <f t="shared" si="5"/>
        <v>0</v>
      </c>
      <c r="P18" s="32">
        <f t="shared" si="5"/>
        <v>0</v>
      </c>
      <c r="Q18" s="32">
        <f t="shared" si="5"/>
        <v>0</v>
      </c>
      <c r="R18" s="32">
        <f t="shared" si="5"/>
        <v>0</v>
      </c>
      <c r="S18" s="32">
        <f t="shared" si="5"/>
        <v>0</v>
      </c>
      <c r="T18" s="32">
        <f t="shared" si="5"/>
        <v>0</v>
      </c>
      <c r="U18" s="58">
        <f t="shared" si="5"/>
        <v>-50</v>
      </c>
      <c r="V18" s="58">
        <f t="shared" si="5"/>
        <v>-60</v>
      </c>
      <c r="W18" s="58">
        <f t="shared" si="5"/>
        <v>-60</v>
      </c>
      <c r="X18" s="58">
        <f t="shared" si="5"/>
        <v>-60</v>
      </c>
      <c r="Y18" s="58">
        <f t="shared" si="5"/>
        <v>-60</v>
      </c>
      <c r="Z18" s="32">
        <f t="shared" si="5"/>
        <v>-50</v>
      </c>
      <c r="AA18" s="32">
        <f t="shared" si="5"/>
        <v>0</v>
      </c>
      <c r="AB18" s="58">
        <f t="shared" si="5"/>
        <v>-60</v>
      </c>
      <c r="AC18" s="58">
        <f t="shared" si="5"/>
        <v>-60</v>
      </c>
      <c r="AD18" s="58">
        <f t="shared" si="5"/>
        <v>-60</v>
      </c>
      <c r="AE18" s="58">
        <f t="shared" si="5"/>
        <v>-60</v>
      </c>
      <c r="AF18" s="58">
        <f t="shared" si="5"/>
        <v>0</v>
      </c>
      <c r="AG18" s="133"/>
    </row>
    <row r="19" spans="1:34" ht="19" thickBot="1" x14ac:dyDescent="0.5">
      <c r="A19" s="9" t="s">
        <v>17</v>
      </c>
      <c r="B19" s="134">
        <f>B18</f>
        <v>1</v>
      </c>
      <c r="C19" s="134">
        <f t="shared" ref="C19" si="6">C18+B19</f>
        <v>1</v>
      </c>
      <c r="D19" s="134">
        <f>D18+C19</f>
        <v>-9</v>
      </c>
      <c r="E19" s="181">
        <f>E18+D19</f>
        <v>-34</v>
      </c>
      <c r="F19" s="181">
        <f>F18+E19</f>
        <v>-34</v>
      </c>
      <c r="G19" s="134">
        <f>G18+F19</f>
        <v>-49</v>
      </c>
      <c r="H19" s="134">
        <f>H18+G19</f>
        <v>-55</v>
      </c>
      <c r="I19" s="134"/>
      <c r="J19" s="134"/>
      <c r="K19" s="134"/>
      <c r="L19" s="181"/>
      <c r="M19" s="181"/>
      <c r="N19" s="181"/>
      <c r="O19" s="181"/>
      <c r="P19" s="181"/>
      <c r="Q19" s="181"/>
      <c r="R19" s="181"/>
      <c r="S19" s="181"/>
      <c r="T19" s="181"/>
      <c r="U19" s="134"/>
      <c r="V19" s="134"/>
      <c r="W19" s="134"/>
      <c r="X19" s="134"/>
      <c r="Y19" s="134"/>
      <c r="Z19" s="181"/>
      <c r="AA19" s="181"/>
      <c r="AB19" s="134"/>
      <c r="AC19" s="134"/>
      <c r="AD19" s="134"/>
      <c r="AE19" s="134"/>
      <c r="AF19" s="135"/>
      <c r="AG19" s="18">
        <f>AG17-AG16</f>
        <v>-805</v>
      </c>
      <c r="AH19" s="168">
        <f>AG17/AG16</f>
        <v>0.26818181818181819</v>
      </c>
    </row>
    <row r="20" spans="1:34" s="179" customFormat="1" ht="14.5" x14ac:dyDescent="0.35">
      <c r="A20" s="176" t="s">
        <v>18</v>
      </c>
      <c r="B20" s="177">
        <f>B16</f>
        <v>60</v>
      </c>
      <c r="C20" s="178">
        <f>C16+B20</f>
        <v>120</v>
      </c>
      <c r="D20" s="178">
        <f>D16+C20</f>
        <v>180</v>
      </c>
      <c r="E20" s="178">
        <f>E16+D20</f>
        <v>230</v>
      </c>
      <c r="F20" s="178">
        <f t="shared" ref="F20:AF20" si="7">E20+F16</f>
        <v>230</v>
      </c>
      <c r="G20" s="178">
        <f t="shared" si="7"/>
        <v>290</v>
      </c>
      <c r="H20" s="178">
        <f t="shared" si="7"/>
        <v>350</v>
      </c>
      <c r="I20" s="178">
        <f t="shared" si="7"/>
        <v>410</v>
      </c>
      <c r="J20" s="178">
        <f t="shared" si="7"/>
        <v>470</v>
      </c>
      <c r="K20" s="178">
        <f t="shared" si="7"/>
        <v>520</v>
      </c>
      <c r="L20" s="178">
        <f t="shared" si="7"/>
        <v>520</v>
      </c>
      <c r="M20" s="178">
        <f t="shared" si="7"/>
        <v>520</v>
      </c>
      <c r="N20" s="178">
        <f t="shared" si="7"/>
        <v>520</v>
      </c>
      <c r="O20" s="178">
        <f t="shared" si="7"/>
        <v>520</v>
      </c>
      <c r="P20" s="178">
        <f t="shared" si="7"/>
        <v>520</v>
      </c>
      <c r="Q20" s="178">
        <f t="shared" si="7"/>
        <v>520</v>
      </c>
      <c r="R20" s="178">
        <f t="shared" si="7"/>
        <v>520</v>
      </c>
      <c r="S20" s="178">
        <f t="shared" si="7"/>
        <v>520</v>
      </c>
      <c r="T20" s="178">
        <f t="shared" si="7"/>
        <v>520</v>
      </c>
      <c r="U20" s="178">
        <f t="shared" si="7"/>
        <v>570</v>
      </c>
      <c r="V20" s="178">
        <f t="shared" si="7"/>
        <v>630</v>
      </c>
      <c r="W20" s="178">
        <f t="shared" si="7"/>
        <v>690</v>
      </c>
      <c r="X20" s="178">
        <f t="shared" si="7"/>
        <v>750</v>
      </c>
      <c r="Y20" s="178">
        <f t="shared" si="7"/>
        <v>810</v>
      </c>
      <c r="Z20" s="178">
        <f t="shared" si="7"/>
        <v>860</v>
      </c>
      <c r="AA20" s="178">
        <f t="shared" si="7"/>
        <v>860</v>
      </c>
      <c r="AB20" s="178">
        <f t="shared" si="7"/>
        <v>920</v>
      </c>
      <c r="AC20" s="178">
        <f t="shared" si="7"/>
        <v>980</v>
      </c>
      <c r="AD20" s="178">
        <f t="shared" si="7"/>
        <v>1040</v>
      </c>
      <c r="AE20" s="178">
        <f t="shared" si="7"/>
        <v>1100</v>
      </c>
      <c r="AF20" s="178">
        <f t="shared" si="7"/>
        <v>1100</v>
      </c>
      <c r="AH20" s="176"/>
    </row>
    <row r="21" spans="1:34" s="179" customFormat="1" ht="14.5" x14ac:dyDescent="0.35">
      <c r="A21" s="176" t="s">
        <v>19</v>
      </c>
      <c r="B21" s="177">
        <f>B17</f>
        <v>61</v>
      </c>
      <c r="C21" s="178">
        <f>B21+C17</f>
        <v>121</v>
      </c>
      <c r="D21" s="178">
        <f t="shared" ref="D21:H21" si="8">C21+D17</f>
        <v>171</v>
      </c>
      <c r="E21" s="178">
        <f t="shared" si="8"/>
        <v>196</v>
      </c>
      <c r="F21" s="178">
        <f t="shared" si="8"/>
        <v>196</v>
      </c>
      <c r="G21" s="178">
        <f t="shared" si="8"/>
        <v>241</v>
      </c>
      <c r="H21" s="178">
        <f t="shared" si="8"/>
        <v>295</v>
      </c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H21" s="176"/>
    </row>
    <row r="24" spans="1:34" ht="19" thickBot="1" x14ac:dyDescent="0.5">
      <c r="AG24" s="10"/>
    </row>
  </sheetData>
  <mergeCells count="3">
    <mergeCell ref="A1:A3"/>
    <mergeCell ref="B2:AF2"/>
    <mergeCell ref="AG2:AG3"/>
  </mergeCells>
  <conditionalFormatting sqref="B7:AF7">
    <cfRule type="cellIs" dxfId="28" priority="13" operator="greaterThan">
      <formula>30</formula>
    </cfRule>
    <cfRule type="cellIs" dxfId="27" priority="14" operator="equal">
      <formula>30</formula>
    </cfRule>
    <cfRule type="cellIs" dxfId="26" priority="18" operator="lessThan">
      <formula>31</formula>
    </cfRule>
  </conditionalFormatting>
  <conditionalFormatting sqref="B9:AF9">
    <cfRule type="cellIs" dxfId="25" priority="30" operator="greaterThan">
      <formula>0</formula>
    </cfRule>
  </conditionalFormatting>
  <conditionalFormatting sqref="B11:AF11">
    <cfRule type="cellIs" dxfId="24" priority="1" operator="greaterThan">
      <formula>0</formula>
    </cfRule>
  </conditionalFormatting>
  <conditionalFormatting sqref="B12:AF12">
    <cfRule type="cellIs" dxfId="23" priority="5" operator="greaterThan">
      <formula>30</formula>
    </cfRule>
    <cfRule type="cellIs" dxfId="22" priority="6" operator="equal">
      <formula>30</formula>
    </cfRule>
    <cfRule type="cellIs" dxfId="21" priority="8" operator="lessThan">
      <formula>31</formula>
    </cfRule>
  </conditionalFormatting>
  <conditionalFormatting sqref="B17:AF17">
    <cfRule type="cellIs" dxfId="20" priority="2" operator="lessThan">
      <formula>60</formula>
    </cfRule>
    <cfRule type="cellIs" dxfId="19" priority="3" operator="greaterThan">
      <formula>60</formula>
    </cfRule>
    <cfRule type="cellIs" dxfId="18" priority="4" operator="equal">
      <formula>60</formula>
    </cfRule>
  </conditionalFormatting>
  <conditionalFormatting sqref="B18:AF18">
    <cfRule type="cellIs" dxfId="17" priority="21" operator="lessThan">
      <formula>0</formula>
    </cfRule>
  </conditionalFormatting>
  <conditionalFormatting sqref="B8:AG8">
    <cfRule type="cellIs" dxfId="16" priority="28" operator="lessThan">
      <formula>0</formula>
    </cfRule>
  </conditionalFormatting>
  <conditionalFormatting sqref="B13:AG13">
    <cfRule type="cellIs" dxfId="15" priority="27" operator="lessThan">
      <formula>0</formula>
    </cfRule>
  </conditionalFormatting>
  <conditionalFormatting sqref="B19:AG19">
    <cfRule type="cellIs" dxfId="14" priority="31" operator="lessThan">
      <formula>0</formula>
    </cfRule>
  </conditionalFormatting>
  <conditionalFormatting sqref="D16:D17">
    <cfRule type="cellIs" dxfId="13" priority="16" operator="greaterThan">
      <formula>0</formula>
    </cfRule>
  </conditionalFormatting>
  <conditionalFormatting sqref="I6:I7 AD6:AD7 B6:H6 J6:AC6 AE6:AF6">
    <cfRule type="cellIs" dxfId="12" priority="33" operator="greaterThan">
      <formula>0</formula>
    </cfRule>
  </conditionalFormatting>
  <conditionalFormatting sqref="I12 AD12">
    <cfRule type="cellIs" dxfId="11" priority="12" operator="greaterThan">
      <formula>0</formula>
    </cfRule>
  </conditionalFormatting>
  <conditionalFormatting sqref="I17 B16:C16 E16:AC16 AE16:AF16">
    <cfRule type="cellIs" dxfId="10" priority="32" operator="greaterThan">
      <formula>0</formula>
    </cfRule>
  </conditionalFormatting>
  <conditionalFormatting sqref="P7:V7 P12:V12">
    <cfRule type="cellIs" dxfId="9" priority="24" operator="lessThan">
      <formula>30</formula>
    </cfRule>
  </conditionalFormatting>
  <conditionalFormatting sqref="X7:AC7">
    <cfRule type="cellIs" dxfId="8" priority="22" operator="lessThan">
      <formula>30</formula>
    </cfRule>
  </conditionalFormatting>
  <conditionalFormatting sqref="X12:AC12">
    <cfRule type="cellIs" dxfId="7" priority="9" operator="lessThan">
      <formula>30</formula>
    </cfRule>
  </conditionalFormatting>
  <conditionalFormatting sqref="AD16:AD17">
    <cfRule type="cellIs" dxfId="6" priority="19" operator="greaterThan">
      <formula>0</formula>
    </cfRule>
  </conditionalFormatting>
  <conditionalFormatting sqref="AE7:AF7">
    <cfRule type="cellIs" dxfId="5" priority="17" operator="lessThan">
      <formula>30</formula>
    </cfRule>
  </conditionalFormatting>
  <conditionalFormatting sqref="AE12:AF12">
    <cfRule type="cellIs" dxfId="4" priority="7" operator="lessThan">
      <formula>30</formula>
    </cfRule>
  </conditionalFormatting>
  <conditionalFormatting sqref="AG24">
    <cfRule type="cellIs" dxfId="3" priority="29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54EE-01D4-4660-8918-DA341077D425}">
  <sheetPr>
    <tabColor rgb="FFC00000"/>
  </sheetPr>
  <dimension ref="A1:V608"/>
  <sheetViews>
    <sheetView showGridLines="0" zoomScale="60" zoomScaleNormal="60" workbookViewId="0">
      <pane xSplit="1" ySplit="3" topLeftCell="D160" activePane="bottomRight" state="frozen"/>
      <selection pane="topRight" activeCell="B1" sqref="B1"/>
      <selection pane="bottomLeft" activeCell="A4" sqref="A4"/>
      <selection pane="bottomRight" activeCell="T169" sqref="T169:T170"/>
    </sheetView>
  </sheetViews>
  <sheetFormatPr defaultRowHeight="14.5" x14ac:dyDescent="0.35"/>
  <cols>
    <col min="1" max="3" width="13.54296875" style="103" customWidth="1"/>
    <col min="4" max="18" width="12.1796875" style="103" customWidth="1"/>
    <col min="19" max="19" width="14.7265625" style="103" customWidth="1"/>
    <col min="20" max="20" width="12.81640625" style="103" customWidth="1"/>
    <col min="21" max="21" width="58.1796875" style="102" customWidth="1"/>
    <col min="22" max="22" width="33.54296875" style="101" hidden="1" customWidth="1"/>
  </cols>
  <sheetData>
    <row r="1" spans="1:22" ht="32.5" hidden="1" customHeight="1" x14ac:dyDescent="0.35">
      <c r="A1" s="202" t="s">
        <v>20</v>
      </c>
      <c r="B1" s="183"/>
      <c r="C1" s="183"/>
      <c r="D1" s="212" t="s">
        <v>21</v>
      </c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02" t="s">
        <v>22</v>
      </c>
      <c r="V1" s="210" t="s">
        <v>23</v>
      </c>
    </row>
    <row r="2" spans="1:22" ht="38.15" customHeight="1" x14ac:dyDescent="0.35">
      <c r="A2" s="203"/>
      <c r="B2" s="213" t="s">
        <v>24</v>
      </c>
      <c r="C2" s="213" t="s">
        <v>25</v>
      </c>
      <c r="D2" s="213" t="s">
        <v>26</v>
      </c>
      <c r="E2" s="213" t="s">
        <v>27</v>
      </c>
      <c r="F2" s="213"/>
      <c r="G2" s="213"/>
      <c r="H2" s="213"/>
      <c r="I2" s="213"/>
      <c r="J2" s="213" t="s">
        <v>28</v>
      </c>
      <c r="K2" s="205" t="s">
        <v>29</v>
      </c>
      <c r="L2" s="206"/>
      <c r="M2" s="207"/>
      <c r="N2" s="213" t="s">
        <v>30</v>
      </c>
      <c r="O2" s="213" t="s">
        <v>31</v>
      </c>
      <c r="P2" s="213" t="s">
        <v>32</v>
      </c>
      <c r="Q2" s="213" t="s">
        <v>33</v>
      </c>
      <c r="R2" s="213" t="s">
        <v>34</v>
      </c>
      <c r="S2" s="213" t="s">
        <v>35</v>
      </c>
      <c r="T2" s="214" t="s">
        <v>36</v>
      </c>
      <c r="U2" s="203"/>
      <c r="V2" s="211"/>
    </row>
    <row r="3" spans="1:22" ht="67" customHeight="1" x14ac:dyDescent="0.35">
      <c r="A3" s="204"/>
      <c r="B3" s="213"/>
      <c r="C3" s="213"/>
      <c r="D3" s="213"/>
      <c r="E3" s="130" t="s">
        <v>37</v>
      </c>
      <c r="F3" s="130" t="s">
        <v>38</v>
      </c>
      <c r="G3" s="130" t="s">
        <v>39</v>
      </c>
      <c r="H3" s="130" t="s">
        <v>40</v>
      </c>
      <c r="I3" s="130" t="s">
        <v>41</v>
      </c>
      <c r="J3" s="213"/>
      <c r="K3" s="130" t="s">
        <v>42</v>
      </c>
      <c r="L3" s="130" t="s">
        <v>43</v>
      </c>
      <c r="M3" s="130" t="s">
        <v>44</v>
      </c>
      <c r="N3" s="213"/>
      <c r="O3" s="213"/>
      <c r="P3" s="213"/>
      <c r="Q3" s="213"/>
      <c r="R3" s="213"/>
      <c r="S3" s="213"/>
      <c r="T3" s="214"/>
      <c r="U3" s="204"/>
      <c r="V3" s="128"/>
    </row>
    <row r="4" spans="1:22" ht="68.5" customHeight="1" x14ac:dyDescent="0.35">
      <c r="A4" s="127">
        <v>45876</v>
      </c>
      <c r="B4" s="186"/>
      <c r="C4" s="186"/>
      <c r="D4" s="126"/>
      <c r="E4" s="126"/>
      <c r="F4" s="126"/>
      <c r="G4" s="126"/>
      <c r="H4" s="126"/>
      <c r="I4" s="126"/>
      <c r="J4" s="126"/>
      <c r="K4" s="126">
        <v>250</v>
      </c>
      <c r="L4" s="126"/>
      <c r="M4" s="126"/>
      <c r="N4" s="126"/>
      <c r="O4" s="126"/>
      <c r="P4" s="126"/>
      <c r="Q4" s="126"/>
      <c r="R4" s="126"/>
      <c r="S4" s="126"/>
      <c r="T4" s="125">
        <f t="shared" ref="T4:T14" si="0">SUM(D4:S4)</f>
        <v>250</v>
      </c>
      <c r="U4" s="124" t="s">
        <v>45</v>
      </c>
      <c r="V4" s="109"/>
    </row>
    <row r="5" spans="1:22" ht="58" x14ac:dyDescent="0.35">
      <c r="A5" s="115">
        <v>45880</v>
      </c>
      <c r="B5" s="187"/>
      <c r="C5" s="187"/>
      <c r="D5" s="114"/>
      <c r="E5" s="123"/>
      <c r="F5" s="123"/>
      <c r="G5" s="123"/>
      <c r="H5" s="123"/>
      <c r="I5" s="123"/>
      <c r="J5" s="123"/>
      <c r="K5" s="123"/>
      <c r="L5" s="123"/>
      <c r="M5" s="123"/>
      <c r="N5" s="123">
        <v>80</v>
      </c>
      <c r="O5" s="123"/>
      <c r="P5" s="123"/>
      <c r="Q5" s="123"/>
      <c r="R5" s="123"/>
      <c r="S5" s="123"/>
      <c r="T5" s="116">
        <f t="shared" si="0"/>
        <v>80</v>
      </c>
      <c r="U5" s="122" t="s">
        <v>46</v>
      </c>
      <c r="V5" s="122"/>
    </row>
    <row r="6" spans="1:22" ht="20.149999999999999" customHeight="1" x14ac:dyDescent="0.35">
      <c r="A6" s="115">
        <v>45882</v>
      </c>
      <c r="B6" s="187"/>
      <c r="C6" s="187"/>
      <c r="D6" s="114"/>
      <c r="E6" s="114">
        <v>90</v>
      </c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6">
        <f t="shared" si="0"/>
        <v>90</v>
      </c>
      <c r="U6" s="109" t="s">
        <v>47</v>
      </c>
      <c r="V6" s="109"/>
    </row>
    <row r="7" spans="1:22" ht="20.149999999999999" customHeight="1" x14ac:dyDescent="0.35">
      <c r="A7" s="115">
        <v>45886</v>
      </c>
      <c r="B7" s="187"/>
      <c r="C7" s="187"/>
      <c r="D7" s="114"/>
      <c r="E7" s="114"/>
      <c r="F7" s="114"/>
      <c r="G7" s="114"/>
      <c r="H7" s="114"/>
      <c r="I7" s="114"/>
      <c r="J7" s="114"/>
      <c r="K7" s="114">
        <v>200</v>
      </c>
      <c r="L7" s="114"/>
      <c r="M7" s="114"/>
      <c r="N7" s="114"/>
      <c r="O7" s="114"/>
      <c r="P7" s="114"/>
      <c r="Q7" s="114"/>
      <c r="R7" s="114"/>
      <c r="S7" s="114"/>
      <c r="T7" s="116">
        <f t="shared" si="0"/>
        <v>200</v>
      </c>
      <c r="U7" s="109" t="s">
        <v>48</v>
      </c>
      <c r="V7" s="109"/>
    </row>
    <row r="8" spans="1:22" ht="20.149999999999999" customHeight="1" x14ac:dyDescent="0.35">
      <c r="A8" s="115">
        <v>45890</v>
      </c>
      <c r="B8" s="187"/>
      <c r="C8" s="187"/>
      <c r="D8" s="114">
        <v>240</v>
      </c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6">
        <f t="shared" si="0"/>
        <v>240</v>
      </c>
      <c r="U8" s="109" t="s">
        <v>49</v>
      </c>
      <c r="V8" s="109"/>
    </row>
    <row r="9" spans="1:22" ht="20.149999999999999" customHeight="1" x14ac:dyDescent="0.35">
      <c r="A9" s="115">
        <v>45891</v>
      </c>
      <c r="B9" s="187"/>
      <c r="C9" s="187"/>
      <c r="D9" s="114"/>
      <c r="E9" s="114">
        <v>180</v>
      </c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6">
        <f t="shared" si="0"/>
        <v>180</v>
      </c>
      <c r="U9" s="109" t="s">
        <v>50</v>
      </c>
      <c r="V9" s="109"/>
    </row>
    <row r="10" spans="1:22" ht="20.149999999999999" customHeight="1" x14ac:dyDescent="0.35">
      <c r="A10" s="115">
        <v>45895</v>
      </c>
      <c r="B10" s="187"/>
      <c r="C10" s="187"/>
      <c r="D10" s="114"/>
      <c r="E10" s="114">
        <v>90</v>
      </c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>
        <v>120</v>
      </c>
      <c r="R10" s="114"/>
      <c r="S10" s="114"/>
      <c r="T10" s="116">
        <f t="shared" si="0"/>
        <v>210</v>
      </c>
      <c r="U10" s="109" t="s">
        <v>51</v>
      </c>
      <c r="V10" s="109"/>
    </row>
    <row r="11" spans="1:22" ht="29" x14ac:dyDescent="0.35">
      <c r="A11" s="115">
        <v>45897</v>
      </c>
      <c r="B11" s="187"/>
      <c r="C11" s="187"/>
      <c r="D11" s="114"/>
      <c r="E11" s="114">
        <v>270</v>
      </c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6">
        <f t="shared" si="0"/>
        <v>270</v>
      </c>
      <c r="U11" s="109" t="s">
        <v>52</v>
      </c>
      <c r="V11" s="109"/>
    </row>
    <row r="12" spans="1:22" ht="20.149999999999999" customHeight="1" x14ac:dyDescent="0.35">
      <c r="A12" s="115">
        <v>45901</v>
      </c>
      <c r="B12" s="187"/>
      <c r="C12" s="187"/>
      <c r="D12" s="114">
        <v>120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6">
        <f t="shared" si="0"/>
        <v>120</v>
      </c>
      <c r="U12" s="109" t="s">
        <v>53</v>
      </c>
      <c r="V12" s="109"/>
    </row>
    <row r="13" spans="1:22" ht="20.149999999999999" customHeight="1" x14ac:dyDescent="0.35">
      <c r="A13" s="115">
        <v>45911</v>
      </c>
      <c r="B13" s="187"/>
      <c r="C13" s="187"/>
      <c r="D13" s="114"/>
      <c r="E13" s="114">
        <v>180</v>
      </c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6">
        <f t="shared" si="0"/>
        <v>180</v>
      </c>
      <c r="U13" s="109" t="s">
        <v>54</v>
      </c>
      <c r="V13" s="109"/>
    </row>
    <row r="14" spans="1:22" ht="18.5" x14ac:dyDescent="0.35">
      <c r="A14" s="115">
        <v>45914</v>
      </c>
      <c r="B14" s="187"/>
      <c r="C14" s="187"/>
      <c r="D14" s="114"/>
      <c r="E14" s="114"/>
      <c r="F14" s="114"/>
      <c r="G14" s="114"/>
      <c r="H14" s="114"/>
      <c r="I14" s="114"/>
      <c r="J14" s="114"/>
      <c r="K14" s="114">
        <v>240</v>
      </c>
      <c r="L14" s="114"/>
      <c r="M14" s="114"/>
      <c r="N14" s="114"/>
      <c r="O14" s="114"/>
      <c r="P14" s="114"/>
      <c r="Q14" s="114"/>
      <c r="R14" s="114"/>
      <c r="S14" s="114"/>
      <c r="T14" s="116">
        <f t="shared" si="0"/>
        <v>240</v>
      </c>
      <c r="U14" s="109" t="s">
        <v>55</v>
      </c>
      <c r="V14" s="109"/>
    </row>
    <row r="15" spans="1:22" ht="20.149999999999999" customHeight="1" x14ac:dyDescent="0.35">
      <c r="A15" s="208" t="s">
        <v>56</v>
      </c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9"/>
    </row>
    <row r="16" spans="1:22" ht="18.5" x14ac:dyDescent="0.35">
      <c r="A16" s="115">
        <v>45915</v>
      </c>
      <c r="B16" s="187"/>
      <c r="C16" s="187"/>
      <c r="D16" s="114">
        <v>480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6">
        <f t="shared" ref="T16:T58" si="1">SUM(D16:S16)</f>
        <v>480</v>
      </c>
      <c r="U16" s="109" t="s">
        <v>57</v>
      </c>
      <c r="V16" s="109"/>
    </row>
    <row r="17" spans="1:22" ht="43.5" x14ac:dyDescent="0.35">
      <c r="A17" s="115">
        <v>45916</v>
      </c>
      <c r="B17" s="187"/>
      <c r="C17" s="187"/>
      <c r="D17" s="114"/>
      <c r="E17" s="114"/>
      <c r="F17" s="114"/>
      <c r="G17" s="114"/>
      <c r="H17" s="114"/>
      <c r="I17" s="114"/>
      <c r="J17" s="114"/>
      <c r="K17" s="114">
        <v>160</v>
      </c>
      <c r="L17" s="114"/>
      <c r="M17" s="114"/>
      <c r="N17" s="114"/>
      <c r="O17" s="114"/>
      <c r="P17" s="114"/>
      <c r="Q17" s="114"/>
      <c r="R17" s="114"/>
      <c r="S17" s="114"/>
      <c r="T17" s="116">
        <f t="shared" si="1"/>
        <v>160</v>
      </c>
      <c r="U17" s="109" t="s">
        <v>58</v>
      </c>
      <c r="V17" s="109"/>
    </row>
    <row r="18" spans="1:22" ht="58.5" customHeight="1" x14ac:dyDescent="0.35">
      <c r="A18" s="115">
        <v>45921</v>
      </c>
      <c r="B18" s="187"/>
      <c r="C18" s="187"/>
      <c r="D18" s="114">
        <v>30</v>
      </c>
      <c r="E18" s="114">
        <v>60</v>
      </c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>
        <v>50</v>
      </c>
      <c r="Q18" s="114">
        <v>30</v>
      </c>
      <c r="R18" s="114"/>
      <c r="S18" s="114">
        <v>50</v>
      </c>
      <c r="T18" s="116">
        <f t="shared" si="1"/>
        <v>220</v>
      </c>
      <c r="U18" s="109" t="s">
        <v>59</v>
      </c>
      <c r="V18" s="109"/>
    </row>
    <row r="19" spans="1:22" ht="20.149999999999999" customHeight="1" x14ac:dyDescent="0.35">
      <c r="A19" s="115">
        <v>45922</v>
      </c>
      <c r="B19" s="187"/>
      <c r="C19" s="187"/>
      <c r="D19" s="114">
        <v>144</v>
      </c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6">
        <f t="shared" si="1"/>
        <v>144</v>
      </c>
      <c r="U19" s="109" t="s">
        <v>60</v>
      </c>
      <c r="V19" s="109"/>
    </row>
    <row r="20" spans="1:22" ht="37.5" customHeight="1" x14ac:dyDescent="0.35">
      <c r="A20" s="115">
        <v>45929</v>
      </c>
      <c r="B20" s="187"/>
      <c r="C20" s="187"/>
      <c r="D20" s="114"/>
      <c r="E20" s="114">
        <v>200</v>
      </c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>
        <v>200</v>
      </c>
      <c r="R20" s="114"/>
      <c r="S20" s="114"/>
      <c r="T20" s="116">
        <f t="shared" si="1"/>
        <v>400</v>
      </c>
      <c r="U20" s="109" t="s">
        <v>61</v>
      </c>
      <c r="V20" s="109"/>
    </row>
    <row r="21" spans="1:22" ht="200.15" customHeight="1" x14ac:dyDescent="0.35">
      <c r="A21" s="115">
        <v>45933</v>
      </c>
      <c r="B21" s="187"/>
      <c r="C21" s="187"/>
      <c r="D21" s="114"/>
      <c r="E21" s="114"/>
      <c r="F21" s="114"/>
      <c r="G21" s="114"/>
      <c r="H21" s="114"/>
      <c r="I21" s="114"/>
      <c r="J21" s="114"/>
      <c r="K21" s="114">
        <v>280</v>
      </c>
      <c r="L21" s="114"/>
      <c r="M21" s="114"/>
      <c r="N21" s="114"/>
      <c r="O21" s="114"/>
      <c r="P21" s="114"/>
      <c r="Q21" s="114"/>
      <c r="R21" s="114"/>
      <c r="S21" s="114"/>
      <c r="T21" s="116">
        <f t="shared" si="1"/>
        <v>280</v>
      </c>
      <c r="U21" s="109" t="s">
        <v>62</v>
      </c>
      <c r="V21" s="109"/>
    </row>
    <row r="22" spans="1:22" ht="129" customHeight="1" x14ac:dyDescent="0.35">
      <c r="A22" s="115">
        <v>45934</v>
      </c>
      <c r="B22" s="187"/>
      <c r="C22" s="187"/>
      <c r="D22" s="114"/>
      <c r="E22" s="114">
        <v>100</v>
      </c>
      <c r="F22" s="114"/>
      <c r="G22" s="114"/>
      <c r="H22" s="114"/>
      <c r="I22" s="114"/>
      <c r="J22" s="114"/>
      <c r="K22" s="114">
        <v>60</v>
      </c>
      <c r="L22" s="114"/>
      <c r="M22" s="114"/>
      <c r="N22" s="114"/>
      <c r="O22" s="114"/>
      <c r="P22" s="114"/>
      <c r="Q22" s="114"/>
      <c r="R22" s="114">
        <v>60</v>
      </c>
      <c r="S22" s="114"/>
      <c r="T22" s="116">
        <f t="shared" si="1"/>
        <v>220</v>
      </c>
      <c r="U22" s="109" t="s">
        <v>63</v>
      </c>
      <c r="V22" s="109"/>
    </row>
    <row r="23" spans="1:22" ht="20.149999999999999" customHeight="1" x14ac:dyDescent="0.35">
      <c r="A23" s="115">
        <v>45936</v>
      </c>
      <c r="B23" s="187"/>
      <c r="C23" s="187"/>
      <c r="D23" s="114"/>
      <c r="E23" s="114">
        <v>80</v>
      </c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6">
        <f t="shared" si="1"/>
        <v>80</v>
      </c>
      <c r="U23" s="109" t="s">
        <v>64</v>
      </c>
      <c r="V23" s="109"/>
    </row>
    <row r="24" spans="1:22" ht="53.15" customHeight="1" x14ac:dyDescent="0.35">
      <c r="A24" s="115">
        <v>45937</v>
      </c>
      <c r="B24" s="187"/>
      <c r="C24" s="187"/>
      <c r="D24" s="114"/>
      <c r="E24" s="114">
        <v>392</v>
      </c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6">
        <f t="shared" si="1"/>
        <v>392</v>
      </c>
      <c r="U24" s="109" t="s">
        <v>65</v>
      </c>
      <c r="V24" s="109"/>
    </row>
    <row r="25" spans="1:22" ht="39" customHeight="1" x14ac:dyDescent="0.35">
      <c r="A25" s="115">
        <v>45938</v>
      </c>
      <c r="B25" s="187"/>
      <c r="C25" s="187"/>
      <c r="D25" s="114"/>
      <c r="E25" s="114">
        <v>450</v>
      </c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6">
        <f t="shared" si="1"/>
        <v>450</v>
      </c>
      <c r="U25" s="109" t="s">
        <v>66</v>
      </c>
      <c r="V25" s="109"/>
    </row>
    <row r="26" spans="1:22" ht="48.65" customHeight="1" x14ac:dyDescent="0.35">
      <c r="A26" s="115">
        <v>45943</v>
      </c>
      <c r="B26" s="187"/>
      <c r="C26" s="187"/>
      <c r="D26" s="114">
        <v>60</v>
      </c>
      <c r="E26" s="114"/>
      <c r="F26" s="114"/>
      <c r="G26" s="114"/>
      <c r="H26" s="114"/>
      <c r="I26" s="114"/>
      <c r="J26" s="114">
        <v>240</v>
      </c>
      <c r="K26" s="114">
        <v>60</v>
      </c>
      <c r="L26" s="114"/>
      <c r="M26" s="114"/>
      <c r="N26" s="114"/>
      <c r="O26" s="114"/>
      <c r="P26" s="114"/>
      <c r="Q26" s="114"/>
      <c r="R26" s="114"/>
      <c r="S26" s="114"/>
      <c r="T26" s="116">
        <f t="shared" si="1"/>
        <v>360</v>
      </c>
      <c r="U26" s="109" t="s">
        <v>67</v>
      </c>
      <c r="V26" s="109"/>
    </row>
    <row r="27" spans="1:22" ht="41.15" customHeight="1" x14ac:dyDescent="0.35">
      <c r="A27" s="115">
        <v>45944</v>
      </c>
      <c r="B27" s="187"/>
      <c r="C27" s="187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>
        <v>120</v>
      </c>
      <c r="S27" s="114"/>
      <c r="T27" s="116">
        <f t="shared" si="1"/>
        <v>120</v>
      </c>
      <c r="U27" s="109" t="s">
        <v>68</v>
      </c>
      <c r="V27" s="109"/>
    </row>
    <row r="28" spans="1:22" ht="43.5" customHeight="1" x14ac:dyDescent="0.35">
      <c r="A28" s="115">
        <v>45946</v>
      </c>
      <c r="B28" s="187"/>
      <c r="C28" s="187"/>
      <c r="D28" s="114"/>
      <c r="E28" s="114">
        <v>180</v>
      </c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>
        <v>200</v>
      </c>
      <c r="R28" s="114"/>
      <c r="S28" s="114">
        <v>40</v>
      </c>
      <c r="T28" s="116">
        <f t="shared" si="1"/>
        <v>420</v>
      </c>
      <c r="U28" s="109" t="s">
        <v>69</v>
      </c>
      <c r="V28" s="109"/>
    </row>
    <row r="29" spans="1:22" ht="41.5" customHeight="1" x14ac:dyDescent="0.35">
      <c r="A29" s="115">
        <v>45948</v>
      </c>
      <c r="B29" s="187"/>
      <c r="C29" s="187"/>
      <c r="D29" s="114"/>
      <c r="E29" s="114"/>
      <c r="F29" s="114">
        <v>180</v>
      </c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6">
        <f t="shared" si="1"/>
        <v>180</v>
      </c>
      <c r="U29" s="109" t="s">
        <v>70</v>
      </c>
      <c r="V29" s="109"/>
    </row>
    <row r="30" spans="1:22" ht="43.5" customHeight="1" x14ac:dyDescent="0.35">
      <c r="A30" s="115">
        <v>45950</v>
      </c>
      <c r="B30" s="187"/>
      <c r="C30" s="187"/>
      <c r="D30" s="114"/>
      <c r="E30" s="114">
        <v>120</v>
      </c>
      <c r="F30" s="114"/>
      <c r="G30" s="114"/>
      <c r="H30" s="114"/>
      <c r="I30" s="114"/>
      <c r="J30" s="114"/>
      <c r="K30" s="114">
        <v>60</v>
      </c>
      <c r="L30" s="114"/>
      <c r="M30" s="114"/>
      <c r="N30" s="114"/>
      <c r="O30" s="114"/>
      <c r="P30" s="114"/>
      <c r="Q30" s="114"/>
      <c r="R30" s="114"/>
      <c r="S30" s="114"/>
      <c r="T30" s="116">
        <f t="shared" si="1"/>
        <v>180</v>
      </c>
      <c r="U30" s="109" t="s">
        <v>71</v>
      </c>
      <c r="V30" s="109"/>
    </row>
    <row r="31" spans="1:22" ht="20.149999999999999" customHeight="1" x14ac:dyDescent="0.35">
      <c r="A31" s="115">
        <v>45951</v>
      </c>
      <c r="B31" s="187"/>
      <c r="C31" s="187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>
        <v>160</v>
      </c>
      <c r="T31" s="116">
        <f t="shared" si="1"/>
        <v>160</v>
      </c>
      <c r="U31" s="109" t="s">
        <v>72</v>
      </c>
      <c r="V31" s="109"/>
    </row>
    <row r="32" spans="1:22" ht="20.149999999999999" customHeight="1" x14ac:dyDescent="0.35">
      <c r="A32" s="115">
        <v>45953</v>
      </c>
      <c r="B32" s="187"/>
      <c r="C32" s="187"/>
      <c r="D32" s="114"/>
      <c r="E32" s="114">
        <v>210</v>
      </c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6">
        <f t="shared" si="1"/>
        <v>210</v>
      </c>
      <c r="U32" s="109" t="s">
        <v>73</v>
      </c>
      <c r="V32" s="109"/>
    </row>
    <row r="33" spans="1:22" ht="20.149999999999999" customHeight="1" x14ac:dyDescent="0.35">
      <c r="A33" s="115">
        <v>45954</v>
      </c>
      <c r="B33" s="187"/>
      <c r="C33" s="187"/>
      <c r="D33" s="114"/>
      <c r="E33" s="114">
        <v>480</v>
      </c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6">
        <f t="shared" si="1"/>
        <v>480</v>
      </c>
      <c r="U33" s="109" t="s">
        <v>74</v>
      </c>
      <c r="V33" s="109"/>
    </row>
    <row r="34" spans="1:22" ht="20.149999999999999" customHeight="1" x14ac:dyDescent="0.35">
      <c r="A34" s="115">
        <v>45957</v>
      </c>
      <c r="B34" s="187"/>
      <c r="C34" s="187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>
        <v>154</v>
      </c>
      <c r="T34" s="116">
        <f t="shared" si="1"/>
        <v>154</v>
      </c>
      <c r="U34" s="109" t="s">
        <v>75</v>
      </c>
      <c r="V34" s="109"/>
    </row>
    <row r="35" spans="1:22" ht="20.149999999999999" customHeight="1" x14ac:dyDescent="0.35">
      <c r="A35" s="115">
        <v>45958</v>
      </c>
      <c r="B35" s="187"/>
      <c r="C35" s="187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>
        <v>400</v>
      </c>
      <c r="T35" s="116">
        <f t="shared" si="1"/>
        <v>400</v>
      </c>
      <c r="U35" s="109" t="s">
        <v>75</v>
      </c>
      <c r="V35" s="109"/>
    </row>
    <row r="36" spans="1:22" ht="20.149999999999999" customHeight="1" x14ac:dyDescent="0.35">
      <c r="A36" s="115">
        <v>45959</v>
      </c>
      <c r="B36" s="187"/>
      <c r="C36" s="187"/>
      <c r="D36" s="114"/>
      <c r="E36" s="114"/>
      <c r="F36" s="114"/>
      <c r="G36" s="114"/>
      <c r="H36" s="114">
        <v>300</v>
      </c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6">
        <f t="shared" si="1"/>
        <v>300</v>
      </c>
      <c r="U36" s="109" t="s">
        <v>76</v>
      </c>
      <c r="V36" s="109"/>
    </row>
    <row r="37" spans="1:22" ht="20.149999999999999" customHeight="1" x14ac:dyDescent="0.35">
      <c r="A37" s="115">
        <v>45960</v>
      </c>
      <c r="B37" s="187"/>
      <c r="C37" s="187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>
        <v>240</v>
      </c>
      <c r="T37" s="116">
        <f t="shared" si="1"/>
        <v>240</v>
      </c>
      <c r="U37" s="109" t="s">
        <v>77</v>
      </c>
      <c r="V37" s="109"/>
    </row>
    <row r="38" spans="1:22" ht="20.149999999999999" customHeight="1" x14ac:dyDescent="0.35">
      <c r="A38" s="115">
        <v>45961</v>
      </c>
      <c r="B38" s="187"/>
      <c r="C38" s="187"/>
      <c r="D38" s="114"/>
      <c r="E38" s="114">
        <v>160</v>
      </c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6">
        <f t="shared" si="1"/>
        <v>160</v>
      </c>
      <c r="U38" s="109" t="s">
        <v>78</v>
      </c>
      <c r="V38" s="109"/>
    </row>
    <row r="39" spans="1:22" ht="20.149999999999999" customHeight="1" x14ac:dyDescent="0.35">
      <c r="A39" s="115">
        <v>45962</v>
      </c>
      <c r="B39" s="187"/>
      <c r="C39" s="187"/>
      <c r="D39" s="114"/>
      <c r="E39" s="114">
        <v>240</v>
      </c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6">
        <f t="shared" si="1"/>
        <v>240</v>
      </c>
      <c r="U39" s="109" t="s">
        <v>79</v>
      </c>
      <c r="V39" s="109"/>
    </row>
    <row r="40" spans="1:22" ht="20.149999999999999" customHeight="1" x14ac:dyDescent="0.35">
      <c r="A40" s="115">
        <v>45964</v>
      </c>
      <c r="B40" s="187"/>
      <c r="C40" s="187"/>
      <c r="D40" s="114"/>
      <c r="E40" s="114">
        <v>240</v>
      </c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6">
        <f t="shared" si="1"/>
        <v>240</v>
      </c>
      <c r="U40" s="109" t="s">
        <v>80</v>
      </c>
      <c r="V40" s="109"/>
    </row>
    <row r="41" spans="1:22" ht="20.149999999999999" customHeight="1" x14ac:dyDescent="0.35">
      <c r="A41" s="115">
        <v>45964</v>
      </c>
      <c r="B41" s="187"/>
      <c r="C41" s="187"/>
      <c r="D41" s="114"/>
      <c r="E41" s="114">
        <v>180</v>
      </c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6">
        <f t="shared" si="1"/>
        <v>180</v>
      </c>
      <c r="U41" s="109" t="s">
        <v>81</v>
      </c>
      <c r="V41" s="109"/>
    </row>
    <row r="42" spans="1:22" ht="20.149999999999999" customHeight="1" x14ac:dyDescent="0.35">
      <c r="A42" s="115">
        <v>45965</v>
      </c>
      <c r="B42" s="187"/>
      <c r="C42" s="187"/>
      <c r="D42" s="114"/>
      <c r="E42" s="114">
        <v>360</v>
      </c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6">
        <f t="shared" si="1"/>
        <v>360</v>
      </c>
      <c r="U42" s="109" t="s">
        <v>82</v>
      </c>
      <c r="V42" s="109"/>
    </row>
    <row r="43" spans="1:22" ht="20.149999999999999" customHeight="1" x14ac:dyDescent="0.35">
      <c r="A43" s="115">
        <v>45966</v>
      </c>
      <c r="B43" s="187"/>
      <c r="C43" s="187"/>
      <c r="D43" s="114"/>
      <c r="E43" s="114">
        <v>180</v>
      </c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6">
        <f t="shared" si="1"/>
        <v>180</v>
      </c>
      <c r="U43" s="109" t="s">
        <v>83</v>
      </c>
      <c r="V43" s="109"/>
    </row>
    <row r="44" spans="1:22" ht="20.149999999999999" customHeight="1" x14ac:dyDescent="0.35">
      <c r="A44" s="115">
        <v>45967</v>
      </c>
      <c r="B44" s="187"/>
      <c r="C44" s="187"/>
      <c r="D44" s="114"/>
      <c r="E44" s="114">
        <v>330</v>
      </c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6">
        <f t="shared" si="1"/>
        <v>330</v>
      </c>
      <c r="U44" s="109" t="s">
        <v>84</v>
      </c>
      <c r="V44" s="109"/>
    </row>
    <row r="45" spans="1:22" ht="20.149999999999999" customHeight="1" x14ac:dyDescent="0.35">
      <c r="A45" s="115">
        <v>45968</v>
      </c>
      <c r="B45" s="187"/>
      <c r="C45" s="187"/>
      <c r="D45" s="114"/>
      <c r="E45" s="114">
        <v>480</v>
      </c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6">
        <f t="shared" si="1"/>
        <v>480</v>
      </c>
      <c r="U45" s="109" t="s">
        <v>85</v>
      </c>
      <c r="V45" s="109"/>
    </row>
    <row r="46" spans="1:22" ht="20.149999999999999" customHeight="1" x14ac:dyDescent="0.35">
      <c r="A46" s="115">
        <v>45969</v>
      </c>
      <c r="B46" s="187"/>
      <c r="C46" s="187"/>
      <c r="D46" s="114"/>
      <c r="E46" s="114"/>
      <c r="F46" s="114"/>
      <c r="G46" s="114"/>
      <c r="H46" s="114"/>
      <c r="I46" s="114"/>
      <c r="J46" s="114"/>
      <c r="K46" s="114">
        <v>220</v>
      </c>
      <c r="L46" s="114"/>
      <c r="M46" s="114"/>
      <c r="N46" s="114"/>
      <c r="O46" s="114"/>
      <c r="P46" s="114"/>
      <c r="Q46" s="114"/>
      <c r="R46" s="114"/>
      <c r="S46" s="114">
        <v>180</v>
      </c>
      <c r="T46" s="116">
        <f t="shared" si="1"/>
        <v>400</v>
      </c>
      <c r="U46" s="109" t="s">
        <v>86</v>
      </c>
      <c r="V46" s="109"/>
    </row>
    <row r="47" spans="1:22" ht="20.149999999999999" customHeight="1" x14ac:dyDescent="0.35">
      <c r="A47" s="115">
        <v>45970</v>
      </c>
      <c r="B47" s="187"/>
      <c r="C47" s="187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6">
        <f t="shared" si="1"/>
        <v>0</v>
      </c>
      <c r="U47" s="109" t="s">
        <v>87</v>
      </c>
      <c r="V47" s="109"/>
    </row>
    <row r="48" spans="1:22" ht="20.149999999999999" customHeight="1" x14ac:dyDescent="0.35">
      <c r="A48" s="115">
        <v>45971</v>
      </c>
      <c r="B48" s="187"/>
      <c r="C48" s="187"/>
      <c r="D48" s="114"/>
      <c r="E48" s="114"/>
      <c r="F48" s="114"/>
      <c r="G48" s="114"/>
      <c r="H48" s="114"/>
      <c r="I48" s="114"/>
      <c r="J48" s="114"/>
      <c r="K48" s="114">
        <v>150</v>
      </c>
      <c r="L48" s="114"/>
      <c r="M48" s="114"/>
      <c r="N48" s="114"/>
      <c r="O48" s="114"/>
      <c r="P48" s="114"/>
      <c r="Q48" s="114"/>
      <c r="R48" s="114"/>
      <c r="S48" s="114"/>
      <c r="T48" s="116">
        <f t="shared" si="1"/>
        <v>150</v>
      </c>
      <c r="U48" s="109" t="s">
        <v>88</v>
      </c>
      <c r="V48" s="109"/>
    </row>
    <row r="49" spans="1:22" ht="43.5" x14ac:dyDescent="0.35">
      <c r="A49" s="115">
        <v>45972</v>
      </c>
      <c r="B49" s="187"/>
      <c r="C49" s="187"/>
      <c r="D49" s="114"/>
      <c r="E49" s="114">
        <v>120</v>
      </c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>
        <v>60</v>
      </c>
      <c r="R49" s="114"/>
      <c r="S49" s="114">
        <v>60</v>
      </c>
      <c r="T49" s="116">
        <f t="shared" si="1"/>
        <v>240</v>
      </c>
      <c r="U49" s="109" t="s">
        <v>89</v>
      </c>
      <c r="V49" s="109"/>
    </row>
    <row r="50" spans="1:22" ht="20.149999999999999" customHeight="1" x14ac:dyDescent="0.35">
      <c r="A50" s="115">
        <v>45973</v>
      </c>
      <c r="B50" s="187"/>
      <c r="C50" s="187"/>
      <c r="D50" s="114"/>
      <c r="E50" s="114"/>
      <c r="F50" s="114"/>
      <c r="G50" s="114"/>
      <c r="H50" s="114"/>
      <c r="I50" s="114"/>
      <c r="J50" s="114"/>
      <c r="K50" s="114">
        <v>150</v>
      </c>
      <c r="L50" s="114"/>
      <c r="M50" s="114"/>
      <c r="N50" s="114"/>
      <c r="O50" s="114"/>
      <c r="P50" s="114"/>
      <c r="Q50" s="114"/>
      <c r="R50" s="114"/>
      <c r="S50" s="114"/>
      <c r="T50" s="116">
        <f t="shared" si="1"/>
        <v>150</v>
      </c>
      <c r="U50" s="109" t="s">
        <v>88</v>
      </c>
      <c r="V50" s="109"/>
    </row>
    <row r="51" spans="1:22" ht="20.149999999999999" customHeight="1" x14ac:dyDescent="0.35">
      <c r="A51" s="115">
        <v>45976</v>
      </c>
      <c r="B51" s="187"/>
      <c r="C51" s="187"/>
      <c r="D51" s="114"/>
      <c r="E51" s="114">
        <v>240</v>
      </c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6">
        <f t="shared" si="1"/>
        <v>240</v>
      </c>
      <c r="U51" s="109" t="s">
        <v>90</v>
      </c>
      <c r="V51" s="109"/>
    </row>
    <row r="52" spans="1:22" ht="20.149999999999999" customHeight="1" x14ac:dyDescent="0.35">
      <c r="A52" s="115">
        <v>45978</v>
      </c>
      <c r="B52" s="187"/>
      <c r="C52" s="187"/>
      <c r="D52" s="114"/>
      <c r="E52" s="114">
        <v>310</v>
      </c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6">
        <f t="shared" si="1"/>
        <v>310</v>
      </c>
      <c r="U52" s="109" t="s">
        <v>91</v>
      </c>
      <c r="V52" s="109"/>
    </row>
    <row r="53" spans="1:22" ht="20.149999999999999" customHeight="1" x14ac:dyDescent="0.35">
      <c r="A53" s="115">
        <v>45979</v>
      </c>
      <c r="B53" s="187"/>
      <c r="C53" s="187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>
        <v>120</v>
      </c>
      <c r="T53" s="116">
        <f t="shared" si="1"/>
        <v>120</v>
      </c>
      <c r="U53" s="109" t="s">
        <v>92</v>
      </c>
      <c r="V53" s="109"/>
    </row>
    <row r="54" spans="1:22" ht="29" x14ac:dyDescent="0.35">
      <c r="A54" s="115">
        <v>45980</v>
      </c>
      <c r="B54" s="187"/>
      <c r="C54" s="187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>
        <v>120</v>
      </c>
      <c r="T54" s="116">
        <f t="shared" si="1"/>
        <v>120</v>
      </c>
      <c r="U54" s="109" t="s">
        <v>93</v>
      </c>
      <c r="V54" s="109"/>
    </row>
    <row r="55" spans="1:22" ht="20.149999999999999" customHeight="1" x14ac:dyDescent="0.35">
      <c r="A55" s="115">
        <v>45981</v>
      </c>
      <c r="B55" s="187"/>
      <c r="C55" s="187"/>
      <c r="D55" s="114"/>
      <c r="E55" s="114">
        <v>280</v>
      </c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6">
        <f t="shared" si="1"/>
        <v>280</v>
      </c>
      <c r="U55" s="109" t="s">
        <v>94</v>
      </c>
      <c r="V55" s="109"/>
    </row>
    <row r="56" spans="1:22" ht="20.149999999999999" customHeight="1" x14ac:dyDescent="0.35">
      <c r="A56" s="115">
        <v>45985</v>
      </c>
      <c r="B56" s="187"/>
      <c r="C56" s="187"/>
      <c r="D56" s="114"/>
      <c r="E56" s="114">
        <v>60</v>
      </c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>
        <v>120</v>
      </c>
      <c r="T56" s="116">
        <f t="shared" si="1"/>
        <v>180</v>
      </c>
      <c r="U56" s="109" t="s">
        <v>95</v>
      </c>
      <c r="V56" s="109"/>
    </row>
    <row r="57" spans="1:22" ht="20.149999999999999" customHeight="1" x14ac:dyDescent="0.35">
      <c r="A57" s="115">
        <v>45986</v>
      </c>
      <c r="B57" s="187"/>
      <c r="C57" s="187"/>
      <c r="D57" s="114">
        <v>300</v>
      </c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6">
        <f t="shared" si="1"/>
        <v>300</v>
      </c>
      <c r="U57" s="109" t="s">
        <v>96</v>
      </c>
      <c r="V57" s="109"/>
    </row>
    <row r="58" spans="1:22" ht="20.149999999999999" customHeight="1" x14ac:dyDescent="0.35">
      <c r="A58" s="115">
        <v>45987</v>
      </c>
      <c r="B58" s="187"/>
      <c r="C58" s="187"/>
      <c r="D58" s="114"/>
      <c r="E58" s="114">
        <v>120</v>
      </c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>
        <v>30</v>
      </c>
      <c r="T58" s="116">
        <f t="shared" si="1"/>
        <v>150</v>
      </c>
      <c r="U58" s="109" t="s">
        <v>97</v>
      </c>
      <c r="V58" s="109"/>
    </row>
    <row r="59" spans="1:22" ht="20.149999999999999" customHeight="1" x14ac:dyDescent="0.35">
      <c r="A59" s="121"/>
      <c r="B59" s="188"/>
      <c r="C59" s="188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19"/>
      <c r="U59" s="118" t="s">
        <v>98</v>
      </c>
      <c r="V59" s="109"/>
    </row>
    <row r="60" spans="1:22" ht="44.15" customHeight="1" x14ac:dyDescent="0.35">
      <c r="A60" s="115">
        <v>45988</v>
      </c>
      <c r="B60" s="187"/>
      <c r="C60" s="187"/>
      <c r="D60" s="114"/>
      <c r="E60" s="114"/>
      <c r="F60" s="114"/>
      <c r="G60" s="114"/>
      <c r="H60" s="114"/>
      <c r="I60" s="114"/>
      <c r="J60" s="114"/>
      <c r="K60" s="114">
        <v>180</v>
      </c>
      <c r="L60" s="114"/>
      <c r="M60" s="114"/>
      <c r="N60" s="114"/>
      <c r="O60" s="114"/>
      <c r="P60" s="114"/>
      <c r="Q60" s="114"/>
      <c r="R60" s="114"/>
      <c r="S60" s="114"/>
      <c r="T60" s="116">
        <f t="shared" ref="T60:T125" si="2">SUM(D60:S60)</f>
        <v>180</v>
      </c>
      <c r="U60" s="109" t="s">
        <v>99</v>
      </c>
      <c r="V60" s="109"/>
    </row>
    <row r="61" spans="1:22" ht="20.149999999999999" customHeight="1" x14ac:dyDescent="0.35">
      <c r="A61" s="115">
        <v>45990</v>
      </c>
      <c r="B61" s="187"/>
      <c r="C61" s="187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>
        <v>179</v>
      </c>
      <c r="Q61" s="114"/>
      <c r="R61" s="114"/>
      <c r="S61" s="114"/>
      <c r="T61" s="116">
        <f t="shared" si="2"/>
        <v>179</v>
      </c>
      <c r="U61" s="109" t="s">
        <v>100</v>
      </c>
      <c r="V61" s="109"/>
    </row>
    <row r="62" spans="1:22" ht="43.5" x14ac:dyDescent="0.35">
      <c r="A62" s="115">
        <v>45993</v>
      </c>
      <c r="B62" s="187"/>
      <c r="C62" s="187"/>
      <c r="D62" s="114"/>
      <c r="E62" s="114">
        <v>260</v>
      </c>
      <c r="F62" s="114"/>
      <c r="G62" s="114"/>
      <c r="H62" s="114"/>
      <c r="I62" s="114"/>
      <c r="J62" s="114"/>
      <c r="K62" s="114"/>
      <c r="L62" s="114">
        <v>120</v>
      </c>
      <c r="M62" s="114"/>
      <c r="N62" s="114"/>
      <c r="O62" s="114"/>
      <c r="P62" s="114"/>
      <c r="Q62" s="114"/>
      <c r="R62" s="114"/>
      <c r="S62" s="114"/>
      <c r="T62" s="116">
        <f t="shared" si="2"/>
        <v>380</v>
      </c>
      <c r="U62" s="109" t="s">
        <v>101</v>
      </c>
      <c r="V62" s="109"/>
    </row>
    <row r="63" spans="1:22" ht="58" x14ac:dyDescent="0.35">
      <c r="A63" s="115">
        <v>45994</v>
      </c>
      <c r="B63" s="187"/>
      <c r="C63" s="187"/>
      <c r="D63" s="114"/>
      <c r="E63" s="114">
        <v>120</v>
      </c>
      <c r="F63" s="114"/>
      <c r="G63" s="114"/>
      <c r="H63" s="114"/>
      <c r="I63" s="114"/>
      <c r="J63" s="114"/>
      <c r="K63" s="114">
        <v>260</v>
      </c>
      <c r="L63" s="114"/>
      <c r="M63" s="114"/>
      <c r="N63" s="114"/>
      <c r="O63" s="114"/>
      <c r="P63" s="114"/>
      <c r="Q63" s="114"/>
      <c r="R63" s="114"/>
      <c r="S63" s="114"/>
      <c r="T63" s="116">
        <f t="shared" si="2"/>
        <v>380</v>
      </c>
      <c r="U63" s="109" t="s">
        <v>102</v>
      </c>
      <c r="V63" s="109"/>
    </row>
    <row r="64" spans="1:22" ht="20.149999999999999" customHeight="1" x14ac:dyDescent="0.35">
      <c r="A64" s="115">
        <v>45995</v>
      </c>
      <c r="B64" s="187"/>
      <c r="C64" s="187"/>
      <c r="D64" s="114"/>
      <c r="E64" s="114">
        <v>312</v>
      </c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6">
        <f t="shared" si="2"/>
        <v>312</v>
      </c>
      <c r="U64" s="109" t="s">
        <v>103</v>
      </c>
      <c r="V64" s="109"/>
    </row>
    <row r="65" spans="1:22" ht="20.149999999999999" customHeight="1" x14ac:dyDescent="0.35">
      <c r="A65" s="115">
        <v>45996</v>
      </c>
      <c r="B65" s="187"/>
      <c r="C65" s="187"/>
      <c r="D65" s="114"/>
      <c r="E65" s="114">
        <v>472</v>
      </c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6">
        <f t="shared" si="2"/>
        <v>472</v>
      </c>
      <c r="U65" s="109" t="s">
        <v>104</v>
      </c>
      <c r="V65" s="109"/>
    </row>
    <row r="66" spans="1:22" ht="20.149999999999999" customHeight="1" x14ac:dyDescent="0.35">
      <c r="A66" s="115">
        <v>45997</v>
      </c>
      <c r="B66" s="187"/>
      <c r="C66" s="187"/>
      <c r="D66" s="114"/>
      <c r="E66" s="114">
        <v>368</v>
      </c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6">
        <f t="shared" si="2"/>
        <v>368</v>
      </c>
      <c r="U66" s="109" t="s">
        <v>105</v>
      </c>
      <c r="V66" s="109"/>
    </row>
    <row r="67" spans="1:22" ht="20.149999999999999" customHeight="1" x14ac:dyDescent="0.35">
      <c r="A67" s="115">
        <v>45999</v>
      </c>
      <c r="B67" s="187"/>
      <c r="C67" s="187"/>
      <c r="D67" s="114"/>
      <c r="E67" s="114">
        <v>480</v>
      </c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6">
        <f t="shared" si="2"/>
        <v>480</v>
      </c>
      <c r="U67" s="109" t="s">
        <v>106</v>
      </c>
      <c r="V67" s="109"/>
    </row>
    <row r="68" spans="1:22" ht="20.149999999999999" customHeight="1" x14ac:dyDescent="0.35">
      <c r="A68" s="115">
        <v>46001</v>
      </c>
      <c r="B68" s="187"/>
      <c r="C68" s="187"/>
      <c r="D68" s="114"/>
      <c r="E68" s="114">
        <v>105</v>
      </c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6">
        <f t="shared" si="2"/>
        <v>105</v>
      </c>
      <c r="U68" s="109" t="s">
        <v>107</v>
      </c>
      <c r="V68" s="109"/>
    </row>
    <row r="69" spans="1:22" ht="20.149999999999999" customHeight="1" x14ac:dyDescent="0.35">
      <c r="A69" s="115">
        <v>46002</v>
      </c>
      <c r="B69" s="187"/>
      <c r="C69" s="187"/>
      <c r="D69" s="114"/>
      <c r="E69" s="114">
        <v>321</v>
      </c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6">
        <f t="shared" si="2"/>
        <v>321</v>
      </c>
      <c r="U69" s="109" t="s">
        <v>108</v>
      </c>
      <c r="V69" s="109"/>
    </row>
    <row r="70" spans="1:22" ht="20.149999999999999" customHeight="1" x14ac:dyDescent="0.35">
      <c r="A70" s="115">
        <v>46004</v>
      </c>
      <c r="B70" s="187"/>
      <c r="C70" s="187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>
        <v>184</v>
      </c>
      <c r="T70" s="116">
        <f t="shared" si="2"/>
        <v>184</v>
      </c>
      <c r="U70" s="109" t="s">
        <v>109</v>
      </c>
      <c r="V70" s="109"/>
    </row>
    <row r="71" spans="1:22" ht="29" x14ac:dyDescent="0.35">
      <c r="A71" s="115">
        <v>46006</v>
      </c>
      <c r="B71" s="187"/>
      <c r="C71" s="187"/>
      <c r="D71" s="114"/>
      <c r="E71" s="114"/>
      <c r="F71" s="114"/>
      <c r="G71" s="114"/>
      <c r="H71" s="114"/>
      <c r="I71" s="114"/>
      <c r="J71" s="114"/>
      <c r="K71" s="114">
        <v>170</v>
      </c>
      <c r="L71" s="114"/>
      <c r="M71" s="114"/>
      <c r="N71" s="114"/>
      <c r="O71" s="114"/>
      <c r="P71" s="114"/>
      <c r="Q71" s="114"/>
      <c r="R71" s="114"/>
      <c r="S71" s="114"/>
      <c r="T71" s="116">
        <f t="shared" si="2"/>
        <v>170</v>
      </c>
      <c r="U71" s="109" t="s">
        <v>110</v>
      </c>
      <c r="V71" s="109"/>
    </row>
    <row r="72" spans="1:22" ht="20.149999999999999" customHeight="1" x14ac:dyDescent="0.35">
      <c r="A72" s="115">
        <v>46007</v>
      </c>
      <c r="B72" s="187"/>
      <c r="C72" s="187"/>
      <c r="D72" s="114"/>
      <c r="E72" s="114"/>
      <c r="F72" s="114"/>
      <c r="G72" s="114"/>
      <c r="H72" s="114"/>
      <c r="I72" s="114"/>
      <c r="J72" s="114"/>
      <c r="K72" s="114">
        <v>352</v>
      </c>
      <c r="L72" s="114"/>
      <c r="M72" s="114"/>
      <c r="N72" s="114"/>
      <c r="O72" s="114"/>
      <c r="P72" s="114"/>
      <c r="Q72" s="114"/>
      <c r="R72" s="114"/>
      <c r="S72" s="114"/>
      <c r="T72" s="116">
        <f t="shared" si="2"/>
        <v>352</v>
      </c>
      <c r="U72" s="109" t="s">
        <v>111</v>
      </c>
      <c r="V72" s="109"/>
    </row>
    <row r="73" spans="1:22" ht="20.149999999999999" customHeight="1" x14ac:dyDescent="0.35">
      <c r="A73" s="115">
        <v>46007</v>
      </c>
      <c r="B73" s="187"/>
      <c r="C73" s="187"/>
      <c r="D73" s="114"/>
      <c r="E73" s="114"/>
      <c r="F73" s="114"/>
      <c r="G73" s="114"/>
      <c r="H73" s="114"/>
      <c r="I73" s="114"/>
      <c r="J73" s="114"/>
      <c r="K73" s="114">
        <v>265</v>
      </c>
      <c r="L73" s="114"/>
      <c r="M73" s="114"/>
      <c r="N73" s="114"/>
      <c r="O73" s="114"/>
      <c r="P73" s="114"/>
      <c r="Q73" s="114"/>
      <c r="R73" s="114"/>
      <c r="S73" s="114"/>
      <c r="T73" s="116">
        <f t="shared" si="2"/>
        <v>265</v>
      </c>
      <c r="U73" s="109" t="s">
        <v>112</v>
      </c>
      <c r="V73" s="109"/>
    </row>
    <row r="74" spans="1:22" ht="20.149999999999999" customHeight="1" x14ac:dyDescent="0.35">
      <c r="A74" s="115">
        <v>46008</v>
      </c>
      <c r="B74" s="187"/>
      <c r="C74" s="187"/>
      <c r="D74" s="114"/>
      <c r="E74" s="114"/>
      <c r="F74" s="114"/>
      <c r="G74" s="114"/>
      <c r="H74" s="114"/>
      <c r="I74" s="114"/>
      <c r="J74" s="114"/>
      <c r="K74" s="114">
        <v>45</v>
      </c>
      <c r="L74" s="114"/>
      <c r="M74" s="114"/>
      <c r="N74" s="114"/>
      <c r="O74" s="114"/>
      <c r="P74" s="114"/>
      <c r="Q74" s="114"/>
      <c r="R74" s="114"/>
      <c r="S74" s="114"/>
      <c r="T74" s="116">
        <f t="shared" si="2"/>
        <v>45</v>
      </c>
      <c r="U74" s="109" t="s">
        <v>113</v>
      </c>
      <c r="V74" s="109"/>
    </row>
    <row r="75" spans="1:22" ht="20.149999999999999" customHeight="1" x14ac:dyDescent="0.35">
      <c r="A75" s="115">
        <v>46009</v>
      </c>
      <c r="B75" s="187"/>
      <c r="C75" s="187"/>
      <c r="D75" s="114"/>
      <c r="E75" s="114">
        <v>408</v>
      </c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6">
        <f t="shared" si="2"/>
        <v>408</v>
      </c>
      <c r="U75" s="109" t="s">
        <v>114</v>
      </c>
      <c r="V75" s="109"/>
    </row>
    <row r="76" spans="1:22" ht="20.149999999999999" customHeight="1" x14ac:dyDescent="0.35">
      <c r="A76" s="115">
        <v>46010</v>
      </c>
      <c r="B76" s="187"/>
      <c r="C76" s="187"/>
      <c r="D76" s="114"/>
      <c r="E76" s="114">
        <v>120</v>
      </c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6">
        <f t="shared" si="2"/>
        <v>120</v>
      </c>
      <c r="U76" s="109" t="s">
        <v>115</v>
      </c>
      <c r="V76" s="109"/>
    </row>
    <row r="77" spans="1:22" ht="20.149999999999999" customHeight="1" x14ac:dyDescent="0.35">
      <c r="A77" s="115">
        <v>46013</v>
      </c>
      <c r="B77" s="187"/>
      <c r="C77" s="187"/>
      <c r="D77" s="114"/>
      <c r="E77" s="114">
        <v>232</v>
      </c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6">
        <f t="shared" si="2"/>
        <v>232</v>
      </c>
      <c r="U77" s="109" t="s">
        <v>116</v>
      </c>
      <c r="V77" s="109"/>
    </row>
    <row r="78" spans="1:22" ht="20.149999999999999" customHeight="1" x14ac:dyDescent="0.35">
      <c r="A78" s="115">
        <v>46014</v>
      </c>
      <c r="B78" s="187"/>
      <c r="C78" s="187"/>
      <c r="D78" s="114"/>
      <c r="E78" s="114"/>
      <c r="F78" s="114"/>
      <c r="G78" s="114"/>
      <c r="H78" s="114"/>
      <c r="I78" s="114"/>
      <c r="J78" s="114"/>
      <c r="K78" s="114">
        <v>180</v>
      </c>
      <c r="L78" s="114"/>
      <c r="M78" s="114"/>
      <c r="N78" s="114"/>
      <c r="O78" s="114"/>
      <c r="P78" s="114"/>
      <c r="Q78" s="114"/>
      <c r="R78" s="114"/>
      <c r="S78" s="114"/>
      <c r="T78" s="116">
        <f t="shared" si="2"/>
        <v>180</v>
      </c>
      <c r="U78" s="109" t="s">
        <v>117</v>
      </c>
      <c r="V78" s="109"/>
    </row>
    <row r="79" spans="1:22" ht="20.149999999999999" customHeight="1" x14ac:dyDescent="0.35">
      <c r="A79" s="115">
        <v>46015</v>
      </c>
      <c r="B79" s="187"/>
      <c r="C79" s="187"/>
      <c r="D79" s="114"/>
      <c r="E79" s="114">
        <v>224</v>
      </c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6">
        <f t="shared" si="2"/>
        <v>224</v>
      </c>
      <c r="U79" s="109" t="s">
        <v>118</v>
      </c>
      <c r="V79" s="109"/>
    </row>
    <row r="80" spans="1:22" ht="20.149999999999999" customHeight="1" x14ac:dyDescent="0.35">
      <c r="A80" s="117">
        <v>46029</v>
      </c>
      <c r="B80" s="189"/>
      <c r="C80" s="189"/>
      <c r="D80" s="114"/>
      <c r="E80" s="114">
        <v>300</v>
      </c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6">
        <f t="shared" si="2"/>
        <v>300</v>
      </c>
      <c r="U80" s="109" t="s">
        <v>119</v>
      </c>
      <c r="V80" s="109"/>
    </row>
    <row r="81" spans="1:22" ht="20.149999999999999" customHeight="1" x14ac:dyDescent="0.35">
      <c r="A81" s="117">
        <v>46030</v>
      </c>
      <c r="B81" s="189"/>
      <c r="C81" s="189"/>
      <c r="D81" s="114"/>
      <c r="E81" s="114">
        <v>472</v>
      </c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6">
        <f t="shared" si="2"/>
        <v>472</v>
      </c>
      <c r="U81" s="109" t="s">
        <v>120</v>
      </c>
      <c r="V81" s="109"/>
    </row>
    <row r="82" spans="1:22" ht="20.149999999999999" customHeight="1" x14ac:dyDescent="0.35">
      <c r="A82" s="117">
        <v>46035</v>
      </c>
      <c r="B82" s="189"/>
      <c r="C82" s="189"/>
      <c r="D82" s="114"/>
      <c r="E82" s="114">
        <v>368</v>
      </c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6">
        <f t="shared" si="2"/>
        <v>368</v>
      </c>
      <c r="U82" s="109" t="s">
        <v>121</v>
      </c>
      <c r="V82" s="109"/>
    </row>
    <row r="83" spans="1:22" ht="20.149999999999999" customHeight="1" x14ac:dyDescent="0.35">
      <c r="A83" s="117">
        <v>46036</v>
      </c>
      <c r="B83" s="189"/>
      <c r="C83" s="189"/>
      <c r="D83" s="114"/>
      <c r="E83" s="114">
        <v>180</v>
      </c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6">
        <f t="shared" si="2"/>
        <v>180</v>
      </c>
      <c r="U83" s="109" t="s">
        <v>122</v>
      </c>
      <c r="V83" s="109"/>
    </row>
    <row r="84" spans="1:22" ht="20.149999999999999" customHeight="1" x14ac:dyDescent="0.35">
      <c r="A84" s="117">
        <v>46037</v>
      </c>
      <c r="B84" s="189"/>
      <c r="C84" s="189"/>
      <c r="D84" s="114"/>
      <c r="E84" s="114">
        <v>360</v>
      </c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6">
        <f t="shared" si="2"/>
        <v>360</v>
      </c>
      <c r="U84" s="109" t="s">
        <v>123</v>
      </c>
      <c r="V84" s="109"/>
    </row>
    <row r="85" spans="1:22" ht="20.149999999999999" customHeight="1" x14ac:dyDescent="0.35">
      <c r="A85" s="117">
        <v>46039</v>
      </c>
      <c r="B85" s="189"/>
      <c r="C85" s="189"/>
      <c r="D85" s="114"/>
      <c r="E85" s="114">
        <v>120</v>
      </c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6">
        <f t="shared" si="2"/>
        <v>120</v>
      </c>
      <c r="U85" s="109" t="s">
        <v>124</v>
      </c>
      <c r="V85" s="109"/>
    </row>
    <row r="86" spans="1:22" ht="20.149999999999999" customHeight="1" x14ac:dyDescent="0.35">
      <c r="A86" s="117">
        <v>46039</v>
      </c>
      <c r="B86" s="189"/>
      <c r="C86" s="189"/>
      <c r="D86" s="114"/>
      <c r="E86" s="114">
        <v>70</v>
      </c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6">
        <f t="shared" si="2"/>
        <v>70</v>
      </c>
      <c r="U86" s="109" t="s">
        <v>125</v>
      </c>
      <c r="V86" s="109"/>
    </row>
    <row r="87" spans="1:22" ht="20.149999999999999" customHeight="1" x14ac:dyDescent="0.35">
      <c r="A87" s="117">
        <v>46041</v>
      </c>
      <c r="B87" s="189"/>
      <c r="C87" s="189"/>
      <c r="D87" s="114"/>
      <c r="E87" s="114">
        <v>550</v>
      </c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6">
        <f t="shared" si="2"/>
        <v>550</v>
      </c>
      <c r="U87" s="109" t="s">
        <v>126</v>
      </c>
      <c r="V87" s="109"/>
    </row>
    <row r="88" spans="1:22" ht="20.149999999999999" customHeight="1" x14ac:dyDescent="0.35">
      <c r="A88" s="117">
        <v>46042</v>
      </c>
      <c r="B88" s="189"/>
      <c r="C88" s="189"/>
      <c r="D88" s="114"/>
      <c r="E88" s="114">
        <v>60</v>
      </c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6">
        <f t="shared" si="2"/>
        <v>60</v>
      </c>
      <c r="U88" s="109" t="s">
        <v>127</v>
      </c>
      <c r="V88" s="109"/>
    </row>
    <row r="89" spans="1:22" ht="20.149999999999999" customHeight="1" x14ac:dyDescent="0.35">
      <c r="A89" s="117">
        <v>46042</v>
      </c>
      <c r="B89" s="189"/>
      <c r="C89" s="189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>
        <v>280</v>
      </c>
      <c r="Q89" s="114"/>
      <c r="R89" s="114"/>
      <c r="S89" s="114"/>
      <c r="T89" s="116">
        <f t="shared" si="2"/>
        <v>280</v>
      </c>
      <c r="U89" s="109" t="s">
        <v>128</v>
      </c>
      <c r="V89" s="109"/>
    </row>
    <row r="90" spans="1:22" ht="31.5" customHeight="1" x14ac:dyDescent="0.35">
      <c r="A90" s="117">
        <v>46043</v>
      </c>
      <c r="B90" s="189"/>
      <c r="C90" s="189"/>
      <c r="D90" s="114"/>
      <c r="E90" s="114">
        <v>240</v>
      </c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6">
        <f t="shared" si="2"/>
        <v>240</v>
      </c>
      <c r="U90" s="109" t="s">
        <v>129</v>
      </c>
      <c r="V90" s="109"/>
    </row>
    <row r="91" spans="1:22" ht="20.149999999999999" customHeight="1" x14ac:dyDescent="0.35">
      <c r="A91" s="117">
        <v>46043</v>
      </c>
      <c r="B91" s="189"/>
      <c r="C91" s="189"/>
      <c r="D91" s="114"/>
      <c r="E91" s="114">
        <v>120</v>
      </c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6">
        <f t="shared" si="2"/>
        <v>120</v>
      </c>
      <c r="U91" s="109" t="s">
        <v>130</v>
      </c>
      <c r="V91" s="109"/>
    </row>
    <row r="92" spans="1:22" ht="20.149999999999999" customHeight="1" x14ac:dyDescent="0.35">
      <c r="A92" s="117">
        <v>46044</v>
      </c>
      <c r="B92" s="189"/>
      <c r="C92" s="189"/>
      <c r="D92" s="114">
        <v>135</v>
      </c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6">
        <f t="shared" si="2"/>
        <v>135</v>
      </c>
      <c r="U92" s="109" t="s">
        <v>131</v>
      </c>
      <c r="V92" s="109"/>
    </row>
    <row r="93" spans="1:22" ht="20.149999999999999" customHeight="1" x14ac:dyDescent="0.35">
      <c r="A93" s="117">
        <v>46044</v>
      </c>
      <c r="B93" s="189"/>
      <c r="C93" s="189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>
        <v>125</v>
      </c>
      <c r="S93" s="114"/>
      <c r="T93" s="116">
        <f t="shared" si="2"/>
        <v>125</v>
      </c>
      <c r="U93" s="109" t="s">
        <v>132</v>
      </c>
      <c r="V93" s="109"/>
    </row>
    <row r="94" spans="1:22" ht="20.149999999999999" customHeight="1" x14ac:dyDescent="0.35">
      <c r="A94" s="117">
        <v>46045</v>
      </c>
      <c r="B94" s="189"/>
      <c r="C94" s="189"/>
      <c r="D94" s="114"/>
      <c r="E94" s="114">
        <v>550</v>
      </c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6">
        <f t="shared" si="2"/>
        <v>550</v>
      </c>
      <c r="U94" s="109" t="s">
        <v>133</v>
      </c>
      <c r="V94" s="109"/>
    </row>
    <row r="95" spans="1:22" ht="29" x14ac:dyDescent="0.35">
      <c r="A95" s="117">
        <v>46046</v>
      </c>
      <c r="B95" s="189"/>
      <c r="C95" s="189"/>
      <c r="D95" s="114"/>
      <c r="E95" s="114">
        <v>150</v>
      </c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>
        <v>100</v>
      </c>
      <c r="S95" s="114"/>
      <c r="T95" s="116">
        <f t="shared" si="2"/>
        <v>250</v>
      </c>
      <c r="U95" s="109" t="s">
        <v>134</v>
      </c>
      <c r="V95" s="109"/>
    </row>
    <row r="96" spans="1:22" ht="20.149999999999999" customHeight="1" x14ac:dyDescent="0.35">
      <c r="A96" s="117">
        <v>46047</v>
      </c>
      <c r="B96" s="189"/>
      <c r="C96" s="189"/>
      <c r="D96" s="114"/>
      <c r="E96" s="114">
        <v>330</v>
      </c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6">
        <f t="shared" si="2"/>
        <v>330</v>
      </c>
      <c r="U96" s="109" t="s">
        <v>135</v>
      </c>
      <c r="V96" s="109"/>
    </row>
    <row r="97" spans="1:22" ht="20.149999999999999" customHeight="1" x14ac:dyDescent="0.35">
      <c r="A97" s="117">
        <v>46050</v>
      </c>
      <c r="B97" s="189"/>
      <c r="C97" s="189"/>
      <c r="D97" s="114"/>
      <c r="E97" s="114">
        <v>350</v>
      </c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6">
        <f t="shared" si="2"/>
        <v>350</v>
      </c>
      <c r="U97" s="109" t="s">
        <v>136</v>
      </c>
      <c r="V97" s="109"/>
    </row>
    <row r="98" spans="1:22" ht="20.149999999999999" customHeight="1" x14ac:dyDescent="0.35">
      <c r="A98" s="117">
        <v>46051</v>
      </c>
      <c r="B98" s="189"/>
      <c r="C98" s="189"/>
      <c r="D98" s="114"/>
      <c r="E98" s="114">
        <v>240</v>
      </c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6">
        <f t="shared" si="2"/>
        <v>240</v>
      </c>
      <c r="U98" s="109" t="s">
        <v>137</v>
      </c>
      <c r="V98" s="109"/>
    </row>
    <row r="99" spans="1:22" ht="20.149999999999999" customHeight="1" x14ac:dyDescent="0.35">
      <c r="A99" s="117">
        <v>46053</v>
      </c>
      <c r="B99" s="189"/>
      <c r="C99" s="189"/>
      <c r="D99" s="114"/>
      <c r="E99" s="114">
        <v>352</v>
      </c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6">
        <f t="shared" si="2"/>
        <v>352</v>
      </c>
      <c r="U99" s="109" t="s">
        <v>138</v>
      </c>
      <c r="V99" s="109"/>
    </row>
    <row r="100" spans="1:22" ht="20.149999999999999" customHeight="1" x14ac:dyDescent="0.35">
      <c r="A100" s="117">
        <v>46053</v>
      </c>
      <c r="B100" s="189"/>
      <c r="C100" s="189"/>
      <c r="D100" s="114"/>
      <c r="E100" s="114">
        <v>384</v>
      </c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6">
        <f t="shared" si="2"/>
        <v>384</v>
      </c>
      <c r="U100" s="109" t="s">
        <v>139</v>
      </c>
      <c r="V100" s="109"/>
    </row>
    <row r="101" spans="1:22" ht="20.149999999999999" customHeight="1" x14ac:dyDescent="0.35">
      <c r="A101" s="117">
        <v>46055</v>
      </c>
      <c r="B101" s="189"/>
      <c r="C101" s="189"/>
      <c r="D101" s="114"/>
      <c r="E101" s="114">
        <v>360</v>
      </c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6">
        <f t="shared" si="2"/>
        <v>360</v>
      </c>
      <c r="U101" s="109" t="s">
        <v>140</v>
      </c>
      <c r="V101" s="109"/>
    </row>
    <row r="102" spans="1:22" ht="20.149999999999999" customHeight="1" x14ac:dyDescent="0.35">
      <c r="A102" s="117">
        <v>46055</v>
      </c>
      <c r="B102" s="189"/>
      <c r="C102" s="189"/>
      <c r="D102" s="114"/>
      <c r="E102" s="114">
        <v>60</v>
      </c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>
        <v>60</v>
      </c>
      <c r="T102" s="116">
        <f t="shared" si="2"/>
        <v>120</v>
      </c>
      <c r="U102" s="109" t="s">
        <v>141</v>
      </c>
      <c r="V102" s="109"/>
    </row>
    <row r="103" spans="1:22" ht="20.149999999999999" customHeight="1" x14ac:dyDescent="0.35">
      <c r="A103" s="117">
        <v>46056</v>
      </c>
      <c r="B103" s="189"/>
      <c r="C103" s="189"/>
      <c r="D103" s="114">
        <v>135</v>
      </c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6">
        <f t="shared" si="2"/>
        <v>135</v>
      </c>
      <c r="U103" s="109" t="s">
        <v>142</v>
      </c>
      <c r="V103" s="109"/>
    </row>
    <row r="104" spans="1:22" ht="20.149999999999999" customHeight="1" x14ac:dyDescent="0.35">
      <c r="A104" s="117">
        <v>46057</v>
      </c>
      <c r="B104" s="189"/>
      <c r="C104" s="189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>
        <v>288</v>
      </c>
      <c r="P104" s="114"/>
      <c r="Q104" s="114"/>
      <c r="R104" s="114"/>
      <c r="S104" s="114"/>
      <c r="T104" s="116">
        <f t="shared" si="2"/>
        <v>288</v>
      </c>
      <c r="U104" s="109" t="s">
        <v>143</v>
      </c>
      <c r="V104" s="109"/>
    </row>
    <row r="105" spans="1:22" ht="20.149999999999999" customHeight="1" x14ac:dyDescent="0.35">
      <c r="A105" s="117">
        <v>46057</v>
      </c>
      <c r="B105" s="189"/>
      <c r="C105" s="189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>
        <v>176</v>
      </c>
      <c r="P105" s="114"/>
      <c r="Q105" s="114"/>
      <c r="R105" s="114"/>
      <c r="S105" s="114"/>
      <c r="T105" s="116">
        <f t="shared" si="2"/>
        <v>176</v>
      </c>
      <c r="U105" s="109" t="s">
        <v>143</v>
      </c>
      <c r="V105" s="109"/>
    </row>
    <row r="106" spans="1:22" ht="20.149999999999999" customHeight="1" x14ac:dyDescent="0.35">
      <c r="A106" s="117">
        <v>46058</v>
      </c>
      <c r="B106" s="189"/>
      <c r="C106" s="189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>
        <v>312</v>
      </c>
      <c r="P106" s="114"/>
      <c r="Q106" s="114"/>
      <c r="R106" s="114"/>
      <c r="S106" s="114"/>
      <c r="T106" s="116">
        <f t="shared" si="2"/>
        <v>312</v>
      </c>
      <c r="U106" s="109" t="s">
        <v>143</v>
      </c>
      <c r="V106" s="109"/>
    </row>
    <row r="107" spans="1:22" ht="20.149999999999999" customHeight="1" x14ac:dyDescent="0.35">
      <c r="A107" s="117">
        <v>46058</v>
      </c>
      <c r="B107" s="189"/>
      <c r="C107" s="189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>
        <v>376</v>
      </c>
      <c r="S107" s="114"/>
      <c r="T107" s="116">
        <f t="shared" si="2"/>
        <v>376</v>
      </c>
      <c r="U107" s="109" t="s">
        <v>144</v>
      </c>
      <c r="V107" s="109"/>
    </row>
    <row r="108" spans="1:22" ht="29" x14ac:dyDescent="0.35">
      <c r="A108" s="117">
        <v>46060</v>
      </c>
      <c r="B108" s="189"/>
      <c r="C108" s="189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>
        <v>90</v>
      </c>
      <c r="O108" s="114"/>
      <c r="P108" s="114">
        <v>219</v>
      </c>
      <c r="Q108" s="114"/>
      <c r="R108" s="114"/>
      <c r="S108" s="114"/>
      <c r="T108" s="116">
        <f t="shared" si="2"/>
        <v>309</v>
      </c>
      <c r="U108" s="109" t="s">
        <v>145</v>
      </c>
      <c r="V108" s="109"/>
    </row>
    <row r="109" spans="1:22" ht="20.149999999999999" customHeight="1" x14ac:dyDescent="0.35">
      <c r="A109" s="117">
        <v>46060</v>
      </c>
      <c r="B109" s="189"/>
      <c r="C109" s="189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>
        <v>157</v>
      </c>
      <c r="Q109" s="114"/>
      <c r="R109" s="114"/>
      <c r="S109" s="114"/>
      <c r="T109" s="116">
        <f t="shared" si="2"/>
        <v>157</v>
      </c>
      <c r="U109" s="109" t="s">
        <v>146</v>
      </c>
      <c r="V109" s="109"/>
    </row>
    <row r="110" spans="1:22" ht="20.149999999999999" customHeight="1" x14ac:dyDescent="0.35">
      <c r="A110" s="117">
        <v>46063</v>
      </c>
      <c r="B110" s="189"/>
      <c r="C110" s="189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>
        <v>138</v>
      </c>
      <c r="P110" s="114"/>
      <c r="Q110" s="114"/>
      <c r="R110" s="114"/>
      <c r="S110" s="114"/>
      <c r="T110" s="116">
        <f t="shared" si="2"/>
        <v>138</v>
      </c>
      <c r="U110" s="109" t="s">
        <v>147</v>
      </c>
      <c r="V110" s="109"/>
    </row>
    <row r="111" spans="1:22" ht="20.149999999999999" customHeight="1" x14ac:dyDescent="0.35">
      <c r="A111" s="117">
        <v>46063</v>
      </c>
      <c r="B111" s="189"/>
      <c r="C111" s="189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>
        <v>176</v>
      </c>
      <c r="P111" s="114"/>
      <c r="Q111" s="114"/>
      <c r="R111" s="114"/>
      <c r="S111" s="114"/>
      <c r="T111" s="116">
        <f t="shared" si="2"/>
        <v>176</v>
      </c>
      <c r="U111" s="109" t="s">
        <v>148</v>
      </c>
      <c r="V111" s="109"/>
    </row>
    <row r="112" spans="1:22" ht="20.149999999999999" customHeight="1" x14ac:dyDescent="0.35">
      <c r="A112" s="115">
        <v>46064</v>
      </c>
      <c r="B112" s="187"/>
      <c r="C112" s="187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6">
        <f t="shared" si="2"/>
        <v>0</v>
      </c>
      <c r="U112" s="109" t="s">
        <v>149</v>
      </c>
      <c r="V112" s="109"/>
    </row>
    <row r="113" spans="1:22" ht="20.149999999999999" customHeight="1" x14ac:dyDescent="0.35">
      <c r="A113" s="115">
        <v>46064</v>
      </c>
      <c r="B113" s="187"/>
      <c r="C113" s="187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6">
        <f t="shared" si="2"/>
        <v>0</v>
      </c>
      <c r="U113" s="109" t="s">
        <v>149</v>
      </c>
      <c r="V113" s="109"/>
    </row>
    <row r="114" spans="1:22" ht="20.149999999999999" customHeight="1" x14ac:dyDescent="0.35">
      <c r="A114" s="115">
        <v>46067</v>
      </c>
      <c r="B114" s="187"/>
      <c r="C114" s="187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6">
        <f t="shared" si="2"/>
        <v>0</v>
      </c>
      <c r="U114" s="109" t="s">
        <v>150</v>
      </c>
      <c r="V114" s="109"/>
    </row>
    <row r="115" spans="1:22" ht="20.149999999999999" customHeight="1" x14ac:dyDescent="0.35">
      <c r="A115" s="115">
        <v>46069</v>
      </c>
      <c r="B115" s="187"/>
      <c r="C115" s="187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>
        <v>125</v>
      </c>
      <c r="S115" s="114"/>
      <c r="T115" s="116">
        <f t="shared" si="2"/>
        <v>125</v>
      </c>
      <c r="U115" s="109" t="s">
        <v>151</v>
      </c>
      <c r="V115" s="109"/>
    </row>
    <row r="116" spans="1:22" ht="20.149999999999999" customHeight="1" x14ac:dyDescent="0.35">
      <c r="A116" s="115">
        <v>46069</v>
      </c>
      <c r="B116" s="187"/>
      <c r="C116" s="187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>
        <v>277</v>
      </c>
      <c r="S116" s="114"/>
      <c r="T116" s="116">
        <f t="shared" si="2"/>
        <v>277</v>
      </c>
      <c r="U116" s="109" t="s">
        <v>152</v>
      </c>
      <c r="V116" s="109"/>
    </row>
    <row r="117" spans="1:22" ht="20.149999999999999" customHeight="1" x14ac:dyDescent="0.35">
      <c r="A117" s="115">
        <v>46071</v>
      </c>
      <c r="B117" s="187"/>
      <c r="C117" s="187"/>
      <c r="D117" s="114"/>
      <c r="E117" s="114"/>
      <c r="F117" s="114"/>
      <c r="G117" s="114"/>
      <c r="H117" s="114"/>
      <c r="I117" s="114">
        <v>70</v>
      </c>
      <c r="J117" s="114"/>
      <c r="K117" s="114"/>
      <c r="L117" s="114"/>
      <c r="M117" s="114"/>
      <c r="N117" s="114"/>
      <c r="O117" s="114"/>
      <c r="P117" s="114"/>
      <c r="Q117" s="114">
        <v>100</v>
      </c>
      <c r="R117" s="114"/>
      <c r="S117" s="114"/>
      <c r="T117" s="116">
        <f t="shared" si="2"/>
        <v>170</v>
      </c>
      <c r="U117" s="109" t="s">
        <v>153</v>
      </c>
      <c r="V117" s="109"/>
    </row>
    <row r="118" spans="1:22" ht="29" x14ac:dyDescent="0.35">
      <c r="A118" s="115">
        <v>46072</v>
      </c>
      <c r="B118" s="187"/>
      <c r="C118" s="187"/>
      <c r="D118" s="114"/>
      <c r="E118" s="114"/>
      <c r="F118" s="114"/>
      <c r="G118" s="114"/>
      <c r="H118" s="114"/>
      <c r="I118" s="114"/>
      <c r="J118" s="114"/>
      <c r="K118" s="114">
        <v>90</v>
      </c>
      <c r="L118" s="114"/>
      <c r="M118" s="114"/>
      <c r="N118" s="114"/>
      <c r="O118" s="114">
        <v>73</v>
      </c>
      <c r="P118" s="114"/>
      <c r="Q118" s="114"/>
      <c r="R118" s="114"/>
      <c r="S118" s="114"/>
      <c r="T118" s="116">
        <f t="shared" si="2"/>
        <v>163</v>
      </c>
      <c r="U118" s="109" t="s">
        <v>154</v>
      </c>
      <c r="V118" s="109"/>
    </row>
    <row r="119" spans="1:22" ht="29" x14ac:dyDescent="0.35">
      <c r="A119" s="115">
        <v>46072</v>
      </c>
      <c r="B119" s="187"/>
      <c r="C119" s="187"/>
      <c r="D119" s="114"/>
      <c r="E119" s="114"/>
      <c r="F119" s="114"/>
      <c r="G119" s="114"/>
      <c r="H119" s="114"/>
      <c r="I119" s="114"/>
      <c r="J119" s="114"/>
      <c r="K119" s="114">
        <v>120</v>
      </c>
      <c r="L119" s="114"/>
      <c r="M119" s="114"/>
      <c r="N119" s="114"/>
      <c r="O119" s="114">
        <v>100</v>
      </c>
      <c r="P119" s="114"/>
      <c r="Q119" s="114"/>
      <c r="R119" s="114"/>
      <c r="S119" s="114"/>
      <c r="T119" s="116">
        <f t="shared" si="2"/>
        <v>220</v>
      </c>
      <c r="U119" s="109" t="s">
        <v>155</v>
      </c>
      <c r="V119" s="109"/>
    </row>
    <row r="120" spans="1:22" ht="20.149999999999999" customHeight="1" x14ac:dyDescent="0.35">
      <c r="A120" s="115">
        <v>46073</v>
      </c>
      <c r="B120" s="187"/>
      <c r="C120" s="187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>
        <v>480</v>
      </c>
      <c r="P120" s="114"/>
      <c r="Q120" s="114"/>
      <c r="R120" s="114"/>
      <c r="S120" s="114"/>
      <c r="T120" s="116">
        <f t="shared" si="2"/>
        <v>480</v>
      </c>
      <c r="U120" s="109" t="s">
        <v>156</v>
      </c>
      <c r="V120" s="109"/>
    </row>
    <row r="121" spans="1:22" ht="20.149999999999999" customHeight="1" x14ac:dyDescent="0.35">
      <c r="A121" s="115">
        <v>46076</v>
      </c>
      <c r="B121" s="187"/>
      <c r="C121" s="187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>
        <v>309</v>
      </c>
      <c r="P121" s="114"/>
      <c r="Q121" s="114"/>
      <c r="R121" s="114"/>
      <c r="S121" s="114"/>
      <c r="T121" s="116">
        <f t="shared" si="2"/>
        <v>309</v>
      </c>
      <c r="U121" s="109" t="s">
        <v>157</v>
      </c>
      <c r="V121" s="109"/>
    </row>
    <row r="122" spans="1:22" ht="20.149999999999999" customHeight="1" x14ac:dyDescent="0.35">
      <c r="A122" s="115">
        <v>46076</v>
      </c>
      <c r="B122" s="187"/>
      <c r="C122" s="187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>
        <v>62</v>
      </c>
      <c r="P122" s="114"/>
      <c r="Q122" s="114"/>
      <c r="R122" s="114"/>
      <c r="S122" s="114"/>
      <c r="T122" s="116">
        <f t="shared" si="2"/>
        <v>62</v>
      </c>
      <c r="U122" s="109" t="s">
        <v>158</v>
      </c>
      <c r="V122" s="109"/>
    </row>
    <row r="123" spans="1:22" ht="20.149999999999999" customHeight="1" x14ac:dyDescent="0.35">
      <c r="A123" s="115">
        <v>46077</v>
      </c>
      <c r="B123" s="187"/>
      <c r="C123" s="187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>
        <v>220</v>
      </c>
      <c r="S123" s="114"/>
      <c r="T123" s="116">
        <f t="shared" si="2"/>
        <v>220</v>
      </c>
      <c r="U123" s="109" t="s">
        <v>159</v>
      </c>
      <c r="V123" s="109"/>
    </row>
    <row r="124" spans="1:22" ht="31.5" customHeight="1" x14ac:dyDescent="0.35">
      <c r="A124" s="115">
        <v>46078</v>
      </c>
      <c r="B124" s="187"/>
      <c r="C124" s="187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>
        <v>182</v>
      </c>
      <c r="S124" s="114"/>
      <c r="T124" s="116">
        <f t="shared" si="2"/>
        <v>182</v>
      </c>
      <c r="U124" s="109" t="s">
        <v>160</v>
      </c>
      <c r="V124" s="109"/>
    </row>
    <row r="125" spans="1:22" ht="20.149999999999999" customHeight="1" x14ac:dyDescent="0.35">
      <c r="A125" s="115">
        <v>46079</v>
      </c>
      <c r="B125" s="187"/>
      <c r="C125" s="187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>
        <v>309</v>
      </c>
      <c r="P125" s="114"/>
      <c r="Q125" s="114"/>
      <c r="R125" s="114"/>
      <c r="S125" s="114"/>
      <c r="T125" s="116">
        <f t="shared" si="2"/>
        <v>309</v>
      </c>
      <c r="U125" s="109" t="s">
        <v>161</v>
      </c>
      <c r="V125" s="109"/>
    </row>
    <row r="126" spans="1:22" ht="20.149999999999999" customHeight="1" x14ac:dyDescent="0.35">
      <c r="A126" s="115">
        <v>46079</v>
      </c>
      <c r="B126" s="187"/>
      <c r="C126" s="187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>
        <v>252</v>
      </c>
      <c r="P126" s="114"/>
      <c r="Q126" s="114"/>
      <c r="R126" s="114"/>
      <c r="S126" s="114"/>
      <c r="T126" s="116">
        <f t="shared" ref="T126:T170" si="3">SUM(D126:S126)</f>
        <v>252</v>
      </c>
      <c r="U126" s="109" t="s">
        <v>161</v>
      </c>
      <c r="V126" s="109"/>
    </row>
    <row r="127" spans="1:22" ht="20.149999999999999" customHeight="1" x14ac:dyDescent="0.35">
      <c r="A127" s="115">
        <v>46080</v>
      </c>
      <c r="B127" s="187"/>
      <c r="C127" s="187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>
        <v>360</v>
      </c>
      <c r="P127" s="114"/>
      <c r="Q127" s="114"/>
      <c r="R127" s="114"/>
      <c r="S127" s="114"/>
      <c r="T127" s="116">
        <f t="shared" si="3"/>
        <v>360</v>
      </c>
      <c r="U127" s="109" t="s">
        <v>162</v>
      </c>
      <c r="V127" s="109"/>
    </row>
    <row r="128" spans="1:22" ht="20.149999999999999" customHeight="1" x14ac:dyDescent="0.35">
      <c r="A128" s="115">
        <v>46080</v>
      </c>
      <c r="B128" s="187"/>
      <c r="C128" s="187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>
        <v>290</v>
      </c>
      <c r="P128" s="114"/>
      <c r="Q128" s="114"/>
      <c r="R128" s="114"/>
      <c r="S128" s="114"/>
      <c r="T128" s="116">
        <f t="shared" si="3"/>
        <v>290</v>
      </c>
      <c r="U128" s="109" t="s">
        <v>163</v>
      </c>
      <c r="V128" s="109"/>
    </row>
    <row r="129" spans="1:22" ht="20.149999999999999" customHeight="1" x14ac:dyDescent="0.35">
      <c r="A129" s="115">
        <v>46081</v>
      </c>
      <c r="B129" s="187"/>
      <c r="C129" s="187"/>
      <c r="D129" s="114"/>
      <c r="E129" s="114"/>
      <c r="F129" s="114"/>
      <c r="G129" s="114"/>
      <c r="H129" s="114">
        <v>423</v>
      </c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6">
        <f t="shared" si="3"/>
        <v>423</v>
      </c>
      <c r="U129" s="109" t="s">
        <v>164</v>
      </c>
      <c r="V129" s="109"/>
    </row>
    <row r="130" spans="1:22" ht="43.5" x14ac:dyDescent="0.35">
      <c r="A130" s="121">
        <v>46083</v>
      </c>
      <c r="B130" s="188"/>
      <c r="C130" s="188"/>
      <c r="D130" s="114"/>
      <c r="E130" s="114"/>
      <c r="F130" s="114"/>
      <c r="G130" s="114"/>
      <c r="H130" s="114"/>
      <c r="I130" s="114">
        <v>315</v>
      </c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6">
        <f t="shared" si="3"/>
        <v>315</v>
      </c>
      <c r="U130" s="109" t="s">
        <v>165</v>
      </c>
      <c r="V130" s="109"/>
    </row>
    <row r="131" spans="1:22" ht="20.149999999999999" customHeight="1" x14ac:dyDescent="0.35">
      <c r="A131" s="115">
        <v>46085</v>
      </c>
      <c r="B131" s="187"/>
      <c r="C131" s="187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>
        <v>315</v>
      </c>
      <c r="S131" s="114"/>
      <c r="T131" s="116">
        <f t="shared" si="3"/>
        <v>315</v>
      </c>
      <c r="U131" s="109" t="s">
        <v>166</v>
      </c>
      <c r="V131" s="109"/>
    </row>
    <row r="132" spans="1:22" ht="29" x14ac:dyDescent="0.35">
      <c r="A132" s="115">
        <v>46085</v>
      </c>
      <c r="B132" s="187"/>
      <c r="C132" s="187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>
        <v>90</v>
      </c>
      <c r="P132" s="114"/>
      <c r="Q132" s="114"/>
      <c r="R132" s="114">
        <v>150</v>
      </c>
      <c r="S132" s="114"/>
      <c r="T132" s="116">
        <f t="shared" si="3"/>
        <v>240</v>
      </c>
      <c r="U132" s="109" t="s">
        <v>167</v>
      </c>
      <c r="V132" s="109"/>
    </row>
    <row r="133" spans="1:22" ht="20.149999999999999" customHeight="1" x14ac:dyDescent="0.35">
      <c r="A133" s="115">
        <v>46086</v>
      </c>
      <c r="B133" s="187"/>
      <c r="C133" s="187"/>
      <c r="D133" s="114">
        <v>100</v>
      </c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6">
        <f t="shared" si="3"/>
        <v>100</v>
      </c>
      <c r="U133" s="109" t="s">
        <v>168</v>
      </c>
      <c r="V133" s="109"/>
    </row>
    <row r="134" spans="1:22" ht="20.149999999999999" customHeight="1" x14ac:dyDescent="0.35">
      <c r="A134" s="115">
        <v>46086</v>
      </c>
      <c r="B134" s="187"/>
      <c r="C134" s="187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>
        <v>119</v>
      </c>
      <c r="P134" s="114"/>
      <c r="Q134" s="114"/>
      <c r="R134" s="114"/>
      <c r="S134" s="114"/>
      <c r="T134" s="116">
        <f t="shared" si="3"/>
        <v>119</v>
      </c>
      <c r="U134" s="109" t="s">
        <v>169</v>
      </c>
      <c r="V134" s="109"/>
    </row>
    <row r="135" spans="1:22" ht="38.5" customHeight="1" x14ac:dyDescent="0.35">
      <c r="A135" s="115">
        <v>46087</v>
      </c>
      <c r="B135" s="187"/>
      <c r="C135" s="187"/>
      <c r="D135" s="114"/>
      <c r="E135" s="114"/>
      <c r="F135" s="114"/>
      <c r="G135" s="114"/>
      <c r="H135" s="114"/>
      <c r="I135" s="114"/>
      <c r="J135" s="114"/>
      <c r="K135" s="114">
        <v>150</v>
      </c>
      <c r="L135" s="114"/>
      <c r="M135" s="114"/>
      <c r="N135" s="114"/>
      <c r="O135" s="114"/>
      <c r="P135" s="114"/>
      <c r="Q135" s="114"/>
      <c r="R135" s="114">
        <v>178</v>
      </c>
      <c r="S135" s="114"/>
      <c r="T135" s="116">
        <f t="shared" si="3"/>
        <v>328</v>
      </c>
      <c r="U135" s="109" t="s">
        <v>170</v>
      </c>
      <c r="V135" s="109"/>
    </row>
    <row r="136" spans="1:22" ht="20.149999999999999" customHeight="1" x14ac:dyDescent="0.35">
      <c r="A136" s="115">
        <v>46087</v>
      </c>
      <c r="B136" s="187"/>
      <c r="C136" s="187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>
        <v>157</v>
      </c>
      <c r="P136" s="114"/>
      <c r="Q136" s="114"/>
      <c r="R136" s="114"/>
      <c r="S136" s="114"/>
      <c r="T136" s="116">
        <f t="shared" si="3"/>
        <v>157</v>
      </c>
      <c r="U136" s="109" t="s">
        <v>171</v>
      </c>
      <c r="V136" s="109"/>
    </row>
    <row r="137" spans="1:22" ht="20.149999999999999" customHeight="1" x14ac:dyDescent="0.35">
      <c r="A137" s="115">
        <v>46088</v>
      </c>
      <c r="B137" s="187"/>
      <c r="C137" s="187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>
        <v>180</v>
      </c>
      <c r="P137" s="114">
        <v>100</v>
      </c>
      <c r="Q137" s="114"/>
      <c r="R137" s="114"/>
      <c r="S137" s="114"/>
      <c r="T137" s="116">
        <f t="shared" si="3"/>
        <v>280</v>
      </c>
      <c r="U137" s="109"/>
      <c r="V137" s="109"/>
    </row>
    <row r="138" spans="1:22" ht="20.149999999999999" customHeight="1" x14ac:dyDescent="0.35">
      <c r="A138" s="115">
        <v>46088</v>
      </c>
      <c r="B138" s="187"/>
      <c r="C138" s="187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>
        <v>81</v>
      </c>
      <c r="S138" s="114"/>
      <c r="T138" s="116">
        <f t="shared" si="3"/>
        <v>81</v>
      </c>
      <c r="U138" s="109" t="s">
        <v>172</v>
      </c>
      <c r="V138" s="109"/>
    </row>
    <row r="139" spans="1:22" ht="60" customHeight="1" x14ac:dyDescent="0.35">
      <c r="A139" s="121">
        <v>46090</v>
      </c>
      <c r="B139" s="188"/>
      <c r="C139" s="188"/>
      <c r="D139" s="114"/>
      <c r="E139" s="114"/>
      <c r="F139" s="114"/>
      <c r="G139" s="114"/>
      <c r="H139" s="114"/>
      <c r="I139" s="114"/>
      <c r="J139" s="114"/>
      <c r="K139" s="114">
        <v>60</v>
      </c>
      <c r="L139" s="114"/>
      <c r="M139" s="114"/>
      <c r="N139" s="114">
        <v>68</v>
      </c>
      <c r="O139" s="114"/>
      <c r="P139" s="114">
        <v>40</v>
      </c>
      <c r="Q139" s="114"/>
      <c r="R139" s="114"/>
      <c r="S139" s="114"/>
      <c r="T139" s="116">
        <f t="shared" si="3"/>
        <v>168</v>
      </c>
      <c r="U139" s="109" t="s">
        <v>173</v>
      </c>
      <c r="V139" s="109"/>
    </row>
    <row r="140" spans="1:22" ht="55" customHeight="1" x14ac:dyDescent="0.35">
      <c r="A140" s="121">
        <v>46090</v>
      </c>
      <c r="B140" s="188"/>
      <c r="C140" s="114">
        <v>40</v>
      </c>
      <c r="D140" s="114"/>
      <c r="E140" s="114">
        <v>50</v>
      </c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>
        <v>120</v>
      </c>
      <c r="S140" s="114"/>
      <c r="T140" s="116">
        <f t="shared" si="3"/>
        <v>170</v>
      </c>
      <c r="U140" s="109" t="s">
        <v>174</v>
      </c>
      <c r="V140" s="109"/>
    </row>
    <row r="141" spans="1:22" ht="20.149999999999999" customHeight="1" x14ac:dyDescent="0.35">
      <c r="A141" s="115">
        <v>46091</v>
      </c>
      <c r="B141" s="187"/>
      <c r="C141" s="187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>
        <v>201</v>
      </c>
      <c r="P141" s="114"/>
      <c r="Q141" s="114"/>
      <c r="R141" s="114"/>
      <c r="S141" s="114"/>
      <c r="T141" s="116">
        <f t="shared" si="3"/>
        <v>201</v>
      </c>
      <c r="U141" s="109" t="s">
        <v>175</v>
      </c>
      <c r="V141" s="109"/>
    </row>
    <row r="142" spans="1:22" ht="20.149999999999999" customHeight="1" x14ac:dyDescent="0.35">
      <c r="A142" s="115">
        <v>46091</v>
      </c>
      <c r="B142" s="187"/>
      <c r="C142" s="187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>
        <v>120</v>
      </c>
      <c r="P142" s="114"/>
      <c r="Q142" s="114"/>
      <c r="R142" s="114"/>
      <c r="S142" s="114"/>
      <c r="T142" s="116">
        <f t="shared" si="3"/>
        <v>120</v>
      </c>
      <c r="U142" s="109" t="s">
        <v>176</v>
      </c>
      <c r="V142" s="109"/>
    </row>
    <row r="143" spans="1:22" ht="29" x14ac:dyDescent="0.35">
      <c r="A143" s="115">
        <v>46092</v>
      </c>
      <c r="B143" s="187"/>
      <c r="C143" s="187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>
        <v>480</v>
      </c>
      <c r="P143" s="114"/>
      <c r="Q143" s="114"/>
      <c r="R143" s="114"/>
      <c r="S143" s="114"/>
      <c r="T143" s="116">
        <f t="shared" si="3"/>
        <v>480</v>
      </c>
      <c r="U143" s="109" t="s">
        <v>177</v>
      </c>
      <c r="V143" s="109"/>
    </row>
    <row r="144" spans="1:22" ht="29" x14ac:dyDescent="0.35">
      <c r="A144" s="115">
        <v>46093</v>
      </c>
      <c r="B144" s="187"/>
      <c r="C144" s="187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>
        <v>144</v>
      </c>
      <c r="T144" s="116">
        <f t="shared" si="3"/>
        <v>144</v>
      </c>
      <c r="U144" s="109" t="s">
        <v>178</v>
      </c>
      <c r="V144" s="109"/>
    </row>
    <row r="145" spans="1:22" ht="29" x14ac:dyDescent="0.35">
      <c r="A145" s="115">
        <v>46097</v>
      </c>
      <c r="B145" s="187"/>
      <c r="C145" s="187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>
        <v>391</v>
      </c>
      <c r="S145" s="114"/>
      <c r="T145" s="116">
        <f t="shared" si="3"/>
        <v>391</v>
      </c>
      <c r="U145" s="109" t="s">
        <v>179</v>
      </c>
      <c r="V145" s="109"/>
    </row>
    <row r="146" spans="1:22" ht="29" x14ac:dyDescent="0.35">
      <c r="A146" s="121">
        <v>46094</v>
      </c>
      <c r="B146" s="188"/>
      <c r="C146" s="188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>
        <v>50</v>
      </c>
      <c r="S146" s="114"/>
      <c r="T146" s="116">
        <f t="shared" si="3"/>
        <v>50</v>
      </c>
      <c r="U146" s="109" t="s">
        <v>180</v>
      </c>
      <c r="V146" s="109"/>
    </row>
    <row r="147" spans="1:22" ht="29" x14ac:dyDescent="0.35">
      <c r="A147" s="115">
        <v>46098</v>
      </c>
      <c r="B147" s="187"/>
      <c r="C147" s="187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>
        <v>120</v>
      </c>
      <c r="P147" s="114"/>
      <c r="Q147" s="114"/>
      <c r="R147" s="114">
        <v>119</v>
      </c>
      <c r="S147" s="114"/>
      <c r="T147" s="116">
        <f t="shared" si="3"/>
        <v>239</v>
      </c>
      <c r="U147" s="109" t="s">
        <v>181</v>
      </c>
      <c r="V147" s="109"/>
    </row>
    <row r="148" spans="1:22" ht="26.15" customHeight="1" x14ac:dyDescent="0.35">
      <c r="A148" s="115">
        <v>46098</v>
      </c>
      <c r="B148" s="187"/>
      <c r="C148" s="187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>
        <v>120</v>
      </c>
      <c r="P148" s="114"/>
      <c r="Q148" s="114"/>
      <c r="R148" s="114"/>
      <c r="S148" s="114"/>
      <c r="T148" s="116">
        <f t="shared" si="3"/>
        <v>120</v>
      </c>
      <c r="U148" s="109" t="s">
        <v>182</v>
      </c>
      <c r="V148" s="109"/>
    </row>
    <row r="149" spans="1:22" ht="20.149999999999999" customHeight="1" x14ac:dyDescent="0.35">
      <c r="A149" s="115">
        <v>46099</v>
      </c>
      <c r="B149" s="187"/>
      <c r="C149" s="187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>
        <v>480</v>
      </c>
      <c r="P149" s="114"/>
      <c r="Q149" s="114"/>
      <c r="R149" s="114"/>
      <c r="S149" s="114"/>
      <c r="T149" s="116">
        <f t="shared" si="3"/>
        <v>480</v>
      </c>
      <c r="U149" s="109" t="s">
        <v>183</v>
      </c>
      <c r="V149" s="109"/>
    </row>
    <row r="150" spans="1:22" ht="20.149999999999999" customHeight="1" x14ac:dyDescent="0.35">
      <c r="A150" s="115">
        <v>46099</v>
      </c>
      <c r="B150" s="187"/>
      <c r="C150" s="187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>
        <v>480</v>
      </c>
      <c r="P150" s="114"/>
      <c r="Q150" s="114"/>
      <c r="R150" s="114"/>
      <c r="S150" s="114"/>
      <c r="T150" s="116">
        <f t="shared" si="3"/>
        <v>480</v>
      </c>
      <c r="U150" s="109" t="s">
        <v>184</v>
      </c>
      <c r="V150" s="109"/>
    </row>
    <row r="151" spans="1:22" ht="20.149999999999999" customHeight="1" x14ac:dyDescent="0.35">
      <c r="A151" s="115">
        <v>46101</v>
      </c>
      <c r="B151" s="187"/>
      <c r="C151" s="187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>
        <v>120</v>
      </c>
      <c r="P151" s="114"/>
      <c r="Q151" s="114"/>
      <c r="R151" s="114"/>
      <c r="S151" s="114"/>
      <c r="T151" s="116">
        <f t="shared" si="3"/>
        <v>120</v>
      </c>
      <c r="U151" s="109" t="s">
        <v>185</v>
      </c>
      <c r="V151" s="109"/>
    </row>
    <row r="152" spans="1:22" ht="20.149999999999999" customHeight="1" x14ac:dyDescent="0.35">
      <c r="A152" s="115">
        <v>46101</v>
      </c>
      <c r="B152" s="187"/>
      <c r="C152" s="187"/>
      <c r="D152" s="114"/>
      <c r="E152" s="114"/>
      <c r="F152" s="114"/>
      <c r="G152" s="114"/>
      <c r="H152" s="114"/>
      <c r="I152" s="114"/>
      <c r="J152" s="114"/>
      <c r="K152" s="114">
        <v>120</v>
      </c>
      <c r="L152" s="114"/>
      <c r="M152" s="114"/>
      <c r="N152" s="114"/>
      <c r="O152" s="114">
        <v>120</v>
      </c>
      <c r="P152" s="114"/>
      <c r="Q152" s="114"/>
      <c r="R152" s="114"/>
      <c r="S152" s="114"/>
      <c r="T152" s="116">
        <f t="shared" si="3"/>
        <v>240</v>
      </c>
      <c r="U152" s="109" t="s">
        <v>186</v>
      </c>
      <c r="V152" s="109"/>
    </row>
    <row r="153" spans="1:22" ht="20.149999999999999" customHeight="1" x14ac:dyDescent="0.35">
      <c r="A153" s="115">
        <v>46102</v>
      </c>
      <c r="B153" s="187"/>
      <c r="C153" s="187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>
        <v>220</v>
      </c>
      <c r="S153" s="114"/>
      <c r="T153" s="116">
        <f t="shared" si="3"/>
        <v>220</v>
      </c>
      <c r="U153" s="109" t="s">
        <v>187</v>
      </c>
      <c r="V153" s="109"/>
    </row>
    <row r="154" spans="1:22" ht="20.149999999999999" customHeight="1" x14ac:dyDescent="0.35">
      <c r="A154" s="121">
        <v>46103</v>
      </c>
      <c r="B154" s="188"/>
      <c r="C154" s="188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>
        <v>100</v>
      </c>
      <c r="S154" s="114"/>
      <c r="T154" s="116">
        <f t="shared" si="3"/>
        <v>100</v>
      </c>
      <c r="U154" s="109" t="s">
        <v>188</v>
      </c>
      <c r="V154" s="109"/>
    </row>
    <row r="155" spans="1:22" ht="45.65" customHeight="1" x14ac:dyDescent="0.35">
      <c r="A155" s="115">
        <v>46104</v>
      </c>
      <c r="B155" s="187"/>
      <c r="C155" s="187"/>
      <c r="D155" s="114"/>
      <c r="E155" s="114">
        <v>300</v>
      </c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>
        <v>180</v>
      </c>
      <c r="R155" s="114"/>
      <c r="S155" s="114"/>
      <c r="T155" s="116">
        <f t="shared" si="3"/>
        <v>480</v>
      </c>
      <c r="U155" s="109" t="s">
        <v>189</v>
      </c>
      <c r="V155" s="109"/>
    </row>
    <row r="156" spans="1:22" ht="20.149999999999999" customHeight="1" x14ac:dyDescent="0.35">
      <c r="A156" s="115">
        <v>46105</v>
      </c>
      <c r="B156" s="187"/>
      <c r="C156" s="187"/>
      <c r="D156" s="114"/>
      <c r="E156" s="114">
        <v>150</v>
      </c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6">
        <f t="shared" si="3"/>
        <v>150</v>
      </c>
      <c r="U156" s="109" t="s">
        <v>190</v>
      </c>
      <c r="V156" s="109"/>
    </row>
    <row r="157" spans="1:22" ht="20.149999999999999" customHeight="1" x14ac:dyDescent="0.35">
      <c r="A157" s="115">
        <v>46107</v>
      </c>
      <c r="B157" s="187"/>
      <c r="C157" s="187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>
        <v>125</v>
      </c>
      <c r="S157" s="114"/>
      <c r="T157" s="116">
        <f t="shared" si="3"/>
        <v>125</v>
      </c>
      <c r="U157" s="109" t="s">
        <v>191</v>
      </c>
      <c r="V157" s="109"/>
    </row>
    <row r="158" spans="1:22" ht="20.149999999999999" customHeight="1" x14ac:dyDescent="0.35">
      <c r="A158" s="115">
        <v>46108</v>
      </c>
      <c r="B158" s="187"/>
      <c r="C158" s="187"/>
      <c r="D158" s="114">
        <v>120</v>
      </c>
      <c r="E158" s="114">
        <v>100</v>
      </c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6">
        <f t="shared" si="3"/>
        <v>220</v>
      </c>
      <c r="U158" s="109" t="s">
        <v>192</v>
      </c>
      <c r="V158" s="109"/>
    </row>
    <row r="159" spans="1:22" ht="20.149999999999999" customHeight="1" x14ac:dyDescent="0.35">
      <c r="A159" s="115">
        <v>46108</v>
      </c>
      <c r="B159" s="187"/>
      <c r="C159" s="187"/>
      <c r="D159" s="114">
        <v>120</v>
      </c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>
        <v>100</v>
      </c>
      <c r="S159" s="114"/>
      <c r="T159" s="116">
        <f t="shared" si="3"/>
        <v>220</v>
      </c>
      <c r="U159" s="109" t="s">
        <v>193</v>
      </c>
      <c r="V159" s="109"/>
    </row>
    <row r="160" spans="1:22" ht="20.149999999999999" customHeight="1" x14ac:dyDescent="0.35">
      <c r="A160" s="115">
        <v>46109</v>
      </c>
      <c r="B160" s="187"/>
      <c r="C160" s="187"/>
      <c r="D160" s="114">
        <v>480</v>
      </c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6">
        <f t="shared" si="3"/>
        <v>480</v>
      </c>
      <c r="U160" s="109" t="s">
        <v>194</v>
      </c>
      <c r="V160" s="109"/>
    </row>
    <row r="161" spans="1:22" ht="20.149999999999999" customHeight="1" x14ac:dyDescent="0.35">
      <c r="A161" s="115">
        <v>46109</v>
      </c>
      <c r="B161" s="187"/>
      <c r="C161" s="187"/>
      <c r="D161" s="114">
        <v>480</v>
      </c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6">
        <f t="shared" si="3"/>
        <v>480</v>
      </c>
      <c r="U161" s="109" t="s">
        <v>195</v>
      </c>
      <c r="V161" s="109"/>
    </row>
    <row r="162" spans="1:22" ht="29.15" customHeight="1" x14ac:dyDescent="0.35">
      <c r="A162" s="115">
        <v>46111</v>
      </c>
      <c r="B162" s="187"/>
      <c r="C162" s="187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>
        <v>372</v>
      </c>
      <c r="S162" s="114"/>
      <c r="T162" s="116">
        <f t="shared" si="3"/>
        <v>372</v>
      </c>
      <c r="U162" s="109" t="s">
        <v>196</v>
      </c>
      <c r="V162" s="109"/>
    </row>
    <row r="163" spans="1:22" ht="35.15" customHeight="1" x14ac:dyDescent="0.35">
      <c r="A163" s="115">
        <v>46111</v>
      </c>
      <c r="B163" s="187"/>
      <c r="C163" s="187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>
        <v>480</v>
      </c>
      <c r="S163" s="114"/>
      <c r="T163" s="116">
        <f t="shared" si="3"/>
        <v>480</v>
      </c>
      <c r="U163" s="109" t="s">
        <v>197</v>
      </c>
      <c r="V163" s="109"/>
    </row>
    <row r="164" spans="1:22" ht="20.149999999999999" customHeight="1" x14ac:dyDescent="0.35">
      <c r="A164" s="115">
        <v>46112</v>
      </c>
      <c r="B164" s="187"/>
      <c r="C164" s="187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>
        <v>120</v>
      </c>
      <c r="T164" s="116">
        <f t="shared" si="3"/>
        <v>120</v>
      </c>
      <c r="U164" s="109" t="s">
        <v>198</v>
      </c>
      <c r="V164" s="109"/>
    </row>
    <row r="165" spans="1:22" ht="38.5" customHeight="1" x14ac:dyDescent="0.35">
      <c r="A165" s="115">
        <v>46112</v>
      </c>
      <c r="B165" s="187"/>
      <c r="C165" s="187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>
        <v>374</v>
      </c>
      <c r="S165" s="114"/>
      <c r="T165" s="116">
        <f t="shared" si="3"/>
        <v>374</v>
      </c>
      <c r="U165" s="109" t="s">
        <v>199</v>
      </c>
      <c r="V165" s="109"/>
    </row>
    <row r="166" spans="1:22" ht="20.149999999999999" customHeight="1" x14ac:dyDescent="0.35">
      <c r="A166" s="121">
        <v>46115</v>
      </c>
      <c r="B166" s="187"/>
      <c r="C166" s="187"/>
      <c r="D166" s="114">
        <v>120</v>
      </c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6">
        <f t="shared" si="3"/>
        <v>120</v>
      </c>
      <c r="U166" s="109" t="s">
        <v>200</v>
      </c>
      <c r="V166" s="109"/>
    </row>
    <row r="167" spans="1:22" ht="20.149999999999999" customHeight="1" x14ac:dyDescent="0.35">
      <c r="A167" s="115">
        <v>46115</v>
      </c>
      <c r="B167" s="187"/>
      <c r="C167" s="187"/>
      <c r="D167" s="114">
        <v>120</v>
      </c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6">
        <f t="shared" si="3"/>
        <v>120</v>
      </c>
      <c r="U167" s="109" t="s">
        <v>201</v>
      </c>
      <c r="V167" s="109"/>
    </row>
    <row r="168" spans="1:22" ht="20.149999999999999" customHeight="1" x14ac:dyDescent="0.35">
      <c r="A168" s="115">
        <v>46116</v>
      </c>
      <c r="B168" s="187"/>
      <c r="C168" s="187"/>
      <c r="D168" s="114">
        <v>480</v>
      </c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6">
        <f t="shared" si="3"/>
        <v>480</v>
      </c>
      <c r="U168" s="109" t="s">
        <v>202</v>
      </c>
      <c r="V168" s="109"/>
    </row>
    <row r="169" spans="1:22" ht="20.149999999999999" customHeight="1" x14ac:dyDescent="0.35">
      <c r="A169" s="115">
        <v>46118</v>
      </c>
      <c r="B169" s="187"/>
      <c r="C169" s="187"/>
      <c r="D169" s="114">
        <v>120</v>
      </c>
      <c r="E169" s="114"/>
      <c r="F169" s="114"/>
      <c r="G169" s="114"/>
      <c r="H169" s="114"/>
      <c r="I169" s="114"/>
      <c r="J169" s="114"/>
      <c r="K169" s="114"/>
      <c r="L169" s="114">
        <v>100</v>
      </c>
      <c r="M169" s="114"/>
      <c r="N169" s="114"/>
      <c r="O169" s="114"/>
      <c r="P169" s="114"/>
      <c r="Q169" s="114"/>
      <c r="R169" s="114"/>
      <c r="S169" s="114"/>
      <c r="T169" s="110">
        <f t="shared" si="3"/>
        <v>220</v>
      </c>
      <c r="U169" s="109" t="s">
        <v>203</v>
      </c>
      <c r="V169" s="109"/>
    </row>
    <row r="170" spans="1:22" ht="20.149999999999999" customHeight="1" x14ac:dyDescent="0.35">
      <c r="A170" s="115">
        <v>46118</v>
      </c>
      <c r="B170" s="187"/>
      <c r="C170" s="187"/>
      <c r="D170" s="114">
        <v>120</v>
      </c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0">
        <f t="shared" si="3"/>
        <v>120</v>
      </c>
      <c r="U170" s="109" t="s">
        <v>201</v>
      </c>
      <c r="V170" s="109"/>
    </row>
    <row r="171" spans="1:22" ht="20.149999999999999" customHeight="1" x14ac:dyDescent="0.35">
      <c r="A171" s="115"/>
      <c r="B171" s="187"/>
      <c r="C171" s="187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0"/>
      <c r="U171" s="109"/>
      <c r="V171" s="109"/>
    </row>
    <row r="172" spans="1:22" ht="20.149999999999999" customHeight="1" x14ac:dyDescent="0.35">
      <c r="A172" s="115"/>
      <c r="B172" s="187"/>
      <c r="C172" s="187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0"/>
      <c r="U172" s="109"/>
      <c r="V172" s="109"/>
    </row>
    <row r="173" spans="1:22" ht="20.149999999999999" customHeight="1" x14ac:dyDescent="0.35">
      <c r="A173" s="115"/>
      <c r="B173" s="187"/>
      <c r="C173" s="187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0"/>
      <c r="U173" s="109"/>
      <c r="V173" s="109"/>
    </row>
    <row r="174" spans="1:22" ht="20.149999999999999" customHeight="1" x14ac:dyDescent="0.35">
      <c r="A174" s="115"/>
      <c r="B174" s="187"/>
      <c r="C174" s="187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0"/>
      <c r="U174" s="109"/>
      <c r="V174" s="109"/>
    </row>
    <row r="175" spans="1:22" ht="20.149999999999999" customHeight="1" x14ac:dyDescent="0.35">
      <c r="A175" s="115"/>
      <c r="B175" s="187"/>
      <c r="C175" s="187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0"/>
      <c r="U175" s="109"/>
      <c r="V175" s="109"/>
    </row>
    <row r="176" spans="1:22" ht="20.149999999999999" customHeight="1" x14ac:dyDescent="0.35">
      <c r="A176" s="115"/>
      <c r="B176" s="187"/>
      <c r="C176" s="187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0"/>
      <c r="U176" s="109"/>
      <c r="V176" s="109"/>
    </row>
    <row r="177" spans="1:22" ht="20.149999999999999" customHeight="1" x14ac:dyDescent="0.35">
      <c r="A177" s="115"/>
      <c r="B177" s="187"/>
      <c r="C177" s="187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0"/>
      <c r="U177" s="109"/>
      <c r="V177" s="109"/>
    </row>
    <row r="178" spans="1:22" ht="20.149999999999999" customHeight="1" x14ac:dyDescent="0.35">
      <c r="A178" s="115"/>
      <c r="B178" s="187"/>
      <c r="C178" s="187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0"/>
      <c r="U178" s="109"/>
      <c r="V178" s="109"/>
    </row>
    <row r="179" spans="1:22" ht="20.149999999999999" customHeight="1" x14ac:dyDescent="0.35">
      <c r="A179" s="115"/>
      <c r="B179" s="187"/>
      <c r="C179" s="187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0"/>
      <c r="U179" s="109"/>
      <c r="V179" s="109"/>
    </row>
    <row r="180" spans="1:22" ht="20.149999999999999" customHeight="1" x14ac:dyDescent="0.35">
      <c r="A180" s="115"/>
      <c r="B180" s="187"/>
      <c r="C180" s="187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0"/>
      <c r="U180" s="109"/>
      <c r="V180" s="109"/>
    </row>
    <row r="181" spans="1:22" ht="20.149999999999999" customHeight="1" x14ac:dyDescent="0.35">
      <c r="A181" s="115"/>
      <c r="B181" s="187"/>
      <c r="C181" s="187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0"/>
      <c r="U181" s="109"/>
      <c r="V181" s="109"/>
    </row>
    <row r="182" spans="1:22" ht="20.149999999999999" customHeight="1" x14ac:dyDescent="0.35">
      <c r="A182" s="115"/>
      <c r="B182" s="187"/>
      <c r="C182" s="187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0"/>
      <c r="U182" s="109"/>
      <c r="V182" s="109"/>
    </row>
    <row r="183" spans="1:22" ht="20.149999999999999" customHeight="1" x14ac:dyDescent="0.35">
      <c r="A183" s="115"/>
      <c r="B183" s="187"/>
      <c r="C183" s="187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0"/>
      <c r="U183" s="109"/>
      <c r="V183" s="109"/>
    </row>
    <row r="184" spans="1:22" ht="20.149999999999999" customHeight="1" x14ac:dyDescent="0.35">
      <c r="A184" s="115"/>
      <c r="B184" s="187"/>
      <c r="C184" s="187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0"/>
      <c r="U184" s="109"/>
      <c r="V184" s="109"/>
    </row>
    <row r="185" spans="1:22" ht="20.149999999999999" customHeight="1" x14ac:dyDescent="0.35">
      <c r="A185" s="115"/>
      <c r="B185" s="187"/>
      <c r="C185" s="187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0"/>
      <c r="U185" s="109"/>
      <c r="V185" s="109"/>
    </row>
    <row r="186" spans="1:22" ht="20.149999999999999" customHeight="1" x14ac:dyDescent="0.35">
      <c r="A186" s="115"/>
      <c r="B186" s="187"/>
      <c r="C186" s="187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0"/>
      <c r="U186" s="109"/>
      <c r="V186" s="109"/>
    </row>
    <row r="187" spans="1:22" ht="20.149999999999999" customHeight="1" x14ac:dyDescent="0.35">
      <c r="A187" s="115"/>
      <c r="B187" s="187"/>
      <c r="C187" s="187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0"/>
      <c r="U187" s="109"/>
      <c r="V187" s="109"/>
    </row>
    <row r="188" spans="1:22" ht="20.149999999999999" customHeight="1" x14ac:dyDescent="0.35">
      <c r="A188" s="115"/>
      <c r="B188" s="187"/>
      <c r="C188" s="187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0"/>
      <c r="U188" s="109"/>
      <c r="V188" s="109"/>
    </row>
    <row r="189" spans="1:22" ht="20.149999999999999" customHeight="1" x14ac:dyDescent="0.35">
      <c r="A189" s="115"/>
      <c r="B189" s="187"/>
      <c r="C189" s="187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0"/>
      <c r="U189" s="109"/>
      <c r="V189" s="109"/>
    </row>
    <row r="190" spans="1:22" ht="20.149999999999999" customHeight="1" x14ac:dyDescent="0.35">
      <c r="A190" s="115"/>
      <c r="B190" s="187"/>
      <c r="C190" s="187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0"/>
      <c r="U190" s="109"/>
      <c r="V190" s="109"/>
    </row>
    <row r="191" spans="1:22" ht="20.149999999999999" customHeight="1" x14ac:dyDescent="0.35">
      <c r="A191" s="113"/>
      <c r="B191" s="112"/>
      <c r="C191" s="112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0"/>
      <c r="U191" s="109"/>
      <c r="V191" s="109"/>
    </row>
    <row r="192" spans="1:22" ht="20.149999999999999" customHeight="1" x14ac:dyDescent="0.35">
      <c r="A192" s="113"/>
      <c r="B192" s="112"/>
      <c r="C192" s="112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0"/>
      <c r="U192" s="109"/>
      <c r="V192" s="109"/>
    </row>
    <row r="193" spans="1:22" ht="20.149999999999999" customHeight="1" x14ac:dyDescent="0.35">
      <c r="A193" s="113"/>
      <c r="B193" s="112"/>
      <c r="C193" s="112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0"/>
      <c r="U193" s="109"/>
      <c r="V193" s="109"/>
    </row>
    <row r="194" spans="1:22" ht="20.149999999999999" customHeight="1" x14ac:dyDescent="0.35">
      <c r="A194" s="113"/>
      <c r="B194" s="112"/>
      <c r="C194" s="112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0"/>
      <c r="U194" s="109"/>
      <c r="V194" s="109"/>
    </row>
    <row r="195" spans="1:22" ht="20.149999999999999" customHeight="1" x14ac:dyDescent="0.35">
      <c r="A195" s="113"/>
      <c r="B195" s="112"/>
      <c r="C195" s="112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0"/>
      <c r="U195" s="109"/>
      <c r="V195" s="109"/>
    </row>
    <row r="196" spans="1:22" ht="20.149999999999999" customHeight="1" x14ac:dyDescent="0.35">
      <c r="A196" s="113"/>
      <c r="B196" s="112"/>
      <c r="C196" s="112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0"/>
      <c r="U196" s="109"/>
      <c r="V196" s="109"/>
    </row>
    <row r="197" spans="1:22" ht="20.149999999999999" customHeight="1" x14ac:dyDescent="0.35">
      <c r="A197" s="113"/>
      <c r="B197" s="112"/>
      <c r="C197" s="112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0"/>
      <c r="U197" s="109"/>
      <c r="V197" s="109"/>
    </row>
    <row r="198" spans="1:22" ht="20.149999999999999" customHeight="1" x14ac:dyDescent="0.35">
      <c r="A198" s="113"/>
      <c r="B198" s="112"/>
      <c r="C198" s="112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0"/>
      <c r="U198" s="109"/>
      <c r="V198" s="109"/>
    </row>
    <row r="199" spans="1:22" ht="20.149999999999999" customHeight="1" x14ac:dyDescent="0.35">
      <c r="A199" s="113"/>
      <c r="B199" s="112"/>
      <c r="C199" s="112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0"/>
      <c r="U199" s="109"/>
      <c r="V199" s="109"/>
    </row>
    <row r="200" spans="1:22" ht="20.149999999999999" customHeight="1" x14ac:dyDescent="0.35">
      <c r="A200" s="113"/>
      <c r="B200" s="112"/>
      <c r="C200" s="112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0"/>
      <c r="U200" s="109"/>
      <c r="V200" s="109"/>
    </row>
    <row r="201" spans="1:22" ht="20.149999999999999" customHeight="1" x14ac:dyDescent="0.35">
      <c r="A201" s="113"/>
      <c r="B201" s="112"/>
      <c r="C201" s="112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0"/>
      <c r="U201" s="109"/>
      <c r="V201" s="109"/>
    </row>
    <row r="202" spans="1:22" ht="20.149999999999999" customHeight="1" x14ac:dyDescent="0.35">
      <c r="A202" s="113"/>
      <c r="B202" s="112"/>
      <c r="C202" s="112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0"/>
      <c r="U202" s="109"/>
      <c r="V202" s="109"/>
    </row>
    <row r="203" spans="1:22" ht="20.149999999999999" customHeight="1" x14ac:dyDescent="0.35">
      <c r="A203" s="113"/>
      <c r="B203" s="112"/>
      <c r="C203" s="112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0"/>
      <c r="U203" s="109"/>
      <c r="V203" s="109"/>
    </row>
    <row r="204" spans="1:22" ht="20.149999999999999" customHeight="1" x14ac:dyDescent="0.35">
      <c r="A204" s="113"/>
      <c r="B204" s="112"/>
      <c r="C204" s="112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0"/>
      <c r="U204" s="109"/>
      <c r="V204" s="109"/>
    </row>
    <row r="205" spans="1:22" ht="20.149999999999999" customHeight="1" x14ac:dyDescent="0.35">
      <c r="A205" s="113"/>
      <c r="B205" s="112"/>
      <c r="C205" s="112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0"/>
      <c r="U205" s="109"/>
      <c r="V205" s="109"/>
    </row>
    <row r="206" spans="1:22" ht="20.149999999999999" customHeight="1" x14ac:dyDescent="0.35">
      <c r="A206" s="113"/>
      <c r="B206" s="112"/>
      <c r="C206" s="112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0"/>
      <c r="U206" s="109"/>
      <c r="V206" s="109"/>
    </row>
    <row r="207" spans="1:22" ht="20.149999999999999" customHeight="1" x14ac:dyDescent="0.35">
      <c r="A207" s="113"/>
      <c r="B207" s="112"/>
      <c r="C207" s="112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0"/>
      <c r="U207" s="109"/>
      <c r="V207" s="109"/>
    </row>
    <row r="208" spans="1:22" ht="20.149999999999999" customHeight="1" x14ac:dyDescent="0.35">
      <c r="A208" s="113"/>
      <c r="B208" s="112"/>
      <c r="C208" s="112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0"/>
      <c r="U208" s="109"/>
      <c r="V208" s="109"/>
    </row>
    <row r="209" spans="1:22" ht="20.149999999999999" customHeight="1" x14ac:dyDescent="0.35">
      <c r="A209" s="113"/>
      <c r="B209" s="112"/>
      <c r="C209" s="112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0"/>
      <c r="U209" s="109"/>
      <c r="V209" s="109"/>
    </row>
    <row r="210" spans="1:22" ht="20.149999999999999" customHeight="1" x14ac:dyDescent="0.35">
      <c r="A210" s="113"/>
      <c r="B210" s="112"/>
      <c r="C210" s="112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0"/>
      <c r="U210" s="109"/>
      <c r="V210" s="109"/>
    </row>
    <row r="211" spans="1:22" ht="20.149999999999999" customHeight="1" x14ac:dyDescent="0.35">
      <c r="A211" s="113"/>
      <c r="B211" s="112"/>
      <c r="C211" s="112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0"/>
      <c r="U211" s="109"/>
      <c r="V211" s="109"/>
    </row>
    <row r="212" spans="1:22" ht="20.149999999999999" customHeight="1" x14ac:dyDescent="0.35">
      <c r="A212" s="113"/>
      <c r="B212" s="112"/>
      <c r="C212" s="112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0"/>
      <c r="U212" s="109"/>
      <c r="V212" s="109"/>
    </row>
    <row r="213" spans="1:22" ht="20.149999999999999" customHeight="1" x14ac:dyDescent="0.35">
      <c r="A213" s="113"/>
      <c r="B213" s="112"/>
      <c r="C213" s="112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0"/>
      <c r="U213" s="109"/>
      <c r="V213" s="109"/>
    </row>
    <row r="214" spans="1:22" ht="20.149999999999999" customHeight="1" x14ac:dyDescent="0.35">
      <c r="A214" s="113"/>
      <c r="B214" s="112"/>
      <c r="C214" s="112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0"/>
      <c r="U214" s="109"/>
      <c r="V214" s="109"/>
    </row>
    <row r="215" spans="1:22" ht="20.149999999999999" customHeight="1" x14ac:dyDescent="0.35">
      <c r="A215" s="113"/>
      <c r="B215" s="112"/>
      <c r="C215" s="112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0"/>
      <c r="U215" s="109"/>
      <c r="V215" s="109"/>
    </row>
    <row r="216" spans="1:22" ht="20.149999999999999" customHeight="1" x14ac:dyDescent="0.35">
      <c r="A216" s="113"/>
      <c r="B216" s="112"/>
      <c r="C216" s="112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0"/>
      <c r="U216" s="109"/>
      <c r="V216" s="109"/>
    </row>
    <row r="217" spans="1:22" ht="20.149999999999999" customHeight="1" x14ac:dyDescent="0.35">
      <c r="A217" s="113"/>
      <c r="B217" s="112"/>
      <c r="C217" s="112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0"/>
      <c r="U217" s="109"/>
      <c r="V217" s="109"/>
    </row>
    <row r="218" spans="1:22" ht="20.149999999999999" customHeight="1" x14ac:dyDescent="0.35">
      <c r="A218" s="113"/>
      <c r="B218" s="112"/>
      <c r="C218" s="112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0"/>
      <c r="U218" s="109"/>
      <c r="V218" s="109"/>
    </row>
    <row r="219" spans="1:22" ht="20.149999999999999" customHeight="1" x14ac:dyDescent="0.35">
      <c r="A219" s="113"/>
      <c r="B219" s="112"/>
      <c r="C219" s="112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0"/>
      <c r="U219" s="109"/>
      <c r="V219" s="109"/>
    </row>
    <row r="220" spans="1:22" ht="20.149999999999999" customHeight="1" x14ac:dyDescent="0.35">
      <c r="A220" s="113"/>
      <c r="B220" s="112"/>
      <c r="C220" s="112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0"/>
      <c r="U220" s="109"/>
      <c r="V220" s="109"/>
    </row>
    <row r="221" spans="1:22" ht="20.149999999999999" customHeight="1" x14ac:dyDescent="0.35">
      <c r="A221" s="113"/>
      <c r="B221" s="112"/>
      <c r="C221" s="112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0"/>
      <c r="U221" s="109"/>
      <c r="V221" s="109"/>
    </row>
    <row r="222" spans="1:22" ht="20.149999999999999" customHeight="1" x14ac:dyDescent="0.35">
      <c r="A222" s="113"/>
      <c r="B222" s="112"/>
      <c r="C222" s="112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0"/>
      <c r="U222" s="109"/>
      <c r="V222" s="109"/>
    </row>
    <row r="223" spans="1:22" ht="20.149999999999999" customHeight="1" x14ac:dyDescent="0.35">
      <c r="A223" s="113"/>
      <c r="B223" s="112"/>
      <c r="C223" s="112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0"/>
      <c r="U223" s="109"/>
      <c r="V223" s="109"/>
    </row>
    <row r="224" spans="1:22" ht="20.149999999999999" customHeight="1" x14ac:dyDescent="0.35">
      <c r="A224" s="113"/>
      <c r="B224" s="112"/>
      <c r="C224" s="112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0"/>
      <c r="U224" s="109"/>
      <c r="V224" s="109"/>
    </row>
    <row r="225" spans="1:22" ht="20.149999999999999" customHeight="1" x14ac:dyDescent="0.35">
      <c r="A225" s="113"/>
      <c r="B225" s="112"/>
      <c r="C225" s="112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0"/>
      <c r="U225" s="109"/>
      <c r="V225" s="109"/>
    </row>
    <row r="226" spans="1:22" ht="20.149999999999999" customHeight="1" x14ac:dyDescent="0.35">
      <c r="A226" s="113"/>
      <c r="B226" s="112"/>
      <c r="C226" s="112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0"/>
      <c r="U226" s="109"/>
      <c r="V226" s="109"/>
    </row>
    <row r="227" spans="1:22" ht="20.149999999999999" customHeight="1" x14ac:dyDescent="0.35">
      <c r="A227" s="113"/>
      <c r="B227" s="112"/>
      <c r="C227" s="112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0"/>
      <c r="U227" s="109"/>
      <c r="V227" s="109"/>
    </row>
    <row r="228" spans="1:22" ht="20.149999999999999" customHeight="1" x14ac:dyDescent="0.35">
      <c r="A228" s="113"/>
      <c r="B228" s="112"/>
      <c r="C228" s="112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0"/>
      <c r="U228" s="109"/>
      <c r="V228" s="109"/>
    </row>
    <row r="229" spans="1:22" ht="20.149999999999999" customHeight="1" x14ac:dyDescent="0.35">
      <c r="A229" s="113"/>
      <c r="B229" s="112"/>
      <c r="C229" s="112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0"/>
      <c r="U229" s="109"/>
      <c r="V229" s="109"/>
    </row>
    <row r="230" spans="1:22" ht="20.149999999999999" customHeight="1" x14ac:dyDescent="0.35">
      <c r="A230" s="113"/>
      <c r="B230" s="112"/>
      <c r="C230" s="112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0"/>
      <c r="U230" s="109"/>
      <c r="V230" s="109"/>
    </row>
    <row r="231" spans="1:22" ht="20.149999999999999" customHeight="1" x14ac:dyDescent="0.35">
      <c r="A231" s="113"/>
      <c r="B231" s="112"/>
      <c r="C231" s="112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0"/>
      <c r="U231" s="109"/>
      <c r="V231" s="109"/>
    </row>
    <row r="232" spans="1:22" ht="20.149999999999999" customHeight="1" x14ac:dyDescent="0.35">
      <c r="A232" s="113"/>
      <c r="B232" s="112"/>
      <c r="C232" s="112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0"/>
      <c r="U232" s="109"/>
      <c r="V232" s="109"/>
    </row>
    <row r="233" spans="1:22" ht="20.149999999999999" customHeight="1" x14ac:dyDescent="0.35">
      <c r="A233" s="113"/>
      <c r="B233" s="112"/>
      <c r="C233" s="112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0"/>
      <c r="U233" s="109"/>
      <c r="V233" s="109"/>
    </row>
    <row r="234" spans="1:22" ht="20.149999999999999" customHeight="1" x14ac:dyDescent="0.35">
      <c r="A234" s="113"/>
      <c r="B234" s="112"/>
      <c r="C234" s="112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0"/>
      <c r="U234" s="109"/>
      <c r="V234" s="109"/>
    </row>
    <row r="235" spans="1:22" ht="20.149999999999999" customHeight="1" x14ac:dyDescent="0.35">
      <c r="A235" s="113"/>
      <c r="B235" s="112"/>
      <c r="C235" s="112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0"/>
      <c r="U235" s="109"/>
      <c r="V235" s="109"/>
    </row>
    <row r="236" spans="1:22" ht="20.149999999999999" customHeight="1" x14ac:dyDescent="0.35">
      <c r="A236" s="113"/>
      <c r="B236" s="112"/>
      <c r="C236" s="112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0"/>
      <c r="U236" s="109"/>
      <c r="V236" s="109"/>
    </row>
    <row r="237" spans="1:22" ht="20.149999999999999" customHeight="1" x14ac:dyDescent="0.35">
      <c r="A237" s="113"/>
      <c r="B237" s="112"/>
      <c r="C237" s="112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0"/>
      <c r="U237" s="109"/>
      <c r="V237" s="109"/>
    </row>
    <row r="238" spans="1:22" ht="20.149999999999999" customHeight="1" x14ac:dyDescent="0.35">
      <c r="A238" s="113"/>
      <c r="B238" s="112"/>
      <c r="C238" s="112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0"/>
      <c r="U238" s="109"/>
      <c r="V238" s="109"/>
    </row>
    <row r="239" spans="1:22" ht="20.149999999999999" customHeight="1" x14ac:dyDescent="0.35">
      <c r="A239" s="113"/>
      <c r="B239" s="112"/>
      <c r="C239" s="112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0"/>
      <c r="U239" s="109"/>
      <c r="V239" s="109"/>
    </row>
    <row r="240" spans="1:22" ht="20.149999999999999" customHeight="1" x14ac:dyDescent="0.35">
      <c r="A240" s="113"/>
      <c r="B240" s="112"/>
      <c r="C240" s="112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0"/>
      <c r="U240" s="109"/>
      <c r="V240" s="109"/>
    </row>
    <row r="241" spans="1:22" ht="20.149999999999999" customHeight="1" x14ac:dyDescent="0.35">
      <c r="A241" s="113"/>
      <c r="B241" s="112"/>
      <c r="C241" s="112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0"/>
      <c r="U241" s="109"/>
      <c r="V241" s="109"/>
    </row>
    <row r="242" spans="1:22" ht="20.149999999999999" customHeight="1" x14ac:dyDescent="0.35">
      <c r="A242" s="113"/>
      <c r="B242" s="112"/>
      <c r="C242" s="112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0"/>
      <c r="U242" s="109"/>
      <c r="V242" s="109"/>
    </row>
    <row r="243" spans="1:22" ht="20.149999999999999" customHeight="1" x14ac:dyDescent="0.35">
      <c r="A243" s="113"/>
      <c r="B243" s="112"/>
      <c r="C243" s="112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0"/>
      <c r="U243" s="109"/>
      <c r="V243" s="109"/>
    </row>
    <row r="244" spans="1:22" ht="20.149999999999999" customHeight="1" x14ac:dyDescent="0.35">
      <c r="A244" s="113"/>
      <c r="B244" s="112"/>
      <c r="C244" s="112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0"/>
      <c r="U244" s="109"/>
      <c r="V244" s="109"/>
    </row>
    <row r="245" spans="1:22" ht="20.149999999999999" customHeight="1" x14ac:dyDescent="0.35">
      <c r="A245" s="113"/>
      <c r="B245" s="112"/>
      <c r="C245" s="112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0"/>
      <c r="U245" s="109"/>
      <c r="V245" s="109"/>
    </row>
    <row r="246" spans="1:22" ht="20.149999999999999" customHeight="1" x14ac:dyDescent="0.35">
      <c r="A246" s="113"/>
      <c r="B246" s="112"/>
      <c r="C246" s="112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0"/>
      <c r="U246" s="109"/>
      <c r="V246" s="109"/>
    </row>
    <row r="247" spans="1:22" ht="20.149999999999999" customHeight="1" x14ac:dyDescent="0.35">
      <c r="A247" s="113"/>
      <c r="B247" s="112"/>
      <c r="C247" s="112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0"/>
      <c r="U247" s="109"/>
      <c r="V247" s="109"/>
    </row>
    <row r="248" spans="1:22" ht="20.149999999999999" customHeight="1" x14ac:dyDescent="0.35">
      <c r="A248" s="113"/>
      <c r="B248" s="112"/>
      <c r="C248" s="112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0"/>
      <c r="U248" s="109"/>
      <c r="V248" s="109"/>
    </row>
    <row r="249" spans="1:22" ht="20.149999999999999" customHeight="1" x14ac:dyDescent="0.35">
      <c r="A249" s="113"/>
      <c r="B249" s="112"/>
      <c r="C249" s="112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0"/>
      <c r="U249" s="109"/>
      <c r="V249" s="109"/>
    </row>
    <row r="250" spans="1:22" ht="20.149999999999999" customHeight="1" x14ac:dyDescent="0.35">
      <c r="A250" s="113"/>
      <c r="B250" s="112"/>
      <c r="C250" s="112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0"/>
      <c r="U250" s="109"/>
      <c r="V250" s="109"/>
    </row>
    <row r="251" spans="1:22" ht="20.149999999999999" customHeight="1" x14ac:dyDescent="0.35">
      <c r="A251" s="113"/>
      <c r="B251" s="112"/>
      <c r="C251" s="112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0"/>
      <c r="U251" s="109"/>
      <c r="V251" s="109"/>
    </row>
    <row r="252" spans="1:22" ht="20.149999999999999" customHeight="1" x14ac:dyDescent="0.35">
      <c r="A252" s="113"/>
      <c r="B252" s="112"/>
      <c r="C252" s="112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0"/>
      <c r="U252" s="109"/>
      <c r="V252" s="109"/>
    </row>
    <row r="253" spans="1:22" ht="20.149999999999999" customHeight="1" x14ac:dyDescent="0.35">
      <c r="A253" s="113"/>
      <c r="B253" s="112"/>
      <c r="C253" s="112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0"/>
      <c r="U253" s="109"/>
      <c r="V253" s="109"/>
    </row>
    <row r="254" spans="1:22" ht="20.149999999999999" customHeight="1" x14ac:dyDescent="0.35">
      <c r="A254" s="113"/>
      <c r="B254" s="112"/>
      <c r="C254" s="112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0"/>
      <c r="U254" s="109"/>
      <c r="V254" s="109"/>
    </row>
    <row r="255" spans="1:22" ht="20.149999999999999" customHeight="1" x14ac:dyDescent="0.35">
      <c r="A255" s="113"/>
      <c r="B255" s="112"/>
      <c r="C255" s="112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0"/>
      <c r="U255" s="109"/>
      <c r="V255" s="109"/>
    </row>
    <row r="256" spans="1:22" ht="20.149999999999999" customHeight="1" x14ac:dyDescent="0.35">
      <c r="A256" s="113"/>
      <c r="B256" s="112"/>
      <c r="C256" s="112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0"/>
      <c r="U256" s="109"/>
      <c r="V256" s="109"/>
    </row>
    <row r="257" spans="1:22" ht="20.149999999999999" customHeight="1" x14ac:dyDescent="0.35">
      <c r="A257" s="113"/>
      <c r="B257" s="112"/>
      <c r="C257" s="112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0"/>
      <c r="U257" s="109"/>
      <c r="V257" s="109"/>
    </row>
    <row r="258" spans="1:22" ht="20.149999999999999" customHeight="1" x14ac:dyDescent="0.35">
      <c r="A258" s="113"/>
      <c r="B258" s="112"/>
      <c r="C258" s="112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0"/>
      <c r="U258" s="109"/>
      <c r="V258" s="109"/>
    </row>
    <row r="259" spans="1:22" ht="20.149999999999999" customHeight="1" x14ac:dyDescent="0.35">
      <c r="A259" s="113"/>
      <c r="B259" s="112"/>
      <c r="C259" s="112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0"/>
      <c r="U259" s="109"/>
      <c r="V259" s="109"/>
    </row>
    <row r="260" spans="1:22" ht="20.149999999999999" customHeight="1" x14ac:dyDescent="0.35">
      <c r="A260" s="113"/>
      <c r="B260" s="112"/>
      <c r="C260" s="112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0"/>
      <c r="U260" s="109"/>
      <c r="V260" s="109"/>
    </row>
    <row r="261" spans="1:22" ht="20.149999999999999" customHeight="1" x14ac:dyDescent="0.35">
      <c r="A261" s="113"/>
      <c r="B261" s="112"/>
      <c r="C261" s="112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0"/>
      <c r="U261" s="109"/>
      <c r="V261" s="109"/>
    </row>
    <row r="262" spans="1:22" ht="20.149999999999999" customHeight="1" x14ac:dyDescent="0.35">
      <c r="A262" s="113"/>
      <c r="B262" s="112"/>
      <c r="C262" s="112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0"/>
      <c r="U262" s="109"/>
      <c r="V262" s="109"/>
    </row>
    <row r="263" spans="1:22" ht="20.149999999999999" customHeight="1" x14ac:dyDescent="0.35">
      <c r="A263" s="113"/>
      <c r="B263" s="112"/>
      <c r="C263" s="112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0"/>
      <c r="U263" s="109"/>
      <c r="V263" s="109"/>
    </row>
    <row r="264" spans="1:22" ht="20.149999999999999" customHeight="1" x14ac:dyDescent="0.35">
      <c r="A264" s="113"/>
      <c r="B264" s="112"/>
      <c r="C264" s="112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0"/>
      <c r="U264" s="109"/>
      <c r="V264" s="109"/>
    </row>
    <row r="265" spans="1:22" ht="20.149999999999999" customHeight="1" x14ac:dyDescent="0.35">
      <c r="A265" s="113"/>
      <c r="B265" s="112"/>
      <c r="C265" s="112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0"/>
      <c r="U265" s="109"/>
      <c r="V265" s="109"/>
    </row>
    <row r="266" spans="1:22" ht="20.149999999999999" customHeight="1" x14ac:dyDescent="0.35">
      <c r="A266" s="113"/>
      <c r="B266" s="112"/>
      <c r="C266" s="112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0"/>
      <c r="U266" s="109"/>
      <c r="V266" s="109"/>
    </row>
    <row r="267" spans="1:22" ht="20.149999999999999" customHeight="1" x14ac:dyDescent="0.35">
      <c r="A267" s="113"/>
      <c r="B267" s="112"/>
      <c r="C267" s="112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0"/>
      <c r="U267" s="109"/>
      <c r="V267" s="109"/>
    </row>
    <row r="268" spans="1:22" ht="20.149999999999999" customHeight="1" x14ac:dyDescent="0.35">
      <c r="A268" s="113"/>
      <c r="B268" s="112"/>
      <c r="C268" s="112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0"/>
      <c r="U268" s="109"/>
      <c r="V268" s="109"/>
    </row>
    <row r="269" spans="1:22" ht="20.149999999999999" customHeight="1" x14ac:dyDescent="0.35">
      <c r="A269" s="113"/>
      <c r="B269" s="112"/>
      <c r="C269" s="112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0"/>
      <c r="U269" s="109"/>
      <c r="V269" s="109"/>
    </row>
    <row r="270" spans="1:22" ht="20.149999999999999" customHeight="1" x14ac:dyDescent="0.35">
      <c r="A270" s="113"/>
      <c r="B270" s="112"/>
      <c r="C270" s="112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0"/>
      <c r="U270" s="109"/>
      <c r="V270" s="109"/>
    </row>
    <row r="271" spans="1:22" ht="20.149999999999999" customHeight="1" x14ac:dyDescent="0.35">
      <c r="A271" s="113"/>
      <c r="B271" s="112"/>
      <c r="C271" s="112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0"/>
      <c r="U271" s="109"/>
      <c r="V271" s="109"/>
    </row>
    <row r="272" spans="1:22" ht="20.149999999999999" customHeight="1" x14ac:dyDescent="0.35">
      <c r="A272" s="113"/>
      <c r="B272" s="112"/>
      <c r="C272" s="112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0"/>
      <c r="U272" s="109"/>
      <c r="V272" s="109"/>
    </row>
    <row r="273" spans="1:22" ht="20.149999999999999" customHeight="1" x14ac:dyDescent="0.35">
      <c r="A273" s="113"/>
      <c r="B273" s="112"/>
      <c r="C273" s="112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0"/>
      <c r="U273" s="109"/>
      <c r="V273" s="109"/>
    </row>
    <row r="274" spans="1:22" ht="20.149999999999999" customHeight="1" x14ac:dyDescent="0.35">
      <c r="A274" s="113"/>
      <c r="B274" s="112"/>
      <c r="C274" s="112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0"/>
      <c r="U274" s="109"/>
      <c r="V274" s="109"/>
    </row>
    <row r="275" spans="1:22" ht="20.149999999999999" customHeight="1" x14ac:dyDescent="0.35">
      <c r="A275" s="113"/>
      <c r="B275" s="112"/>
      <c r="C275" s="112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0"/>
      <c r="U275" s="109"/>
      <c r="V275" s="109"/>
    </row>
    <row r="276" spans="1:22" ht="20.149999999999999" customHeight="1" x14ac:dyDescent="0.35">
      <c r="A276" s="113"/>
      <c r="B276" s="112"/>
      <c r="C276" s="112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0"/>
      <c r="U276" s="109"/>
      <c r="V276" s="109"/>
    </row>
    <row r="277" spans="1:22" ht="20.149999999999999" customHeight="1" x14ac:dyDescent="0.35">
      <c r="A277" s="113"/>
      <c r="B277" s="112"/>
      <c r="C277" s="112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0"/>
      <c r="U277" s="109"/>
      <c r="V277" s="109"/>
    </row>
    <row r="278" spans="1:22" ht="20.149999999999999" customHeight="1" x14ac:dyDescent="0.35">
      <c r="A278" s="113"/>
      <c r="B278" s="112"/>
      <c r="C278" s="112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0"/>
      <c r="U278" s="109"/>
      <c r="V278" s="109"/>
    </row>
    <row r="279" spans="1:22" ht="20.149999999999999" customHeight="1" x14ac:dyDescent="0.35">
      <c r="A279" s="113"/>
      <c r="B279" s="112"/>
      <c r="C279" s="112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0"/>
      <c r="U279" s="109"/>
      <c r="V279" s="109"/>
    </row>
    <row r="280" spans="1:22" ht="20.149999999999999" customHeight="1" x14ac:dyDescent="0.35">
      <c r="A280" s="113"/>
      <c r="B280" s="112"/>
      <c r="C280" s="112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0"/>
      <c r="U280" s="109"/>
      <c r="V280" s="109"/>
    </row>
    <row r="281" spans="1:22" ht="20.149999999999999" customHeight="1" x14ac:dyDescent="0.35">
      <c r="A281" s="113"/>
      <c r="B281" s="112"/>
      <c r="C281" s="112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0"/>
      <c r="U281" s="109"/>
      <c r="V281" s="109"/>
    </row>
    <row r="282" spans="1:22" ht="20.149999999999999" customHeight="1" x14ac:dyDescent="0.35">
      <c r="A282" s="113"/>
      <c r="B282" s="112"/>
      <c r="C282" s="112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0"/>
      <c r="U282" s="109"/>
      <c r="V282" s="109"/>
    </row>
    <row r="283" spans="1:22" ht="20.149999999999999" customHeight="1" x14ac:dyDescent="0.35">
      <c r="A283" s="113"/>
      <c r="B283" s="112"/>
      <c r="C283" s="112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0"/>
      <c r="U283" s="109"/>
      <c r="V283" s="109"/>
    </row>
    <row r="284" spans="1:22" ht="20.149999999999999" customHeight="1" x14ac:dyDescent="0.35">
      <c r="A284" s="113"/>
      <c r="B284" s="112"/>
      <c r="C284" s="112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0"/>
      <c r="U284" s="109"/>
      <c r="V284" s="109"/>
    </row>
    <row r="285" spans="1:22" ht="20.149999999999999" customHeight="1" x14ac:dyDescent="0.35">
      <c r="A285" s="113"/>
      <c r="B285" s="112"/>
      <c r="C285" s="112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0"/>
      <c r="U285" s="109"/>
      <c r="V285" s="109"/>
    </row>
    <row r="286" spans="1:22" ht="20.149999999999999" customHeight="1" x14ac:dyDescent="0.35">
      <c r="A286" s="113"/>
      <c r="B286" s="112"/>
      <c r="C286" s="112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0"/>
      <c r="U286" s="109"/>
      <c r="V286" s="109"/>
    </row>
    <row r="287" spans="1:22" ht="20.149999999999999" customHeight="1" x14ac:dyDescent="0.35">
      <c r="A287" s="113"/>
      <c r="B287" s="112"/>
      <c r="C287" s="112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0"/>
      <c r="U287" s="109"/>
      <c r="V287" s="109"/>
    </row>
    <row r="288" spans="1:22" ht="20.149999999999999" customHeight="1" x14ac:dyDescent="0.35">
      <c r="A288" s="113"/>
      <c r="B288" s="112"/>
      <c r="C288" s="112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0"/>
      <c r="U288" s="109"/>
      <c r="V288" s="109"/>
    </row>
    <row r="289" spans="1:22" ht="20.149999999999999" customHeight="1" x14ac:dyDescent="0.35">
      <c r="A289" s="113"/>
      <c r="B289" s="112"/>
      <c r="C289" s="112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0"/>
      <c r="U289" s="109"/>
      <c r="V289" s="109"/>
    </row>
    <row r="290" spans="1:22" ht="20.149999999999999" customHeight="1" x14ac:dyDescent="0.35">
      <c r="A290" s="113"/>
      <c r="B290" s="112"/>
      <c r="C290" s="112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0"/>
      <c r="U290" s="109"/>
      <c r="V290" s="109"/>
    </row>
    <row r="291" spans="1:22" ht="20.149999999999999" customHeight="1" x14ac:dyDescent="0.35">
      <c r="A291" s="113"/>
      <c r="B291" s="112"/>
      <c r="C291" s="112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0"/>
      <c r="U291" s="109"/>
      <c r="V291" s="109"/>
    </row>
    <row r="292" spans="1:22" ht="20.149999999999999" customHeight="1" x14ac:dyDescent="0.35">
      <c r="A292" s="113"/>
      <c r="B292" s="112"/>
      <c r="C292" s="112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0"/>
      <c r="U292" s="109"/>
      <c r="V292" s="109"/>
    </row>
    <row r="293" spans="1:22" ht="20.149999999999999" customHeight="1" x14ac:dyDescent="0.35">
      <c r="A293" s="113"/>
      <c r="B293" s="112"/>
      <c r="C293" s="112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0"/>
      <c r="U293" s="109"/>
      <c r="V293" s="109"/>
    </row>
    <row r="294" spans="1:22" ht="20.149999999999999" customHeight="1" x14ac:dyDescent="0.35">
      <c r="A294" s="113"/>
      <c r="B294" s="112"/>
      <c r="C294" s="112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0"/>
      <c r="U294" s="109"/>
      <c r="V294" s="109"/>
    </row>
    <row r="295" spans="1:22" ht="20.149999999999999" customHeight="1" x14ac:dyDescent="0.35">
      <c r="A295" s="113"/>
      <c r="B295" s="112"/>
      <c r="C295" s="112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0"/>
      <c r="U295" s="109"/>
      <c r="V295" s="109"/>
    </row>
    <row r="296" spans="1:22" ht="20.149999999999999" customHeight="1" x14ac:dyDescent="0.35">
      <c r="A296" s="113"/>
      <c r="B296" s="112"/>
      <c r="C296" s="112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0"/>
      <c r="U296" s="109"/>
      <c r="V296" s="109"/>
    </row>
    <row r="297" spans="1:22" ht="20.149999999999999" customHeight="1" x14ac:dyDescent="0.35">
      <c r="A297" s="113"/>
      <c r="B297" s="112"/>
      <c r="C297" s="112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0"/>
      <c r="U297" s="109"/>
      <c r="V297" s="109"/>
    </row>
    <row r="298" spans="1:22" ht="20.149999999999999" customHeight="1" x14ac:dyDescent="0.35">
      <c r="A298" s="113"/>
      <c r="B298" s="112"/>
      <c r="C298" s="112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0"/>
      <c r="U298" s="109"/>
      <c r="V298" s="109"/>
    </row>
    <row r="299" spans="1:22" ht="20.149999999999999" customHeight="1" x14ac:dyDescent="0.35">
      <c r="A299" s="113"/>
      <c r="B299" s="112"/>
      <c r="C299" s="112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0"/>
      <c r="U299" s="109"/>
      <c r="V299" s="109"/>
    </row>
    <row r="300" spans="1:22" ht="20.149999999999999" customHeight="1" x14ac:dyDescent="0.35">
      <c r="A300" s="113"/>
      <c r="B300" s="112"/>
      <c r="C300" s="112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0"/>
      <c r="U300" s="109"/>
      <c r="V300" s="109"/>
    </row>
    <row r="301" spans="1:22" ht="20.149999999999999" customHeight="1" x14ac:dyDescent="0.35">
      <c r="A301" s="113"/>
      <c r="B301" s="112"/>
      <c r="C301" s="112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0"/>
      <c r="U301" s="109"/>
      <c r="V301" s="109"/>
    </row>
    <row r="302" spans="1:22" ht="20.149999999999999" customHeight="1" x14ac:dyDescent="0.35">
      <c r="A302" s="113"/>
      <c r="B302" s="112"/>
      <c r="C302" s="112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0"/>
      <c r="U302" s="109"/>
      <c r="V302" s="109"/>
    </row>
    <row r="303" spans="1:22" ht="20.149999999999999" customHeight="1" x14ac:dyDescent="0.35">
      <c r="A303" s="113"/>
      <c r="B303" s="112"/>
      <c r="C303" s="112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0"/>
      <c r="U303" s="109"/>
      <c r="V303" s="109"/>
    </row>
    <row r="304" spans="1:22" ht="20.149999999999999" customHeight="1" x14ac:dyDescent="0.35">
      <c r="A304" s="113"/>
      <c r="B304" s="112"/>
      <c r="C304" s="112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0"/>
      <c r="U304" s="109"/>
      <c r="V304" s="109"/>
    </row>
    <row r="305" spans="1:22" ht="20.149999999999999" customHeight="1" x14ac:dyDescent="0.35">
      <c r="A305" s="113"/>
      <c r="B305" s="112"/>
      <c r="C305" s="112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0"/>
      <c r="U305" s="109"/>
      <c r="V305" s="109"/>
    </row>
    <row r="306" spans="1:22" ht="20.149999999999999" customHeight="1" x14ac:dyDescent="0.35">
      <c r="A306" s="113"/>
      <c r="B306" s="112"/>
      <c r="C306" s="112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0"/>
      <c r="U306" s="109"/>
      <c r="V306" s="109"/>
    </row>
    <row r="307" spans="1:22" ht="20.149999999999999" customHeight="1" x14ac:dyDescent="0.35">
      <c r="A307" s="113"/>
      <c r="B307" s="112"/>
      <c r="C307" s="112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0"/>
      <c r="U307" s="109"/>
      <c r="V307" s="109"/>
    </row>
    <row r="308" spans="1:22" ht="20.149999999999999" customHeight="1" x14ac:dyDescent="0.35">
      <c r="A308" s="113"/>
      <c r="B308" s="112"/>
      <c r="C308" s="112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0"/>
      <c r="U308" s="109"/>
      <c r="V308" s="109"/>
    </row>
    <row r="309" spans="1:22" ht="20.149999999999999" customHeight="1" x14ac:dyDescent="0.35">
      <c r="A309" s="113"/>
      <c r="B309" s="112"/>
      <c r="C309" s="112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0"/>
      <c r="U309" s="109"/>
      <c r="V309" s="109"/>
    </row>
    <row r="310" spans="1:22" ht="20.149999999999999" customHeight="1" x14ac:dyDescent="0.35">
      <c r="A310" s="113"/>
      <c r="B310" s="112"/>
      <c r="C310" s="112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0"/>
      <c r="U310" s="109"/>
      <c r="V310" s="109"/>
    </row>
    <row r="311" spans="1:22" ht="20.149999999999999" customHeight="1" x14ac:dyDescent="0.35">
      <c r="A311" s="113"/>
      <c r="B311" s="112"/>
      <c r="C311" s="112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0"/>
      <c r="U311" s="109"/>
      <c r="V311" s="109"/>
    </row>
    <row r="312" spans="1:22" ht="20.149999999999999" customHeight="1" x14ac:dyDescent="0.35">
      <c r="A312" s="113"/>
      <c r="B312" s="112"/>
      <c r="C312" s="112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0"/>
      <c r="U312" s="109"/>
      <c r="V312" s="109"/>
    </row>
    <row r="313" spans="1:22" ht="20.149999999999999" customHeight="1" x14ac:dyDescent="0.35">
      <c r="A313" s="113"/>
      <c r="B313" s="112"/>
      <c r="C313" s="112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0"/>
      <c r="U313" s="109"/>
      <c r="V313" s="109"/>
    </row>
    <row r="314" spans="1:22" ht="20.149999999999999" customHeight="1" x14ac:dyDescent="0.35">
      <c r="A314" s="113"/>
      <c r="B314" s="112"/>
      <c r="C314" s="112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0"/>
      <c r="U314" s="109"/>
      <c r="V314" s="109"/>
    </row>
    <row r="315" spans="1:22" ht="20.149999999999999" customHeight="1" x14ac:dyDescent="0.35">
      <c r="A315" s="113"/>
      <c r="B315" s="112"/>
      <c r="C315" s="112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0"/>
      <c r="U315" s="109"/>
      <c r="V315" s="109"/>
    </row>
    <row r="316" spans="1:22" ht="20.149999999999999" customHeight="1" x14ac:dyDescent="0.35">
      <c r="A316" s="113"/>
      <c r="B316" s="112"/>
      <c r="C316" s="112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0"/>
      <c r="U316" s="109"/>
      <c r="V316" s="109"/>
    </row>
    <row r="317" spans="1:22" ht="20.149999999999999" customHeight="1" x14ac:dyDescent="0.35">
      <c r="A317" s="113"/>
      <c r="B317" s="112"/>
      <c r="C317" s="112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0"/>
      <c r="U317" s="109"/>
      <c r="V317" s="109"/>
    </row>
    <row r="318" spans="1:22" ht="20.149999999999999" customHeight="1" x14ac:dyDescent="0.35">
      <c r="A318" s="113"/>
      <c r="B318" s="112"/>
      <c r="C318" s="112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0"/>
      <c r="U318" s="109"/>
      <c r="V318" s="109"/>
    </row>
    <row r="319" spans="1:22" ht="20.149999999999999" customHeight="1" x14ac:dyDescent="0.35">
      <c r="A319" s="113"/>
      <c r="B319" s="112"/>
      <c r="C319" s="112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0"/>
      <c r="U319" s="109"/>
      <c r="V319" s="109"/>
    </row>
    <row r="320" spans="1:22" ht="20.149999999999999" customHeight="1" x14ac:dyDescent="0.35">
      <c r="A320" s="113"/>
      <c r="B320" s="112"/>
      <c r="C320" s="112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0"/>
      <c r="U320" s="109"/>
      <c r="V320" s="109"/>
    </row>
    <row r="321" spans="1:22" ht="20.149999999999999" customHeight="1" x14ac:dyDescent="0.35">
      <c r="A321" s="113"/>
      <c r="B321" s="112"/>
      <c r="C321" s="112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0"/>
      <c r="U321" s="109"/>
      <c r="V321" s="109"/>
    </row>
    <row r="322" spans="1:22" ht="20.149999999999999" customHeight="1" x14ac:dyDescent="0.35">
      <c r="A322" s="113"/>
      <c r="B322" s="112"/>
      <c r="C322" s="112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0"/>
      <c r="U322" s="109"/>
      <c r="V322" s="109"/>
    </row>
    <row r="323" spans="1:22" ht="20.149999999999999" customHeight="1" x14ac:dyDescent="0.35">
      <c r="A323" s="113"/>
      <c r="B323" s="112"/>
      <c r="C323" s="112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0"/>
      <c r="U323" s="109"/>
      <c r="V323" s="109"/>
    </row>
    <row r="324" spans="1:22" ht="20.149999999999999" customHeight="1" x14ac:dyDescent="0.35">
      <c r="A324" s="113"/>
      <c r="B324" s="112"/>
      <c r="C324" s="112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0"/>
      <c r="U324" s="109"/>
      <c r="V324" s="109"/>
    </row>
    <row r="325" spans="1:22" ht="20.149999999999999" customHeight="1" x14ac:dyDescent="0.35">
      <c r="A325" s="113"/>
      <c r="B325" s="112"/>
      <c r="C325" s="112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0"/>
      <c r="U325" s="109"/>
      <c r="V325" s="109"/>
    </row>
    <row r="326" spans="1:22" ht="20.149999999999999" customHeight="1" x14ac:dyDescent="0.35">
      <c r="A326" s="113"/>
      <c r="B326" s="112"/>
      <c r="C326" s="112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0"/>
      <c r="U326" s="109"/>
      <c r="V326" s="109"/>
    </row>
    <row r="327" spans="1:22" ht="20.149999999999999" customHeight="1" x14ac:dyDescent="0.35">
      <c r="A327" s="113"/>
      <c r="B327" s="112"/>
      <c r="C327" s="112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0"/>
      <c r="U327" s="109"/>
      <c r="V327" s="109"/>
    </row>
    <row r="328" spans="1:22" ht="20.149999999999999" customHeight="1" x14ac:dyDescent="0.35">
      <c r="A328" s="113"/>
      <c r="B328" s="112"/>
      <c r="C328" s="112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0"/>
      <c r="U328" s="109"/>
      <c r="V328" s="109"/>
    </row>
    <row r="329" spans="1:22" ht="20.149999999999999" customHeight="1" x14ac:dyDescent="0.35">
      <c r="A329" s="113"/>
      <c r="B329" s="112"/>
      <c r="C329" s="112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0"/>
      <c r="U329" s="109"/>
      <c r="V329" s="109"/>
    </row>
    <row r="330" spans="1:22" ht="20.149999999999999" customHeight="1" x14ac:dyDescent="0.35">
      <c r="A330" s="113"/>
      <c r="B330" s="112"/>
      <c r="C330" s="112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0"/>
      <c r="U330" s="109"/>
      <c r="V330" s="109"/>
    </row>
    <row r="331" spans="1:22" ht="20.149999999999999" customHeight="1" x14ac:dyDescent="0.35">
      <c r="A331" s="113"/>
      <c r="B331" s="112"/>
      <c r="C331" s="112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0"/>
      <c r="U331" s="109"/>
      <c r="V331" s="109"/>
    </row>
    <row r="332" spans="1:22" ht="20.149999999999999" customHeight="1" x14ac:dyDescent="0.35">
      <c r="A332" s="113"/>
      <c r="B332" s="112"/>
      <c r="C332" s="112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0"/>
      <c r="U332" s="109"/>
      <c r="V332" s="109"/>
    </row>
    <row r="333" spans="1:22" ht="20.149999999999999" customHeight="1" x14ac:dyDescent="0.35">
      <c r="A333" s="113"/>
      <c r="B333" s="112"/>
      <c r="C333" s="112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0"/>
      <c r="U333" s="109"/>
      <c r="V333" s="109"/>
    </row>
    <row r="334" spans="1:22" ht="20.149999999999999" customHeight="1" x14ac:dyDescent="0.35">
      <c r="A334" s="113"/>
      <c r="B334" s="112"/>
      <c r="C334" s="112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0"/>
      <c r="U334" s="109"/>
      <c r="V334" s="109"/>
    </row>
    <row r="335" spans="1:22" ht="20.149999999999999" customHeight="1" x14ac:dyDescent="0.35">
      <c r="A335" s="113"/>
      <c r="B335" s="112"/>
      <c r="C335" s="112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0"/>
      <c r="U335" s="109"/>
      <c r="V335" s="109"/>
    </row>
    <row r="336" spans="1:22" ht="20.149999999999999" customHeight="1" x14ac:dyDescent="0.35">
      <c r="A336" s="113"/>
      <c r="B336" s="112"/>
      <c r="C336" s="112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0"/>
      <c r="U336" s="109"/>
      <c r="V336" s="109"/>
    </row>
    <row r="337" spans="1:22" ht="20.149999999999999" customHeight="1" x14ac:dyDescent="0.35">
      <c r="A337" s="113"/>
      <c r="B337" s="112"/>
      <c r="C337" s="112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0"/>
      <c r="U337" s="109"/>
      <c r="V337" s="109"/>
    </row>
    <row r="338" spans="1:22" ht="20.149999999999999" customHeight="1" x14ac:dyDescent="0.35">
      <c r="A338" s="113"/>
      <c r="B338" s="112"/>
      <c r="C338" s="112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0"/>
      <c r="U338" s="109"/>
      <c r="V338" s="109"/>
    </row>
    <row r="339" spans="1:22" ht="20.149999999999999" customHeight="1" x14ac:dyDescent="0.35">
      <c r="A339" s="113"/>
      <c r="B339" s="112"/>
      <c r="C339" s="112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0"/>
      <c r="U339" s="109"/>
      <c r="V339" s="109"/>
    </row>
    <row r="340" spans="1:22" ht="20.149999999999999" customHeight="1" x14ac:dyDescent="0.35">
      <c r="A340" s="113"/>
      <c r="B340" s="112"/>
      <c r="C340" s="112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0"/>
      <c r="U340" s="109"/>
      <c r="V340" s="109"/>
    </row>
    <row r="341" spans="1:22" ht="20.149999999999999" customHeight="1" x14ac:dyDescent="0.35">
      <c r="A341" s="113"/>
      <c r="B341" s="112"/>
      <c r="C341" s="112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0"/>
      <c r="U341" s="109"/>
      <c r="V341" s="109"/>
    </row>
    <row r="342" spans="1:22" ht="20.149999999999999" customHeight="1" x14ac:dyDescent="0.35">
      <c r="A342" s="113"/>
      <c r="B342" s="112"/>
      <c r="C342" s="112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0"/>
      <c r="U342" s="109"/>
      <c r="V342" s="109"/>
    </row>
    <row r="343" spans="1:22" ht="20.149999999999999" customHeight="1" x14ac:dyDescent="0.35">
      <c r="A343" s="113"/>
      <c r="B343" s="112"/>
      <c r="C343" s="112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0"/>
      <c r="U343" s="109"/>
      <c r="V343" s="109"/>
    </row>
    <row r="344" spans="1:22" ht="20.149999999999999" customHeight="1" x14ac:dyDescent="0.35">
      <c r="A344" s="113"/>
      <c r="B344" s="112"/>
      <c r="C344" s="112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0"/>
      <c r="U344" s="109"/>
      <c r="V344" s="109"/>
    </row>
    <row r="345" spans="1:22" ht="20.149999999999999" customHeight="1" x14ac:dyDescent="0.35">
      <c r="A345" s="113"/>
      <c r="B345" s="112"/>
      <c r="C345" s="112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0"/>
      <c r="U345" s="109"/>
      <c r="V345" s="109"/>
    </row>
    <row r="346" spans="1:22" ht="20.149999999999999" customHeight="1" x14ac:dyDescent="0.35">
      <c r="A346" s="113"/>
      <c r="B346" s="112"/>
      <c r="C346" s="112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0"/>
      <c r="U346" s="109"/>
      <c r="V346" s="109"/>
    </row>
    <row r="347" spans="1:22" ht="20.149999999999999" customHeight="1" x14ac:dyDescent="0.35">
      <c r="A347" s="113"/>
      <c r="B347" s="112"/>
      <c r="C347" s="112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0"/>
      <c r="U347" s="109"/>
      <c r="V347" s="109"/>
    </row>
    <row r="348" spans="1:22" ht="20.149999999999999" customHeight="1" x14ac:dyDescent="0.35">
      <c r="A348" s="113"/>
      <c r="B348" s="112"/>
      <c r="C348" s="112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0"/>
      <c r="U348" s="109"/>
      <c r="V348" s="109"/>
    </row>
    <row r="349" spans="1:22" ht="20.149999999999999" customHeight="1" x14ac:dyDescent="0.35">
      <c r="A349" s="113"/>
      <c r="B349" s="112"/>
      <c r="C349" s="112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0"/>
      <c r="U349" s="109"/>
      <c r="V349" s="109"/>
    </row>
    <row r="350" spans="1:22" ht="20.149999999999999" customHeight="1" x14ac:dyDescent="0.35">
      <c r="A350" s="113"/>
      <c r="B350" s="112"/>
      <c r="C350" s="112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0"/>
      <c r="U350" s="109"/>
      <c r="V350" s="109"/>
    </row>
    <row r="351" spans="1:22" ht="20.149999999999999" customHeight="1" x14ac:dyDescent="0.35">
      <c r="A351" s="113"/>
      <c r="B351" s="112"/>
      <c r="C351" s="112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0"/>
      <c r="U351" s="109"/>
      <c r="V351" s="109"/>
    </row>
    <row r="352" spans="1:22" ht="20.149999999999999" customHeight="1" x14ac:dyDescent="0.35">
      <c r="A352" s="113"/>
      <c r="B352" s="112"/>
      <c r="C352" s="112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0"/>
      <c r="U352" s="109"/>
      <c r="V352" s="109"/>
    </row>
    <row r="353" spans="1:22" ht="20.149999999999999" customHeight="1" x14ac:dyDescent="0.35">
      <c r="A353" s="113"/>
      <c r="B353" s="112"/>
      <c r="C353" s="112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0"/>
      <c r="U353" s="109"/>
      <c r="V353" s="109"/>
    </row>
    <row r="354" spans="1:22" ht="20.149999999999999" customHeight="1" x14ac:dyDescent="0.35">
      <c r="A354" s="113"/>
      <c r="B354" s="112"/>
      <c r="C354" s="112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0"/>
      <c r="U354" s="109"/>
      <c r="V354" s="109"/>
    </row>
    <row r="355" spans="1:22" ht="20.149999999999999" customHeight="1" x14ac:dyDescent="0.35">
      <c r="A355" s="113"/>
      <c r="B355" s="112"/>
      <c r="C355" s="112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0"/>
      <c r="U355" s="109"/>
      <c r="V355" s="109"/>
    </row>
    <row r="356" spans="1:22" ht="20.149999999999999" customHeight="1" x14ac:dyDescent="0.35">
      <c r="A356" s="113"/>
      <c r="B356" s="112"/>
      <c r="C356" s="112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0"/>
      <c r="U356" s="109"/>
      <c r="V356" s="109"/>
    </row>
    <row r="357" spans="1:22" ht="20.149999999999999" customHeight="1" x14ac:dyDescent="0.35">
      <c r="A357" s="113"/>
      <c r="B357" s="112"/>
      <c r="C357" s="112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0"/>
      <c r="U357" s="109"/>
      <c r="V357" s="109"/>
    </row>
    <row r="358" spans="1:22" ht="20.149999999999999" customHeight="1" x14ac:dyDescent="0.35">
      <c r="A358" s="113"/>
      <c r="B358" s="112"/>
      <c r="C358" s="112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0"/>
      <c r="U358" s="109"/>
      <c r="V358" s="109"/>
    </row>
    <row r="359" spans="1:22" ht="20.149999999999999" customHeight="1" x14ac:dyDescent="0.35">
      <c r="A359" s="113"/>
      <c r="B359" s="112"/>
      <c r="C359" s="112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0"/>
      <c r="U359" s="109"/>
      <c r="V359" s="109"/>
    </row>
    <row r="360" spans="1:22" ht="20.149999999999999" customHeight="1" x14ac:dyDescent="0.35">
      <c r="A360" s="113"/>
      <c r="B360" s="112"/>
      <c r="C360" s="112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0"/>
      <c r="U360" s="109"/>
      <c r="V360" s="109"/>
    </row>
    <row r="361" spans="1:22" ht="20.149999999999999" customHeight="1" x14ac:dyDescent="0.35">
      <c r="A361" s="113"/>
      <c r="B361" s="112"/>
      <c r="C361" s="112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0"/>
      <c r="U361" s="109"/>
      <c r="V361" s="109"/>
    </row>
    <row r="362" spans="1:22" ht="20.149999999999999" customHeight="1" x14ac:dyDescent="0.35">
      <c r="A362" s="113"/>
      <c r="B362" s="112"/>
      <c r="C362" s="112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0"/>
      <c r="U362" s="109"/>
      <c r="V362" s="109"/>
    </row>
    <row r="363" spans="1:22" ht="20.149999999999999" customHeight="1" x14ac:dyDescent="0.35">
      <c r="A363" s="113"/>
      <c r="B363" s="112"/>
      <c r="C363" s="112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0"/>
      <c r="U363" s="109"/>
      <c r="V363" s="109"/>
    </row>
    <row r="364" spans="1:22" ht="20.149999999999999" customHeight="1" x14ac:dyDescent="0.35">
      <c r="A364" s="113"/>
      <c r="B364" s="112"/>
      <c r="C364" s="112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0"/>
      <c r="U364" s="109"/>
      <c r="V364" s="109"/>
    </row>
    <row r="365" spans="1:22" ht="20.149999999999999" customHeight="1" x14ac:dyDescent="0.35">
      <c r="A365" s="113"/>
      <c r="B365" s="112"/>
      <c r="C365" s="112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0"/>
      <c r="U365" s="109"/>
      <c r="V365" s="109"/>
    </row>
    <row r="366" spans="1:22" ht="20.149999999999999" customHeight="1" x14ac:dyDescent="0.35">
      <c r="A366" s="113"/>
      <c r="B366" s="112"/>
      <c r="C366" s="112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0"/>
      <c r="U366" s="109"/>
      <c r="V366" s="109"/>
    </row>
    <row r="367" spans="1:22" ht="20.149999999999999" customHeight="1" x14ac:dyDescent="0.35">
      <c r="A367" s="113"/>
      <c r="B367" s="112"/>
      <c r="C367" s="112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0"/>
      <c r="U367" s="109"/>
      <c r="V367" s="109"/>
    </row>
    <row r="368" spans="1:22" ht="20.149999999999999" customHeight="1" x14ac:dyDescent="0.35">
      <c r="A368" s="113"/>
      <c r="B368" s="112"/>
      <c r="C368" s="112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0"/>
      <c r="U368" s="109"/>
      <c r="V368" s="109"/>
    </row>
    <row r="369" spans="1:22" ht="20.149999999999999" customHeight="1" x14ac:dyDescent="0.35">
      <c r="A369" s="113"/>
      <c r="B369" s="112"/>
      <c r="C369" s="112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0"/>
      <c r="U369" s="109"/>
      <c r="V369" s="109"/>
    </row>
    <row r="370" spans="1:22" ht="20.149999999999999" customHeight="1" x14ac:dyDescent="0.35">
      <c r="A370" s="113"/>
      <c r="B370" s="112"/>
      <c r="C370" s="112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0"/>
      <c r="U370" s="109"/>
      <c r="V370" s="109"/>
    </row>
    <row r="371" spans="1:22" ht="20.149999999999999" customHeight="1" x14ac:dyDescent="0.35">
      <c r="A371" s="113"/>
      <c r="B371" s="112"/>
      <c r="C371" s="112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0"/>
      <c r="U371" s="109"/>
      <c r="V371" s="109"/>
    </row>
    <row r="372" spans="1:22" ht="20.149999999999999" customHeight="1" x14ac:dyDescent="0.35">
      <c r="A372" s="113"/>
      <c r="B372" s="112"/>
      <c r="C372" s="112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0"/>
      <c r="U372" s="109"/>
      <c r="V372" s="109"/>
    </row>
    <row r="373" spans="1:22" ht="20.149999999999999" customHeight="1" x14ac:dyDescent="0.35">
      <c r="A373" s="113"/>
      <c r="B373" s="112"/>
      <c r="C373" s="112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0"/>
      <c r="U373" s="109"/>
      <c r="V373" s="109"/>
    </row>
    <row r="374" spans="1:22" ht="20.149999999999999" customHeight="1" x14ac:dyDescent="0.35">
      <c r="A374" s="113"/>
      <c r="B374" s="112"/>
      <c r="C374" s="112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0"/>
      <c r="U374" s="109"/>
      <c r="V374" s="109"/>
    </row>
    <row r="375" spans="1:22" ht="20.149999999999999" customHeight="1" x14ac:dyDescent="0.35">
      <c r="A375" s="113"/>
      <c r="B375" s="112"/>
      <c r="C375" s="112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0"/>
      <c r="U375" s="109"/>
      <c r="V375" s="109"/>
    </row>
    <row r="376" spans="1:22" ht="20.149999999999999" customHeight="1" x14ac:dyDescent="0.35">
      <c r="A376" s="113"/>
      <c r="B376" s="112"/>
      <c r="C376" s="112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0"/>
      <c r="U376" s="109"/>
      <c r="V376" s="109"/>
    </row>
    <row r="377" spans="1:22" ht="20.149999999999999" customHeight="1" x14ac:dyDescent="0.35">
      <c r="A377" s="113"/>
      <c r="B377" s="112"/>
      <c r="C377" s="112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0"/>
      <c r="U377" s="109"/>
      <c r="V377" s="109"/>
    </row>
    <row r="378" spans="1:22" ht="20.149999999999999" customHeight="1" x14ac:dyDescent="0.35">
      <c r="A378" s="113"/>
      <c r="B378" s="112"/>
      <c r="C378" s="112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0"/>
      <c r="U378" s="109"/>
      <c r="V378" s="109"/>
    </row>
    <row r="379" spans="1:22" ht="20.149999999999999" customHeight="1" x14ac:dyDescent="0.35">
      <c r="A379" s="113"/>
      <c r="B379" s="112"/>
      <c r="C379" s="112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0"/>
      <c r="U379" s="109"/>
      <c r="V379" s="109"/>
    </row>
    <row r="380" spans="1:22" ht="20.149999999999999" customHeight="1" x14ac:dyDescent="0.35">
      <c r="A380" s="113"/>
      <c r="B380" s="112"/>
      <c r="C380" s="112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0"/>
      <c r="U380" s="109"/>
      <c r="V380" s="109"/>
    </row>
    <row r="381" spans="1:22" ht="20.149999999999999" customHeight="1" x14ac:dyDescent="0.35">
      <c r="A381" s="113"/>
      <c r="B381" s="112"/>
      <c r="C381" s="112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0"/>
      <c r="U381" s="109"/>
      <c r="V381" s="109"/>
    </row>
    <row r="382" spans="1:22" ht="20.149999999999999" customHeight="1" x14ac:dyDescent="0.35">
      <c r="A382" s="113"/>
      <c r="B382" s="112"/>
      <c r="C382" s="112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0"/>
      <c r="U382" s="109"/>
      <c r="V382" s="109"/>
    </row>
    <row r="383" spans="1:22" ht="20.149999999999999" customHeight="1" x14ac:dyDescent="0.35">
      <c r="A383" s="113"/>
      <c r="B383" s="112"/>
      <c r="C383" s="112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0"/>
      <c r="U383" s="109"/>
      <c r="V383" s="109"/>
    </row>
    <row r="384" spans="1:22" ht="20.149999999999999" customHeight="1" x14ac:dyDescent="0.35">
      <c r="A384" s="113"/>
      <c r="B384" s="112"/>
      <c r="C384" s="112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0"/>
      <c r="U384" s="109"/>
      <c r="V384" s="109"/>
    </row>
    <row r="385" spans="1:22" ht="20.149999999999999" customHeight="1" x14ac:dyDescent="0.35">
      <c r="A385" s="113"/>
      <c r="B385" s="112"/>
      <c r="C385" s="112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0"/>
      <c r="U385" s="109"/>
      <c r="V385" s="109"/>
    </row>
    <row r="386" spans="1:22" ht="20.149999999999999" customHeight="1" x14ac:dyDescent="0.35">
      <c r="A386" s="113"/>
      <c r="B386" s="112"/>
      <c r="C386" s="112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0"/>
      <c r="U386" s="109"/>
      <c r="V386" s="109"/>
    </row>
    <row r="387" spans="1:22" ht="20.149999999999999" customHeight="1" x14ac:dyDescent="0.35">
      <c r="A387" s="113"/>
      <c r="B387" s="112"/>
      <c r="C387" s="112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0"/>
      <c r="U387" s="109"/>
      <c r="V387" s="109"/>
    </row>
    <row r="388" spans="1:22" ht="20.149999999999999" customHeight="1" x14ac:dyDescent="0.35">
      <c r="A388" s="113"/>
      <c r="B388" s="112"/>
      <c r="C388" s="112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0"/>
      <c r="U388" s="109"/>
      <c r="V388" s="109"/>
    </row>
    <row r="389" spans="1:22" ht="20.149999999999999" customHeight="1" x14ac:dyDescent="0.35">
      <c r="A389" s="113"/>
      <c r="B389" s="112"/>
      <c r="C389" s="112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0"/>
      <c r="U389" s="109"/>
      <c r="V389" s="109"/>
    </row>
    <row r="390" spans="1:22" ht="20.149999999999999" customHeight="1" x14ac:dyDescent="0.35">
      <c r="A390" s="113"/>
      <c r="B390" s="112"/>
      <c r="C390" s="112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0"/>
      <c r="U390" s="109"/>
      <c r="V390" s="109"/>
    </row>
    <row r="391" spans="1:22" ht="20.149999999999999" customHeight="1" x14ac:dyDescent="0.35">
      <c r="A391" s="113"/>
      <c r="B391" s="112"/>
      <c r="C391" s="112"/>
      <c r="D391" s="112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0"/>
      <c r="U391" s="109"/>
      <c r="V391" s="109"/>
    </row>
    <row r="392" spans="1:22" ht="20.149999999999999" customHeight="1" x14ac:dyDescent="0.35">
      <c r="A392" s="113"/>
      <c r="B392" s="112"/>
      <c r="C392" s="112"/>
      <c r="D392" s="112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0"/>
      <c r="U392" s="109"/>
      <c r="V392" s="109"/>
    </row>
    <row r="393" spans="1:22" ht="20.149999999999999" customHeight="1" x14ac:dyDescent="0.35">
      <c r="A393" s="113"/>
      <c r="B393" s="112"/>
      <c r="C393" s="112"/>
      <c r="D393" s="112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0"/>
      <c r="U393" s="109"/>
      <c r="V393" s="109"/>
    </row>
    <row r="394" spans="1:22" ht="20.149999999999999" customHeight="1" x14ac:dyDescent="0.35">
      <c r="A394" s="113"/>
      <c r="B394" s="112"/>
      <c r="C394" s="112"/>
      <c r="D394" s="112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0"/>
      <c r="U394" s="109"/>
      <c r="V394" s="109"/>
    </row>
    <row r="395" spans="1:22" ht="20.149999999999999" customHeight="1" x14ac:dyDescent="0.35">
      <c r="A395" s="113"/>
      <c r="B395" s="112"/>
      <c r="C395" s="112"/>
      <c r="D395" s="112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0"/>
      <c r="U395" s="109"/>
      <c r="V395" s="109"/>
    </row>
    <row r="396" spans="1:22" ht="20.149999999999999" customHeight="1" x14ac:dyDescent="0.35">
      <c r="A396" s="113"/>
      <c r="B396" s="112"/>
      <c r="C396" s="112"/>
      <c r="D396" s="112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0"/>
      <c r="U396" s="109"/>
      <c r="V396" s="109"/>
    </row>
    <row r="397" spans="1:22" ht="20.149999999999999" customHeight="1" x14ac:dyDescent="0.35">
      <c r="A397" s="113"/>
      <c r="B397" s="112"/>
      <c r="C397" s="112"/>
      <c r="D397" s="112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0"/>
      <c r="U397" s="109"/>
      <c r="V397" s="109"/>
    </row>
    <row r="398" spans="1:22" ht="20.149999999999999" customHeight="1" x14ac:dyDescent="0.35">
      <c r="A398" s="113"/>
      <c r="B398" s="112"/>
      <c r="C398" s="112"/>
      <c r="D398" s="112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0"/>
      <c r="U398" s="109"/>
      <c r="V398" s="109"/>
    </row>
    <row r="399" spans="1:22" ht="20.149999999999999" customHeight="1" x14ac:dyDescent="0.35">
      <c r="A399" s="113"/>
      <c r="B399" s="112"/>
      <c r="C399" s="112"/>
      <c r="D399" s="112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0"/>
      <c r="U399" s="109"/>
      <c r="V399" s="109"/>
    </row>
    <row r="400" spans="1:22" ht="20.149999999999999" customHeight="1" x14ac:dyDescent="0.35">
      <c r="A400" s="113"/>
      <c r="B400" s="112"/>
      <c r="C400" s="112"/>
      <c r="D400" s="112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0"/>
      <c r="U400" s="109"/>
      <c r="V400" s="109"/>
    </row>
    <row r="401" spans="1:22" ht="20.149999999999999" customHeight="1" x14ac:dyDescent="0.35">
      <c r="A401" s="113"/>
      <c r="B401" s="112"/>
      <c r="C401" s="112"/>
      <c r="D401" s="112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0"/>
      <c r="U401" s="109"/>
      <c r="V401" s="109"/>
    </row>
    <row r="402" spans="1:22" ht="20.149999999999999" customHeight="1" x14ac:dyDescent="0.35">
      <c r="A402" s="113"/>
      <c r="B402" s="112"/>
      <c r="C402" s="112"/>
      <c r="D402" s="112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0"/>
      <c r="U402" s="109"/>
      <c r="V402" s="109"/>
    </row>
    <row r="403" spans="1:22" ht="20.149999999999999" customHeight="1" x14ac:dyDescent="0.35">
      <c r="A403" s="113"/>
      <c r="B403" s="112"/>
      <c r="C403" s="112"/>
      <c r="D403" s="112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0"/>
      <c r="U403" s="109"/>
      <c r="V403" s="109"/>
    </row>
    <row r="404" spans="1:22" ht="20.149999999999999" customHeight="1" x14ac:dyDescent="0.35">
      <c r="A404" s="113"/>
      <c r="B404" s="112"/>
      <c r="C404" s="112"/>
      <c r="D404" s="112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0"/>
      <c r="U404" s="109"/>
      <c r="V404" s="109"/>
    </row>
    <row r="405" spans="1:22" ht="20.149999999999999" customHeight="1" x14ac:dyDescent="0.35">
      <c r="A405" s="113"/>
      <c r="B405" s="112"/>
      <c r="C405" s="112"/>
      <c r="D405" s="112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0"/>
      <c r="U405" s="109"/>
      <c r="V405" s="109"/>
    </row>
    <row r="406" spans="1:22" ht="20.149999999999999" customHeight="1" x14ac:dyDescent="0.35">
      <c r="A406" s="113"/>
      <c r="B406" s="112"/>
      <c r="C406" s="112"/>
      <c r="D406" s="112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0"/>
      <c r="U406" s="109"/>
      <c r="V406" s="109"/>
    </row>
    <row r="407" spans="1:22" ht="20.149999999999999" customHeight="1" x14ac:dyDescent="0.35">
      <c r="A407" s="113"/>
      <c r="B407" s="112"/>
      <c r="C407" s="112"/>
      <c r="D407" s="112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0"/>
      <c r="U407" s="109"/>
      <c r="V407" s="109"/>
    </row>
    <row r="408" spans="1:22" ht="20.149999999999999" customHeight="1" x14ac:dyDescent="0.35">
      <c r="A408" s="113"/>
      <c r="B408" s="112"/>
      <c r="C408" s="112"/>
      <c r="D408" s="112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0"/>
      <c r="U408" s="109"/>
      <c r="V408" s="109"/>
    </row>
    <row r="409" spans="1:22" ht="20.149999999999999" customHeight="1" x14ac:dyDescent="0.35">
      <c r="A409" s="113"/>
      <c r="B409" s="112"/>
      <c r="C409" s="112"/>
      <c r="D409" s="112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0"/>
      <c r="U409" s="109"/>
      <c r="V409" s="109"/>
    </row>
    <row r="410" spans="1:22" ht="20.149999999999999" customHeight="1" x14ac:dyDescent="0.35">
      <c r="A410" s="113"/>
      <c r="B410" s="112"/>
      <c r="C410" s="112"/>
      <c r="D410" s="112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0"/>
      <c r="U410" s="109"/>
      <c r="V410" s="109"/>
    </row>
    <row r="411" spans="1:22" ht="20.149999999999999" customHeight="1" x14ac:dyDescent="0.35">
      <c r="A411" s="113"/>
      <c r="B411" s="112"/>
      <c r="C411" s="112"/>
      <c r="D411" s="112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0"/>
      <c r="U411" s="109"/>
      <c r="V411" s="109"/>
    </row>
    <row r="412" spans="1:22" ht="20.149999999999999" customHeight="1" x14ac:dyDescent="0.35">
      <c r="A412" s="113"/>
      <c r="B412" s="112"/>
      <c r="C412" s="112"/>
      <c r="D412" s="112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0"/>
      <c r="U412" s="109"/>
      <c r="V412" s="109"/>
    </row>
    <row r="413" spans="1:22" ht="20.149999999999999" customHeight="1" x14ac:dyDescent="0.35">
      <c r="A413" s="113"/>
      <c r="B413" s="112"/>
      <c r="C413" s="112"/>
      <c r="D413" s="112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0"/>
      <c r="U413" s="109"/>
      <c r="V413" s="109"/>
    </row>
    <row r="414" spans="1:22" ht="20.149999999999999" customHeight="1" x14ac:dyDescent="0.35">
      <c r="A414" s="113"/>
      <c r="B414" s="112"/>
      <c r="C414" s="112"/>
      <c r="D414" s="112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0"/>
      <c r="U414" s="109"/>
      <c r="V414" s="109"/>
    </row>
    <row r="415" spans="1:22" ht="20.149999999999999" customHeight="1" x14ac:dyDescent="0.35">
      <c r="A415" s="113"/>
      <c r="B415" s="112"/>
      <c r="C415" s="112"/>
      <c r="D415" s="112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0"/>
      <c r="U415" s="109"/>
      <c r="V415" s="109"/>
    </row>
    <row r="416" spans="1:22" ht="20.149999999999999" customHeight="1" x14ac:dyDescent="0.35">
      <c r="A416" s="113"/>
      <c r="B416" s="112"/>
      <c r="C416" s="112"/>
      <c r="D416" s="112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0"/>
      <c r="U416" s="109"/>
      <c r="V416" s="109"/>
    </row>
    <row r="417" spans="1:22" ht="20.149999999999999" customHeight="1" x14ac:dyDescent="0.35">
      <c r="A417" s="113"/>
      <c r="B417" s="112"/>
      <c r="C417" s="112"/>
      <c r="D417" s="112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0"/>
      <c r="U417" s="109"/>
      <c r="V417" s="109"/>
    </row>
    <row r="418" spans="1:22" ht="20.149999999999999" customHeight="1" x14ac:dyDescent="0.35">
      <c r="A418" s="113"/>
      <c r="B418" s="112"/>
      <c r="C418" s="112"/>
      <c r="D418" s="112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0"/>
      <c r="U418" s="109"/>
      <c r="V418" s="109"/>
    </row>
    <row r="419" spans="1:22" ht="20.149999999999999" customHeight="1" x14ac:dyDescent="0.35">
      <c r="A419" s="113"/>
      <c r="B419" s="112"/>
      <c r="C419" s="112"/>
      <c r="D419" s="112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0"/>
      <c r="U419" s="109"/>
      <c r="V419" s="109"/>
    </row>
    <row r="420" spans="1:22" ht="20.149999999999999" customHeight="1" x14ac:dyDescent="0.35">
      <c r="A420" s="113"/>
      <c r="B420" s="112"/>
      <c r="C420" s="112"/>
      <c r="D420" s="112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0"/>
      <c r="U420" s="109"/>
      <c r="V420" s="109"/>
    </row>
    <row r="421" spans="1:22" ht="20.149999999999999" customHeight="1" x14ac:dyDescent="0.35">
      <c r="A421" s="113"/>
      <c r="B421" s="112"/>
      <c r="C421" s="112"/>
      <c r="D421" s="112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0"/>
      <c r="U421" s="109"/>
      <c r="V421" s="109"/>
    </row>
    <row r="422" spans="1:22" ht="20.149999999999999" customHeight="1" x14ac:dyDescent="0.35">
      <c r="A422" s="113"/>
      <c r="B422" s="112"/>
      <c r="C422" s="112"/>
      <c r="D422" s="112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0"/>
      <c r="U422" s="109"/>
      <c r="V422" s="109"/>
    </row>
    <row r="423" spans="1:22" ht="20.149999999999999" customHeight="1" x14ac:dyDescent="0.35">
      <c r="A423" s="113"/>
      <c r="B423" s="112"/>
      <c r="C423" s="112"/>
      <c r="D423" s="112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0"/>
      <c r="U423" s="109"/>
      <c r="V423" s="109"/>
    </row>
    <row r="424" spans="1:22" ht="20.149999999999999" customHeight="1" x14ac:dyDescent="0.35">
      <c r="A424" s="113"/>
      <c r="B424" s="112"/>
      <c r="C424" s="112"/>
      <c r="D424" s="112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0"/>
      <c r="U424" s="109"/>
      <c r="V424" s="109"/>
    </row>
    <row r="425" spans="1:22" ht="20.149999999999999" customHeight="1" x14ac:dyDescent="0.35">
      <c r="A425" s="113"/>
      <c r="B425" s="112"/>
      <c r="C425" s="112"/>
      <c r="D425" s="112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0"/>
      <c r="U425" s="109"/>
      <c r="V425" s="109"/>
    </row>
    <row r="426" spans="1:22" ht="20.149999999999999" customHeight="1" x14ac:dyDescent="0.35">
      <c r="A426" s="113"/>
      <c r="B426" s="112"/>
      <c r="C426" s="112"/>
      <c r="D426" s="112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0"/>
      <c r="U426" s="109"/>
      <c r="V426" s="109"/>
    </row>
    <row r="427" spans="1:22" ht="20.149999999999999" customHeight="1" x14ac:dyDescent="0.35">
      <c r="A427" s="113"/>
      <c r="B427" s="112"/>
      <c r="C427" s="112"/>
      <c r="D427" s="112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0"/>
      <c r="U427" s="109"/>
      <c r="V427" s="109"/>
    </row>
    <row r="428" spans="1:22" ht="20.149999999999999" customHeight="1" x14ac:dyDescent="0.35">
      <c r="A428" s="113"/>
      <c r="B428" s="112"/>
      <c r="C428" s="112"/>
      <c r="D428" s="112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0"/>
      <c r="U428" s="109"/>
      <c r="V428" s="109"/>
    </row>
    <row r="429" spans="1:22" ht="20.149999999999999" customHeight="1" x14ac:dyDescent="0.35">
      <c r="A429" s="113"/>
      <c r="B429" s="112"/>
      <c r="C429" s="112"/>
      <c r="D429" s="112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0"/>
      <c r="U429" s="109"/>
      <c r="V429" s="109"/>
    </row>
    <row r="430" spans="1:22" ht="20.149999999999999" customHeight="1" x14ac:dyDescent="0.35">
      <c r="A430" s="113"/>
      <c r="B430" s="112"/>
      <c r="C430" s="112"/>
      <c r="D430" s="112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0"/>
      <c r="U430" s="109"/>
      <c r="V430" s="109"/>
    </row>
    <row r="431" spans="1:22" ht="20.149999999999999" customHeight="1" x14ac:dyDescent="0.35">
      <c r="A431" s="113"/>
      <c r="B431" s="112"/>
      <c r="C431" s="112"/>
      <c r="D431" s="112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0"/>
      <c r="U431" s="109"/>
      <c r="V431" s="109"/>
    </row>
    <row r="432" spans="1:22" ht="20.149999999999999" customHeight="1" x14ac:dyDescent="0.35">
      <c r="A432" s="113"/>
      <c r="B432" s="112"/>
      <c r="C432" s="112"/>
      <c r="D432" s="112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0"/>
      <c r="U432" s="109"/>
      <c r="V432" s="109"/>
    </row>
    <row r="433" spans="1:22" ht="20.149999999999999" customHeight="1" x14ac:dyDescent="0.35">
      <c r="A433" s="113"/>
      <c r="B433" s="112"/>
      <c r="C433" s="112"/>
      <c r="D433" s="112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0"/>
      <c r="U433" s="109"/>
      <c r="V433" s="109"/>
    </row>
    <row r="434" spans="1:22" ht="20.149999999999999" customHeight="1" x14ac:dyDescent="0.35">
      <c r="A434" s="113"/>
      <c r="B434" s="112"/>
      <c r="C434" s="112"/>
      <c r="D434" s="112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0"/>
      <c r="U434" s="109"/>
      <c r="V434" s="109"/>
    </row>
    <row r="435" spans="1:22" ht="20.149999999999999" customHeight="1" x14ac:dyDescent="0.35">
      <c r="A435" s="113"/>
      <c r="B435" s="112"/>
      <c r="C435" s="112"/>
      <c r="D435" s="112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0"/>
      <c r="U435" s="109"/>
      <c r="V435" s="109"/>
    </row>
    <row r="436" spans="1:22" ht="20.149999999999999" customHeight="1" x14ac:dyDescent="0.35">
      <c r="A436" s="113"/>
      <c r="B436" s="112"/>
      <c r="C436" s="112"/>
      <c r="D436" s="112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0"/>
      <c r="U436" s="109"/>
      <c r="V436" s="109"/>
    </row>
    <row r="437" spans="1:22" ht="20.149999999999999" customHeight="1" x14ac:dyDescent="0.35">
      <c r="A437" s="113"/>
      <c r="B437" s="112"/>
      <c r="C437" s="112"/>
      <c r="D437" s="112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0"/>
      <c r="U437" s="109"/>
      <c r="V437" s="109"/>
    </row>
    <row r="438" spans="1:22" ht="20.149999999999999" customHeight="1" x14ac:dyDescent="0.35">
      <c r="A438" s="113"/>
      <c r="B438" s="112"/>
      <c r="C438" s="112"/>
      <c r="D438" s="112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0"/>
      <c r="U438" s="109"/>
      <c r="V438" s="109"/>
    </row>
    <row r="439" spans="1:22" ht="20.149999999999999" customHeight="1" x14ac:dyDescent="0.35">
      <c r="A439" s="113"/>
      <c r="B439" s="112"/>
      <c r="C439" s="112"/>
      <c r="D439" s="112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0"/>
      <c r="U439" s="109"/>
      <c r="V439" s="109"/>
    </row>
    <row r="440" spans="1:22" ht="20.149999999999999" customHeight="1" x14ac:dyDescent="0.35">
      <c r="A440" s="113"/>
      <c r="B440" s="112"/>
      <c r="C440" s="112"/>
      <c r="D440" s="112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0"/>
      <c r="U440" s="109"/>
      <c r="V440" s="109"/>
    </row>
    <row r="441" spans="1:22" ht="20.149999999999999" customHeight="1" x14ac:dyDescent="0.35">
      <c r="A441" s="113"/>
      <c r="B441" s="112"/>
      <c r="C441" s="112"/>
      <c r="D441" s="112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0"/>
      <c r="U441" s="109"/>
      <c r="V441" s="109"/>
    </row>
    <row r="442" spans="1:22" ht="20.149999999999999" customHeight="1" x14ac:dyDescent="0.35">
      <c r="A442" s="113"/>
      <c r="B442" s="112"/>
      <c r="C442" s="112"/>
      <c r="D442" s="112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0"/>
      <c r="U442" s="109"/>
      <c r="V442" s="109"/>
    </row>
    <row r="443" spans="1:22" ht="20.149999999999999" customHeight="1" x14ac:dyDescent="0.35">
      <c r="A443" s="113"/>
      <c r="B443" s="112"/>
      <c r="C443" s="112"/>
      <c r="D443" s="112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0"/>
      <c r="U443" s="109"/>
      <c r="V443" s="109"/>
    </row>
    <row r="444" spans="1:22" ht="20.149999999999999" customHeight="1" x14ac:dyDescent="0.35">
      <c r="A444" s="113"/>
      <c r="B444" s="112"/>
      <c r="C444" s="112"/>
      <c r="D444" s="112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0"/>
      <c r="U444" s="109"/>
      <c r="V444" s="109"/>
    </row>
    <row r="445" spans="1:22" ht="20.149999999999999" customHeight="1" x14ac:dyDescent="0.35">
      <c r="A445" s="113"/>
      <c r="B445" s="112"/>
      <c r="C445" s="112"/>
      <c r="D445" s="112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0"/>
      <c r="U445" s="109"/>
      <c r="V445" s="109"/>
    </row>
    <row r="446" spans="1:22" ht="20.149999999999999" customHeight="1" x14ac:dyDescent="0.35">
      <c r="A446" s="113"/>
      <c r="B446" s="112"/>
      <c r="C446" s="112"/>
      <c r="D446" s="112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0"/>
      <c r="U446" s="109"/>
      <c r="V446" s="109"/>
    </row>
    <row r="447" spans="1:22" ht="20.149999999999999" customHeight="1" x14ac:dyDescent="0.35">
      <c r="A447" s="113"/>
      <c r="B447" s="112"/>
      <c r="C447" s="112"/>
      <c r="D447" s="112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0"/>
      <c r="U447" s="109"/>
      <c r="V447" s="109"/>
    </row>
    <row r="448" spans="1:22" ht="20.149999999999999" customHeight="1" x14ac:dyDescent="0.35">
      <c r="A448" s="113"/>
      <c r="B448" s="112"/>
      <c r="C448" s="112"/>
      <c r="D448" s="112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0"/>
      <c r="U448" s="109"/>
      <c r="V448" s="109"/>
    </row>
    <row r="449" spans="1:22" ht="20.149999999999999" customHeight="1" x14ac:dyDescent="0.35">
      <c r="A449" s="113"/>
      <c r="B449" s="112"/>
      <c r="C449" s="112"/>
      <c r="D449" s="112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0"/>
      <c r="U449" s="109"/>
      <c r="V449" s="109"/>
    </row>
    <row r="450" spans="1:22" ht="20.149999999999999" customHeight="1" x14ac:dyDescent="0.35">
      <c r="A450" s="113"/>
      <c r="B450" s="112"/>
      <c r="C450" s="112"/>
      <c r="D450" s="112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0"/>
      <c r="U450" s="109"/>
      <c r="V450" s="109"/>
    </row>
    <row r="451" spans="1:22" ht="20.149999999999999" customHeight="1" x14ac:dyDescent="0.35">
      <c r="A451" s="113"/>
      <c r="B451" s="112"/>
      <c r="C451" s="112"/>
      <c r="D451" s="112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0"/>
      <c r="U451" s="109"/>
      <c r="V451" s="109"/>
    </row>
    <row r="452" spans="1:22" ht="20.149999999999999" customHeight="1" x14ac:dyDescent="0.35">
      <c r="A452" s="113"/>
      <c r="B452" s="112"/>
      <c r="C452" s="112"/>
      <c r="D452" s="112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0"/>
      <c r="U452" s="109"/>
      <c r="V452" s="109"/>
    </row>
    <row r="453" spans="1:22" ht="20.149999999999999" customHeight="1" x14ac:dyDescent="0.35">
      <c r="A453" s="113"/>
      <c r="B453" s="112"/>
      <c r="C453" s="112"/>
      <c r="D453" s="112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0"/>
      <c r="U453" s="109"/>
      <c r="V453" s="109"/>
    </row>
    <row r="454" spans="1:22" ht="20.149999999999999" customHeight="1" x14ac:dyDescent="0.35">
      <c r="A454" s="113"/>
      <c r="B454" s="112"/>
      <c r="C454" s="112"/>
      <c r="D454" s="112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0"/>
      <c r="U454" s="109"/>
      <c r="V454" s="109"/>
    </row>
    <row r="455" spans="1:22" ht="20.149999999999999" customHeight="1" x14ac:dyDescent="0.35">
      <c r="A455" s="113"/>
      <c r="B455" s="112"/>
      <c r="C455" s="112"/>
      <c r="D455" s="112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0"/>
      <c r="U455" s="109"/>
      <c r="V455" s="109"/>
    </row>
    <row r="456" spans="1:22" ht="20.149999999999999" customHeight="1" x14ac:dyDescent="0.35">
      <c r="A456" s="113"/>
      <c r="B456" s="112"/>
      <c r="C456" s="112"/>
      <c r="D456" s="112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0"/>
      <c r="U456" s="109"/>
      <c r="V456" s="109"/>
    </row>
    <row r="457" spans="1:22" ht="20.149999999999999" customHeight="1" x14ac:dyDescent="0.35">
      <c r="A457" s="113"/>
      <c r="B457" s="112"/>
      <c r="C457" s="112"/>
      <c r="D457" s="112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0"/>
      <c r="U457" s="109"/>
      <c r="V457" s="109"/>
    </row>
    <row r="458" spans="1:22" ht="20.149999999999999" customHeight="1" x14ac:dyDescent="0.35">
      <c r="A458" s="113"/>
      <c r="B458" s="112"/>
      <c r="C458" s="112"/>
      <c r="D458" s="112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0"/>
      <c r="U458" s="109"/>
      <c r="V458" s="109"/>
    </row>
    <row r="459" spans="1:22" ht="20.149999999999999" customHeight="1" x14ac:dyDescent="0.35">
      <c r="A459" s="113"/>
      <c r="B459" s="112"/>
      <c r="C459" s="112"/>
      <c r="D459" s="112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0"/>
      <c r="U459" s="109"/>
      <c r="V459" s="109"/>
    </row>
    <row r="460" spans="1:22" ht="20.149999999999999" customHeight="1" x14ac:dyDescent="0.35">
      <c r="A460" s="113"/>
      <c r="B460" s="112"/>
      <c r="C460" s="112"/>
      <c r="D460" s="112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0"/>
      <c r="U460" s="109"/>
      <c r="V460" s="109"/>
    </row>
    <row r="461" spans="1:22" ht="20.149999999999999" customHeight="1" x14ac:dyDescent="0.35">
      <c r="A461" s="113"/>
      <c r="B461" s="112"/>
      <c r="C461" s="112"/>
      <c r="D461" s="112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0"/>
      <c r="U461" s="109"/>
      <c r="V461" s="109"/>
    </row>
    <row r="462" spans="1:22" ht="20.149999999999999" customHeight="1" x14ac:dyDescent="0.35">
      <c r="A462" s="113"/>
      <c r="B462" s="112"/>
      <c r="C462" s="112"/>
      <c r="D462" s="112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0"/>
      <c r="U462" s="109"/>
      <c r="V462" s="109"/>
    </row>
    <row r="463" spans="1:22" ht="20.149999999999999" customHeight="1" x14ac:dyDescent="0.35">
      <c r="A463" s="113"/>
      <c r="B463" s="112"/>
      <c r="C463" s="112"/>
      <c r="D463" s="112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0"/>
      <c r="U463" s="109"/>
      <c r="V463" s="109"/>
    </row>
    <row r="464" spans="1:22" ht="20.149999999999999" customHeight="1" x14ac:dyDescent="0.35">
      <c r="A464" s="113"/>
      <c r="B464" s="112"/>
      <c r="C464" s="112"/>
      <c r="D464" s="112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0"/>
      <c r="U464" s="109"/>
      <c r="V464" s="109"/>
    </row>
    <row r="465" spans="1:22" ht="20.149999999999999" customHeight="1" x14ac:dyDescent="0.35">
      <c r="A465" s="113"/>
      <c r="B465" s="112"/>
      <c r="C465" s="112"/>
      <c r="D465" s="112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0"/>
      <c r="U465" s="109"/>
      <c r="V465" s="109"/>
    </row>
    <row r="466" spans="1:22" ht="20.149999999999999" customHeight="1" x14ac:dyDescent="0.35">
      <c r="A466" s="113"/>
      <c r="B466" s="112"/>
      <c r="C466" s="112"/>
      <c r="D466" s="112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0"/>
      <c r="U466" s="109"/>
      <c r="V466" s="109"/>
    </row>
    <row r="467" spans="1:22" ht="20.149999999999999" customHeight="1" x14ac:dyDescent="0.35">
      <c r="A467" s="113"/>
      <c r="B467" s="112"/>
      <c r="C467" s="112"/>
      <c r="D467" s="112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0"/>
      <c r="U467" s="109"/>
      <c r="V467" s="109"/>
    </row>
    <row r="468" spans="1:22" ht="20.149999999999999" customHeight="1" x14ac:dyDescent="0.35">
      <c r="A468" s="113"/>
      <c r="B468" s="112"/>
      <c r="C468" s="112"/>
      <c r="D468" s="112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0"/>
      <c r="U468" s="109"/>
      <c r="V468" s="109"/>
    </row>
    <row r="469" spans="1:22" ht="20.149999999999999" customHeight="1" x14ac:dyDescent="0.35">
      <c r="A469" s="113"/>
      <c r="B469" s="112"/>
      <c r="C469" s="112"/>
      <c r="D469" s="112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0"/>
      <c r="U469" s="109"/>
      <c r="V469" s="109"/>
    </row>
    <row r="470" spans="1:22" ht="20.149999999999999" customHeight="1" x14ac:dyDescent="0.35">
      <c r="A470" s="113"/>
      <c r="B470" s="112"/>
      <c r="C470" s="112"/>
      <c r="D470" s="112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0"/>
      <c r="U470" s="109"/>
      <c r="V470" s="109"/>
    </row>
    <row r="471" spans="1:22" ht="20.149999999999999" customHeight="1" x14ac:dyDescent="0.35">
      <c r="A471" s="113"/>
      <c r="B471" s="112"/>
      <c r="C471" s="112"/>
      <c r="D471" s="112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0"/>
      <c r="U471" s="109"/>
      <c r="V471" s="109"/>
    </row>
    <row r="472" spans="1:22" ht="20.149999999999999" customHeight="1" x14ac:dyDescent="0.35">
      <c r="A472" s="113"/>
      <c r="B472" s="112"/>
      <c r="C472" s="112"/>
      <c r="D472" s="112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0"/>
      <c r="U472" s="109"/>
      <c r="V472" s="109"/>
    </row>
    <row r="473" spans="1:22" ht="20.149999999999999" customHeight="1" x14ac:dyDescent="0.35">
      <c r="A473" s="113"/>
      <c r="B473" s="112"/>
      <c r="C473" s="112"/>
      <c r="D473" s="112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0"/>
      <c r="U473" s="109"/>
      <c r="V473" s="109"/>
    </row>
    <row r="474" spans="1:22" ht="20.149999999999999" customHeight="1" x14ac:dyDescent="0.35">
      <c r="A474" s="113"/>
      <c r="B474" s="112"/>
      <c r="C474" s="112"/>
      <c r="D474" s="112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0"/>
      <c r="U474" s="109"/>
      <c r="V474" s="109"/>
    </row>
    <row r="475" spans="1:22" ht="20.149999999999999" customHeight="1" x14ac:dyDescent="0.35">
      <c r="A475" s="113"/>
      <c r="B475" s="112"/>
      <c r="C475" s="112"/>
      <c r="D475" s="112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0"/>
      <c r="U475" s="109"/>
      <c r="V475" s="109"/>
    </row>
    <row r="476" spans="1:22" ht="20.149999999999999" customHeight="1" x14ac:dyDescent="0.35">
      <c r="A476" s="113"/>
      <c r="B476" s="112"/>
      <c r="C476" s="112"/>
      <c r="D476" s="112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0"/>
      <c r="U476" s="109"/>
      <c r="V476" s="109"/>
    </row>
    <row r="477" spans="1:22" ht="20.149999999999999" customHeight="1" x14ac:dyDescent="0.35">
      <c r="A477" s="113"/>
      <c r="B477" s="112"/>
      <c r="C477" s="112"/>
      <c r="D477" s="112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0"/>
      <c r="U477" s="109"/>
      <c r="V477" s="109"/>
    </row>
    <row r="478" spans="1:22" ht="20.149999999999999" customHeight="1" x14ac:dyDescent="0.35">
      <c r="A478" s="113"/>
      <c r="B478" s="112"/>
      <c r="C478" s="112"/>
      <c r="D478" s="112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0"/>
      <c r="U478" s="109"/>
      <c r="V478" s="109"/>
    </row>
    <row r="479" spans="1:22" ht="20.149999999999999" customHeight="1" x14ac:dyDescent="0.35">
      <c r="A479" s="113"/>
      <c r="B479" s="112"/>
      <c r="C479" s="112"/>
      <c r="D479" s="112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0"/>
      <c r="U479" s="109"/>
      <c r="V479" s="109"/>
    </row>
    <row r="480" spans="1:22" ht="20.149999999999999" customHeight="1" x14ac:dyDescent="0.35">
      <c r="A480" s="113"/>
      <c r="B480" s="112"/>
      <c r="C480" s="112"/>
      <c r="D480" s="112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0"/>
      <c r="U480" s="109"/>
      <c r="V480" s="109"/>
    </row>
    <row r="481" spans="1:22" ht="20.149999999999999" customHeight="1" x14ac:dyDescent="0.35">
      <c r="A481" s="113"/>
      <c r="B481" s="112"/>
      <c r="C481" s="112"/>
      <c r="D481" s="112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0"/>
      <c r="U481" s="109"/>
      <c r="V481" s="109"/>
    </row>
    <row r="482" spans="1:22" ht="20.149999999999999" customHeight="1" x14ac:dyDescent="0.35">
      <c r="A482" s="113"/>
      <c r="B482" s="112"/>
      <c r="C482" s="112"/>
      <c r="D482" s="112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0"/>
      <c r="U482" s="109"/>
      <c r="V482" s="109"/>
    </row>
    <row r="483" spans="1:22" ht="20.149999999999999" customHeight="1" x14ac:dyDescent="0.35">
      <c r="A483" s="113"/>
      <c r="B483" s="112"/>
      <c r="C483" s="112"/>
      <c r="D483" s="112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0"/>
      <c r="U483" s="109"/>
      <c r="V483" s="109"/>
    </row>
    <row r="484" spans="1:22" ht="20.149999999999999" customHeight="1" x14ac:dyDescent="0.35">
      <c r="A484" s="113"/>
      <c r="B484" s="112"/>
      <c r="C484" s="112"/>
      <c r="D484" s="112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0"/>
      <c r="U484" s="109"/>
      <c r="V484" s="109"/>
    </row>
    <row r="485" spans="1:22" ht="20.149999999999999" customHeight="1" x14ac:dyDescent="0.35">
      <c r="A485" s="113"/>
      <c r="B485" s="112"/>
      <c r="C485" s="112"/>
      <c r="D485" s="112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0"/>
      <c r="U485" s="109"/>
      <c r="V485" s="109"/>
    </row>
    <row r="486" spans="1:22" ht="20.149999999999999" customHeight="1" x14ac:dyDescent="0.35">
      <c r="A486" s="113"/>
      <c r="B486" s="112"/>
      <c r="C486" s="112"/>
      <c r="D486" s="112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0"/>
      <c r="U486" s="109"/>
      <c r="V486" s="109"/>
    </row>
    <row r="487" spans="1:22" ht="20.149999999999999" customHeight="1" x14ac:dyDescent="0.35">
      <c r="A487" s="113"/>
      <c r="B487" s="112"/>
      <c r="C487" s="112"/>
      <c r="D487" s="112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0"/>
      <c r="U487" s="109"/>
      <c r="V487" s="109"/>
    </row>
    <row r="488" spans="1:22" ht="20.149999999999999" customHeight="1" x14ac:dyDescent="0.35">
      <c r="A488" s="113"/>
      <c r="B488" s="112"/>
      <c r="C488" s="112"/>
      <c r="D488" s="112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0"/>
      <c r="U488" s="109"/>
      <c r="V488" s="109"/>
    </row>
    <row r="489" spans="1:22" ht="20.149999999999999" customHeight="1" x14ac:dyDescent="0.35">
      <c r="A489" s="113"/>
      <c r="B489" s="112"/>
      <c r="C489" s="112"/>
      <c r="D489" s="112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0"/>
      <c r="U489" s="109"/>
      <c r="V489" s="109"/>
    </row>
    <row r="490" spans="1:22" ht="20.149999999999999" customHeight="1" x14ac:dyDescent="0.35">
      <c r="A490" s="113"/>
      <c r="B490" s="112"/>
      <c r="C490" s="112"/>
      <c r="D490" s="112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0"/>
      <c r="U490" s="109"/>
      <c r="V490" s="109"/>
    </row>
    <row r="491" spans="1:22" ht="20.149999999999999" customHeight="1" x14ac:dyDescent="0.35">
      <c r="A491" s="113"/>
      <c r="B491" s="112"/>
      <c r="C491" s="112"/>
      <c r="D491" s="112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0"/>
      <c r="U491" s="109"/>
      <c r="V491" s="109"/>
    </row>
    <row r="492" spans="1:22" ht="20.149999999999999" customHeight="1" x14ac:dyDescent="0.35">
      <c r="A492" s="113"/>
      <c r="B492" s="112"/>
      <c r="C492" s="112"/>
      <c r="D492" s="112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0"/>
      <c r="U492" s="109"/>
      <c r="V492" s="109"/>
    </row>
    <row r="493" spans="1:22" ht="20.149999999999999" customHeight="1" x14ac:dyDescent="0.35">
      <c r="A493" s="113"/>
      <c r="B493" s="112"/>
      <c r="C493" s="112"/>
      <c r="D493" s="112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0"/>
      <c r="U493" s="109"/>
      <c r="V493" s="109"/>
    </row>
    <row r="494" spans="1:22" ht="20.149999999999999" customHeight="1" x14ac:dyDescent="0.35">
      <c r="A494" s="113"/>
      <c r="B494" s="112"/>
      <c r="C494" s="112"/>
      <c r="D494" s="112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0"/>
      <c r="U494" s="109"/>
      <c r="V494" s="109"/>
    </row>
    <row r="495" spans="1:22" ht="20.149999999999999" customHeight="1" x14ac:dyDescent="0.35">
      <c r="A495" s="113"/>
      <c r="B495" s="112"/>
      <c r="C495" s="112"/>
      <c r="D495" s="112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0"/>
      <c r="U495" s="109"/>
      <c r="V495" s="109"/>
    </row>
    <row r="496" spans="1:22" ht="20.149999999999999" customHeight="1" x14ac:dyDescent="0.35">
      <c r="A496" s="113"/>
      <c r="B496" s="112"/>
      <c r="C496" s="112"/>
      <c r="D496" s="112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0"/>
      <c r="U496" s="109"/>
      <c r="V496" s="109"/>
    </row>
    <row r="497" spans="1:22" ht="20.149999999999999" customHeight="1" x14ac:dyDescent="0.35">
      <c r="A497" s="113"/>
      <c r="B497" s="112"/>
      <c r="C497" s="112"/>
      <c r="D497" s="112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0"/>
      <c r="U497" s="109"/>
      <c r="V497" s="109"/>
    </row>
    <row r="498" spans="1:22" ht="20.149999999999999" customHeight="1" x14ac:dyDescent="0.35">
      <c r="A498" s="113"/>
      <c r="B498" s="112"/>
      <c r="C498" s="112"/>
      <c r="D498" s="112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0"/>
      <c r="U498" s="109"/>
      <c r="V498" s="109"/>
    </row>
    <row r="499" spans="1:22" ht="20.149999999999999" customHeight="1" x14ac:dyDescent="0.35">
      <c r="A499" s="113"/>
      <c r="B499" s="112"/>
      <c r="C499" s="112"/>
      <c r="D499" s="112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0"/>
      <c r="U499" s="109"/>
      <c r="V499" s="109"/>
    </row>
    <row r="500" spans="1:22" ht="20.149999999999999" customHeight="1" x14ac:dyDescent="0.35">
      <c r="A500" s="113"/>
      <c r="B500" s="112"/>
      <c r="C500" s="112"/>
      <c r="D500" s="112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0"/>
      <c r="U500" s="109"/>
      <c r="V500" s="109"/>
    </row>
    <row r="501" spans="1:22" ht="20.149999999999999" customHeight="1" x14ac:dyDescent="0.35">
      <c r="A501" s="113"/>
      <c r="B501" s="112"/>
      <c r="C501" s="112"/>
      <c r="D501" s="112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0"/>
      <c r="U501" s="109"/>
      <c r="V501" s="109"/>
    </row>
    <row r="502" spans="1:22" ht="20.149999999999999" customHeight="1" x14ac:dyDescent="0.35">
      <c r="A502" s="113"/>
      <c r="B502" s="112"/>
      <c r="C502" s="112"/>
      <c r="D502" s="112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0"/>
      <c r="U502" s="109"/>
      <c r="V502" s="109"/>
    </row>
    <row r="503" spans="1:22" ht="20.149999999999999" customHeight="1" x14ac:dyDescent="0.35">
      <c r="A503" s="113"/>
      <c r="B503" s="112"/>
      <c r="C503" s="112"/>
      <c r="D503" s="112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0"/>
      <c r="U503" s="109"/>
      <c r="V503" s="109"/>
    </row>
    <row r="504" spans="1:22" ht="20.149999999999999" customHeight="1" x14ac:dyDescent="0.35">
      <c r="A504" s="113"/>
      <c r="B504" s="112"/>
      <c r="C504" s="112"/>
      <c r="D504" s="112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0"/>
      <c r="U504" s="109"/>
      <c r="V504" s="109"/>
    </row>
    <row r="505" spans="1:22" ht="20.149999999999999" customHeight="1" x14ac:dyDescent="0.35">
      <c r="A505" s="113"/>
      <c r="B505" s="112"/>
      <c r="C505" s="112"/>
      <c r="D505" s="112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0"/>
      <c r="U505" s="109"/>
      <c r="V505" s="109"/>
    </row>
    <row r="506" spans="1:22" ht="20.149999999999999" customHeight="1" x14ac:dyDescent="0.35">
      <c r="A506" s="113"/>
      <c r="B506" s="112"/>
      <c r="C506" s="112"/>
      <c r="D506" s="112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0"/>
      <c r="U506" s="109"/>
      <c r="V506" s="109"/>
    </row>
    <row r="507" spans="1:22" ht="20.149999999999999" customHeight="1" x14ac:dyDescent="0.35">
      <c r="A507" s="113"/>
      <c r="B507" s="112"/>
      <c r="C507" s="112"/>
      <c r="D507" s="112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0"/>
      <c r="U507" s="109"/>
      <c r="V507" s="109"/>
    </row>
    <row r="508" spans="1:22" ht="20.149999999999999" customHeight="1" x14ac:dyDescent="0.35">
      <c r="A508" s="113"/>
      <c r="B508" s="112"/>
      <c r="C508" s="112"/>
      <c r="D508" s="112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0"/>
      <c r="U508" s="109"/>
      <c r="V508" s="109"/>
    </row>
    <row r="509" spans="1:22" ht="20.149999999999999" customHeight="1" x14ac:dyDescent="0.35">
      <c r="A509" s="113"/>
      <c r="B509" s="112"/>
      <c r="C509" s="112"/>
      <c r="D509" s="112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0"/>
      <c r="U509" s="109"/>
      <c r="V509" s="109"/>
    </row>
    <row r="510" spans="1:22" ht="20.149999999999999" customHeight="1" x14ac:dyDescent="0.35">
      <c r="A510" s="113"/>
      <c r="B510" s="112"/>
      <c r="C510" s="112"/>
      <c r="D510" s="112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0"/>
      <c r="U510" s="109"/>
      <c r="V510" s="109"/>
    </row>
    <row r="511" spans="1:22" ht="20.149999999999999" customHeight="1" x14ac:dyDescent="0.35">
      <c r="A511" s="113"/>
      <c r="B511" s="112"/>
      <c r="C511" s="112"/>
      <c r="D511" s="112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0"/>
      <c r="U511" s="109"/>
      <c r="V511" s="109"/>
    </row>
    <row r="512" spans="1:22" ht="20.149999999999999" customHeight="1" x14ac:dyDescent="0.35">
      <c r="A512" s="113"/>
      <c r="B512" s="112"/>
      <c r="C512" s="112"/>
      <c r="D512" s="112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0"/>
      <c r="U512" s="109"/>
      <c r="V512" s="109"/>
    </row>
    <row r="513" spans="1:22" ht="20.149999999999999" customHeight="1" x14ac:dyDescent="0.35">
      <c r="A513" s="113"/>
      <c r="B513" s="112"/>
      <c r="C513" s="112"/>
      <c r="D513" s="112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0"/>
      <c r="U513" s="109"/>
      <c r="V513" s="109"/>
    </row>
    <row r="514" spans="1:22" ht="20.149999999999999" customHeight="1" x14ac:dyDescent="0.35">
      <c r="A514" s="113"/>
      <c r="B514" s="112"/>
      <c r="C514" s="112"/>
      <c r="D514" s="112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0"/>
      <c r="U514" s="109"/>
      <c r="V514" s="109"/>
    </row>
    <row r="515" spans="1:22" ht="20.149999999999999" customHeight="1" x14ac:dyDescent="0.35">
      <c r="A515" s="113"/>
      <c r="B515" s="112"/>
      <c r="C515" s="112"/>
      <c r="D515" s="112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0"/>
      <c r="U515" s="109"/>
      <c r="V515" s="109"/>
    </row>
    <row r="516" spans="1:22" ht="20.149999999999999" customHeight="1" x14ac:dyDescent="0.35">
      <c r="A516" s="113"/>
      <c r="B516" s="112"/>
      <c r="C516" s="112"/>
      <c r="D516" s="112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0"/>
      <c r="U516" s="109"/>
      <c r="V516" s="109"/>
    </row>
    <row r="517" spans="1:22" ht="20.149999999999999" customHeight="1" x14ac:dyDescent="0.35">
      <c r="A517" s="113"/>
      <c r="B517" s="112"/>
      <c r="C517" s="112"/>
      <c r="D517" s="112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0"/>
      <c r="U517" s="109"/>
      <c r="V517" s="109"/>
    </row>
    <row r="518" spans="1:22" ht="20.149999999999999" customHeight="1" x14ac:dyDescent="0.35">
      <c r="A518" s="113"/>
      <c r="B518" s="112"/>
      <c r="C518" s="112"/>
      <c r="D518" s="112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0"/>
      <c r="U518" s="109"/>
      <c r="V518" s="109"/>
    </row>
    <row r="519" spans="1:22" ht="20.149999999999999" customHeight="1" x14ac:dyDescent="0.35">
      <c r="A519" s="113"/>
      <c r="B519" s="112"/>
      <c r="C519" s="112"/>
      <c r="D519" s="112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0"/>
      <c r="U519" s="109"/>
      <c r="V519" s="109"/>
    </row>
    <row r="520" spans="1:22" ht="20.149999999999999" customHeight="1" x14ac:dyDescent="0.35">
      <c r="A520" s="113"/>
      <c r="B520" s="112"/>
      <c r="C520" s="112"/>
      <c r="D520" s="112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0"/>
      <c r="U520" s="109"/>
      <c r="V520" s="109"/>
    </row>
    <row r="521" spans="1:22" ht="20.149999999999999" customHeight="1" x14ac:dyDescent="0.35">
      <c r="A521" s="113"/>
      <c r="B521" s="112"/>
      <c r="C521" s="112"/>
      <c r="D521" s="112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0"/>
      <c r="U521" s="109"/>
      <c r="V521" s="109"/>
    </row>
    <row r="522" spans="1:22" ht="20.149999999999999" customHeight="1" x14ac:dyDescent="0.35">
      <c r="A522" s="113"/>
      <c r="B522" s="112"/>
      <c r="C522" s="112"/>
      <c r="D522" s="112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0"/>
      <c r="U522" s="109"/>
      <c r="V522" s="109"/>
    </row>
    <row r="523" spans="1:22" ht="20.149999999999999" customHeight="1" x14ac:dyDescent="0.35">
      <c r="A523" s="113"/>
      <c r="B523" s="112"/>
      <c r="C523" s="112"/>
      <c r="D523" s="112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0"/>
      <c r="U523" s="109"/>
      <c r="V523" s="109"/>
    </row>
    <row r="524" spans="1:22" ht="20.149999999999999" customHeight="1" x14ac:dyDescent="0.35">
      <c r="A524" s="113"/>
      <c r="B524" s="112"/>
      <c r="C524" s="112"/>
      <c r="D524" s="112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0"/>
      <c r="U524" s="109"/>
      <c r="V524" s="109"/>
    </row>
    <row r="525" spans="1:22" ht="20.149999999999999" customHeight="1" x14ac:dyDescent="0.35">
      <c r="A525" s="113"/>
      <c r="B525" s="112"/>
      <c r="C525" s="112"/>
      <c r="D525" s="112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0"/>
      <c r="U525" s="109"/>
      <c r="V525" s="109"/>
    </row>
    <row r="526" spans="1:22" ht="20.149999999999999" customHeight="1" x14ac:dyDescent="0.35">
      <c r="A526" s="113"/>
      <c r="B526" s="112"/>
      <c r="C526" s="112"/>
      <c r="D526" s="112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0"/>
      <c r="U526" s="109"/>
      <c r="V526" s="109"/>
    </row>
    <row r="527" spans="1:22" ht="20.149999999999999" customHeight="1" x14ac:dyDescent="0.35">
      <c r="A527" s="113"/>
      <c r="B527" s="112"/>
      <c r="C527" s="112"/>
      <c r="D527" s="112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0"/>
      <c r="U527" s="109"/>
      <c r="V527" s="109"/>
    </row>
    <row r="528" spans="1:22" ht="20.149999999999999" customHeight="1" x14ac:dyDescent="0.35">
      <c r="A528" s="113"/>
      <c r="B528" s="112"/>
      <c r="C528" s="112"/>
      <c r="D528" s="112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0"/>
      <c r="U528" s="109"/>
      <c r="V528" s="109"/>
    </row>
    <row r="529" spans="1:22" ht="20.149999999999999" customHeight="1" x14ac:dyDescent="0.35">
      <c r="A529" s="113"/>
      <c r="B529" s="112"/>
      <c r="C529" s="112"/>
      <c r="D529" s="112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0"/>
      <c r="U529" s="109"/>
      <c r="V529" s="109"/>
    </row>
    <row r="530" spans="1:22" ht="20.149999999999999" customHeight="1" x14ac:dyDescent="0.35">
      <c r="A530" s="113"/>
      <c r="B530" s="112"/>
      <c r="C530" s="112"/>
      <c r="D530" s="112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0"/>
      <c r="U530" s="109"/>
      <c r="V530" s="109"/>
    </row>
    <row r="531" spans="1:22" ht="20.149999999999999" customHeight="1" x14ac:dyDescent="0.35">
      <c r="A531" s="113"/>
      <c r="B531" s="112"/>
      <c r="C531" s="112"/>
      <c r="D531" s="112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0"/>
      <c r="U531" s="109"/>
      <c r="V531" s="109"/>
    </row>
    <row r="532" spans="1:22" ht="20.149999999999999" customHeight="1" x14ac:dyDescent="0.35">
      <c r="A532" s="113"/>
      <c r="B532" s="112"/>
      <c r="C532" s="112"/>
      <c r="D532" s="112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0"/>
      <c r="U532" s="109"/>
      <c r="V532" s="109"/>
    </row>
    <row r="533" spans="1:22" ht="20.149999999999999" customHeight="1" x14ac:dyDescent="0.35">
      <c r="A533" s="113"/>
      <c r="B533" s="112"/>
      <c r="C533" s="112"/>
      <c r="D533" s="112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0"/>
      <c r="U533" s="109"/>
      <c r="V533" s="109"/>
    </row>
    <row r="534" spans="1:22" ht="20.149999999999999" customHeight="1" x14ac:dyDescent="0.35">
      <c r="A534" s="113"/>
      <c r="B534" s="112"/>
      <c r="C534" s="112"/>
      <c r="D534" s="112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0"/>
      <c r="U534" s="109"/>
      <c r="V534" s="109"/>
    </row>
    <row r="535" spans="1:22" ht="20.149999999999999" customHeight="1" x14ac:dyDescent="0.35">
      <c r="A535" s="113"/>
      <c r="B535" s="112"/>
      <c r="C535" s="112"/>
      <c r="D535" s="112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0"/>
      <c r="U535" s="109"/>
      <c r="V535" s="109"/>
    </row>
    <row r="536" spans="1:22" ht="20.149999999999999" customHeight="1" x14ac:dyDescent="0.35">
      <c r="A536" s="113"/>
      <c r="B536" s="112"/>
      <c r="C536" s="112"/>
      <c r="D536" s="112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0"/>
      <c r="U536" s="109"/>
      <c r="V536" s="109"/>
    </row>
    <row r="537" spans="1:22" ht="20.149999999999999" customHeight="1" x14ac:dyDescent="0.35">
      <c r="A537" s="113"/>
      <c r="B537" s="112"/>
      <c r="C537" s="112"/>
      <c r="D537" s="112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0"/>
      <c r="U537" s="109"/>
      <c r="V537" s="109"/>
    </row>
    <row r="538" spans="1:22" ht="20.149999999999999" customHeight="1" x14ac:dyDescent="0.35">
      <c r="A538" s="113"/>
      <c r="B538" s="112"/>
      <c r="C538" s="112"/>
      <c r="D538" s="112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0"/>
      <c r="U538" s="109"/>
      <c r="V538" s="109"/>
    </row>
    <row r="539" spans="1:22" ht="20.149999999999999" customHeight="1" x14ac:dyDescent="0.35">
      <c r="A539" s="113"/>
      <c r="B539" s="112"/>
      <c r="C539" s="112"/>
      <c r="D539" s="112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0"/>
      <c r="U539" s="109"/>
      <c r="V539" s="109"/>
    </row>
    <row r="540" spans="1:22" ht="20.149999999999999" customHeight="1" x14ac:dyDescent="0.35">
      <c r="A540" s="113"/>
      <c r="B540" s="112"/>
      <c r="C540" s="112"/>
      <c r="D540" s="112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0"/>
      <c r="U540" s="109"/>
      <c r="V540" s="109"/>
    </row>
    <row r="541" spans="1:22" ht="20.149999999999999" customHeight="1" x14ac:dyDescent="0.35">
      <c r="A541" s="113"/>
      <c r="B541" s="112"/>
      <c r="C541" s="112"/>
      <c r="D541" s="112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0"/>
      <c r="U541" s="109"/>
      <c r="V541" s="109"/>
    </row>
    <row r="542" spans="1:22" ht="20.149999999999999" customHeight="1" x14ac:dyDescent="0.35">
      <c r="A542" s="113"/>
      <c r="B542" s="112"/>
      <c r="C542" s="112"/>
      <c r="D542" s="112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0"/>
      <c r="U542" s="109"/>
      <c r="V542" s="109"/>
    </row>
    <row r="543" spans="1:22" ht="20.149999999999999" customHeight="1" x14ac:dyDescent="0.35">
      <c r="A543" s="113"/>
      <c r="B543" s="112"/>
      <c r="C543" s="112"/>
      <c r="D543" s="112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0"/>
      <c r="U543" s="109"/>
      <c r="V543" s="109"/>
    </row>
    <row r="544" spans="1:22" ht="20.149999999999999" customHeight="1" x14ac:dyDescent="0.35">
      <c r="A544" s="113"/>
      <c r="B544" s="112"/>
      <c r="C544" s="112"/>
      <c r="D544" s="112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0"/>
      <c r="U544" s="109"/>
      <c r="V544" s="109"/>
    </row>
    <row r="545" spans="1:22" ht="20.149999999999999" customHeight="1" x14ac:dyDescent="0.35">
      <c r="A545" s="113"/>
      <c r="B545" s="112"/>
      <c r="C545" s="112"/>
      <c r="D545" s="112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0"/>
      <c r="U545" s="109"/>
      <c r="V545" s="109"/>
    </row>
    <row r="546" spans="1:22" ht="20.149999999999999" customHeight="1" x14ac:dyDescent="0.35">
      <c r="A546" s="113"/>
      <c r="B546" s="112"/>
      <c r="C546" s="112"/>
      <c r="D546" s="112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0"/>
      <c r="U546" s="109"/>
      <c r="V546" s="109"/>
    </row>
    <row r="547" spans="1:22" ht="20.149999999999999" customHeight="1" x14ac:dyDescent="0.35">
      <c r="A547" s="113"/>
      <c r="B547" s="112"/>
      <c r="C547" s="112"/>
      <c r="D547" s="112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0"/>
      <c r="U547" s="109"/>
      <c r="V547" s="109"/>
    </row>
    <row r="548" spans="1:22" ht="20.149999999999999" customHeight="1" x14ac:dyDescent="0.35">
      <c r="A548" s="113"/>
      <c r="B548" s="112"/>
      <c r="C548" s="112"/>
      <c r="D548" s="112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0"/>
      <c r="U548" s="109"/>
      <c r="V548" s="109"/>
    </row>
    <row r="549" spans="1:22" ht="20.149999999999999" customHeight="1" x14ac:dyDescent="0.35">
      <c r="A549" s="113"/>
      <c r="B549" s="112"/>
      <c r="C549" s="112"/>
      <c r="D549" s="112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0"/>
      <c r="U549" s="109"/>
      <c r="V549" s="109"/>
    </row>
    <row r="550" spans="1:22" ht="20.149999999999999" customHeight="1" x14ac:dyDescent="0.35">
      <c r="A550" s="113"/>
      <c r="B550" s="112"/>
      <c r="C550" s="112"/>
      <c r="D550" s="112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0"/>
      <c r="U550" s="109"/>
      <c r="V550" s="109"/>
    </row>
    <row r="551" spans="1:22" ht="20.149999999999999" customHeight="1" x14ac:dyDescent="0.35">
      <c r="A551" s="113"/>
      <c r="B551" s="112"/>
      <c r="C551" s="112"/>
      <c r="D551" s="112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0"/>
      <c r="U551" s="109"/>
      <c r="V551" s="109"/>
    </row>
    <row r="552" spans="1:22" ht="20.149999999999999" customHeight="1" x14ac:dyDescent="0.35">
      <c r="A552" s="113"/>
      <c r="B552" s="112"/>
      <c r="C552" s="112"/>
      <c r="D552" s="112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0"/>
      <c r="U552" s="109"/>
      <c r="V552" s="109"/>
    </row>
    <row r="553" spans="1:22" ht="20.149999999999999" customHeight="1" x14ac:dyDescent="0.35">
      <c r="A553" s="113"/>
      <c r="B553" s="112"/>
      <c r="C553" s="112"/>
      <c r="D553" s="112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0"/>
      <c r="U553" s="109"/>
      <c r="V553" s="109"/>
    </row>
    <row r="554" spans="1:22" ht="20.149999999999999" customHeight="1" x14ac:dyDescent="0.35">
      <c r="A554" s="113"/>
      <c r="B554" s="112"/>
      <c r="C554" s="112"/>
      <c r="D554" s="112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0"/>
      <c r="U554" s="109"/>
      <c r="V554" s="109"/>
    </row>
    <row r="555" spans="1:22" ht="20.149999999999999" customHeight="1" x14ac:dyDescent="0.35">
      <c r="A555" s="113"/>
      <c r="B555" s="112"/>
      <c r="C555" s="112"/>
      <c r="D555" s="112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0"/>
      <c r="U555" s="109"/>
      <c r="V555" s="109"/>
    </row>
    <row r="556" spans="1:22" ht="20.149999999999999" customHeight="1" x14ac:dyDescent="0.35">
      <c r="A556" s="113"/>
      <c r="B556" s="112"/>
      <c r="C556" s="112"/>
      <c r="D556" s="112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0"/>
      <c r="U556" s="109"/>
      <c r="V556" s="109"/>
    </row>
    <row r="557" spans="1:22" ht="20.149999999999999" customHeight="1" x14ac:dyDescent="0.35">
      <c r="A557" s="113"/>
      <c r="B557" s="112"/>
      <c r="C557" s="112"/>
      <c r="D557" s="112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0"/>
      <c r="U557" s="109"/>
      <c r="V557" s="109"/>
    </row>
    <row r="558" spans="1:22" ht="20.149999999999999" customHeight="1" x14ac:dyDescent="0.35">
      <c r="A558" s="113"/>
      <c r="B558" s="112"/>
      <c r="C558" s="112"/>
      <c r="D558" s="112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0"/>
      <c r="U558" s="109"/>
      <c r="V558" s="109"/>
    </row>
    <row r="559" spans="1:22" ht="20.149999999999999" customHeight="1" x14ac:dyDescent="0.35">
      <c r="A559" s="113"/>
      <c r="B559" s="112"/>
      <c r="C559" s="112"/>
      <c r="D559" s="112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0"/>
      <c r="U559" s="109"/>
      <c r="V559" s="109"/>
    </row>
    <row r="560" spans="1:22" ht="20.149999999999999" customHeight="1" x14ac:dyDescent="0.35">
      <c r="A560" s="113"/>
      <c r="B560" s="112"/>
      <c r="C560" s="112"/>
      <c r="D560" s="112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0"/>
      <c r="U560" s="109"/>
      <c r="V560" s="109"/>
    </row>
    <row r="561" spans="1:22" ht="20.149999999999999" customHeight="1" x14ac:dyDescent="0.35">
      <c r="A561" s="113"/>
      <c r="B561" s="112"/>
      <c r="C561" s="112"/>
      <c r="D561" s="112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0"/>
      <c r="U561" s="109"/>
      <c r="V561" s="109"/>
    </row>
    <row r="562" spans="1:22" ht="20.149999999999999" customHeight="1" x14ac:dyDescent="0.35">
      <c r="A562" s="113"/>
      <c r="B562" s="112"/>
      <c r="C562" s="112"/>
      <c r="D562" s="112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0"/>
      <c r="U562" s="109"/>
      <c r="V562" s="109"/>
    </row>
    <row r="563" spans="1:22" ht="20.149999999999999" customHeight="1" x14ac:dyDescent="0.35">
      <c r="A563" s="113"/>
      <c r="B563" s="112"/>
      <c r="C563" s="112"/>
      <c r="D563" s="112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0"/>
      <c r="U563" s="109"/>
      <c r="V563" s="109"/>
    </row>
    <row r="564" spans="1:22" ht="20.149999999999999" customHeight="1" x14ac:dyDescent="0.35">
      <c r="A564" s="113"/>
      <c r="B564" s="112"/>
      <c r="C564" s="112"/>
      <c r="D564" s="112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0"/>
      <c r="U564" s="109"/>
      <c r="V564" s="109"/>
    </row>
    <row r="565" spans="1:22" ht="20.149999999999999" customHeight="1" x14ac:dyDescent="0.35">
      <c r="A565" s="113"/>
      <c r="B565" s="112"/>
      <c r="C565" s="112"/>
      <c r="D565" s="112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0"/>
      <c r="U565" s="109"/>
      <c r="V565" s="109"/>
    </row>
    <row r="566" spans="1:22" ht="20.149999999999999" customHeight="1" x14ac:dyDescent="0.35">
      <c r="A566" s="113"/>
      <c r="B566" s="112"/>
      <c r="C566" s="112"/>
      <c r="D566" s="112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0"/>
      <c r="U566" s="109"/>
      <c r="V566" s="109"/>
    </row>
    <row r="567" spans="1:22" ht="20.149999999999999" customHeight="1" x14ac:dyDescent="0.35">
      <c r="A567" s="113"/>
      <c r="B567" s="112"/>
      <c r="C567" s="112"/>
      <c r="D567" s="112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0"/>
      <c r="U567" s="109"/>
      <c r="V567" s="109"/>
    </row>
    <row r="568" spans="1:22" ht="20.149999999999999" customHeight="1" x14ac:dyDescent="0.35">
      <c r="A568" s="113"/>
      <c r="B568" s="112"/>
      <c r="C568" s="112"/>
      <c r="D568" s="112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0"/>
      <c r="U568" s="109"/>
      <c r="V568" s="109"/>
    </row>
    <row r="569" spans="1:22" ht="20.149999999999999" customHeight="1" x14ac:dyDescent="0.35">
      <c r="A569" s="113"/>
      <c r="B569" s="112"/>
      <c r="C569" s="112"/>
      <c r="D569" s="112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0"/>
      <c r="U569" s="109"/>
      <c r="V569" s="109"/>
    </row>
    <row r="570" spans="1:22" ht="20.149999999999999" customHeight="1" x14ac:dyDescent="0.35">
      <c r="A570" s="113"/>
      <c r="B570" s="112"/>
      <c r="C570" s="112"/>
      <c r="D570" s="112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0"/>
      <c r="U570" s="109"/>
      <c r="V570" s="109"/>
    </row>
    <row r="571" spans="1:22" ht="20.149999999999999" customHeight="1" x14ac:dyDescent="0.35">
      <c r="A571" s="113"/>
      <c r="B571" s="112"/>
      <c r="C571" s="112"/>
      <c r="D571" s="112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0"/>
      <c r="U571" s="109"/>
      <c r="V571" s="109"/>
    </row>
    <row r="572" spans="1:22" ht="20.149999999999999" customHeight="1" x14ac:dyDescent="0.35">
      <c r="A572" s="113"/>
      <c r="B572" s="112"/>
      <c r="C572" s="112"/>
      <c r="D572" s="112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0"/>
      <c r="U572" s="109"/>
      <c r="V572" s="109"/>
    </row>
    <row r="573" spans="1:22" ht="20.149999999999999" customHeight="1" x14ac:dyDescent="0.35">
      <c r="A573" s="113"/>
      <c r="B573" s="112"/>
      <c r="C573" s="112"/>
      <c r="D573" s="112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0"/>
      <c r="U573" s="109"/>
      <c r="V573" s="109"/>
    </row>
    <row r="574" spans="1:22" ht="20.149999999999999" customHeight="1" x14ac:dyDescent="0.35">
      <c r="A574" s="113"/>
      <c r="B574" s="112"/>
      <c r="C574" s="112"/>
      <c r="D574" s="112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0"/>
      <c r="U574" s="109"/>
      <c r="V574" s="109"/>
    </row>
    <row r="575" spans="1:22" ht="20.149999999999999" customHeight="1" x14ac:dyDescent="0.35">
      <c r="A575" s="113"/>
      <c r="B575" s="112"/>
      <c r="C575" s="112"/>
      <c r="D575" s="112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0"/>
      <c r="U575" s="109"/>
      <c r="V575" s="109"/>
    </row>
    <row r="576" spans="1:22" ht="20.149999999999999" customHeight="1" x14ac:dyDescent="0.35">
      <c r="A576" s="113"/>
      <c r="B576" s="112"/>
      <c r="C576" s="112"/>
      <c r="D576" s="112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0"/>
      <c r="U576" s="109"/>
      <c r="V576" s="109"/>
    </row>
    <row r="577" spans="1:22" ht="20.149999999999999" customHeight="1" x14ac:dyDescent="0.35">
      <c r="A577" s="113"/>
      <c r="B577" s="112"/>
      <c r="C577" s="112"/>
      <c r="D577" s="112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0"/>
      <c r="U577" s="109"/>
      <c r="V577" s="109"/>
    </row>
    <row r="578" spans="1:22" ht="20.149999999999999" customHeight="1" x14ac:dyDescent="0.35">
      <c r="A578" s="113"/>
      <c r="B578" s="112"/>
      <c r="C578" s="112"/>
      <c r="D578" s="112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0"/>
      <c r="U578" s="109"/>
      <c r="V578" s="109"/>
    </row>
    <row r="579" spans="1:22" ht="20.149999999999999" customHeight="1" x14ac:dyDescent="0.35">
      <c r="A579" s="113"/>
      <c r="B579" s="112"/>
      <c r="C579" s="112"/>
      <c r="D579" s="112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0"/>
      <c r="U579" s="109"/>
      <c r="V579" s="109"/>
    </row>
    <row r="580" spans="1:22" ht="20.149999999999999" customHeight="1" x14ac:dyDescent="0.35">
      <c r="A580" s="113"/>
      <c r="B580" s="112"/>
      <c r="C580" s="112"/>
      <c r="D580" s="112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0"/>
      <c r="U580" s="109"/>
      <c r="V580" s="109"/>
    </row>
    <row r="581" spans="1:22" ht="20.149999999999999" customHeight="1" x14ac:dyDescent="0.35">
      <c r="A581" s="113"/>
      <c r="B581" s="112"/>
      <c r="C581" s="112"/>
      <c r="D581" s="112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0"/>
      <c r="U581" s="109"/>
      <c r="V581" s="109"/>
    </row>
    <row r="582" spans="1:22" ht="20.149999999999999" customHeight="1" x14ac:dyDescent="0.35">
      <c r="A582" s="113"/>
      <c r="B582" s="112"/>
      <c r="C582" s="112"/>
      <c r="D582" s="112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0"/>
      <c r="U582" s="109"/>
      <c r="V582" s="109"/>
    </row>
    <row r="583" spans="1:22" ht="20.149999999999999" customHeight="1" x14ac:dyDescent="0.35">
      <c r="A583" s="113"/>
      <c r="B583" s="112"/>
      <c r="C583" s="112"/>
      <c r="D583" s="112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0"/>
      <c r="U583" s="109"/>
      <c r="V583" s="109"/>
    </row>
    <row r="584" spans="1:22" ht="20.149999999999999" customHeight="1" x14ac:dyDescent="0.35">
      <c r="A584" s="113"/>
      <c r="B584" s="112"/>
      <c r="C584" s="112"/>
      <c r="D584" s="112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0"/>
      <c r="U584" s="109"/>
      <c r="V584" s="109"/>
    </row>
    <row r="585" spans="1:22" ht="20.149999999999999" customHeight="1" x14ac:dyDescent="0.35">
      <c r="A585" s="113"/>
      <c r="B585" s="112"/>
      <c r="C585" s="112"/>
      <c r="D585" s="112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0"/>
      <c r="U585" s="109"/>
      <c r="V585" s="109"/>
    </row>
    <row r="586" spans="1:22" ht="20.149999999999999" customHeight="1" x14ac:dyDescent="0.35">
      <c r="A586" s="113"/>
      <c r="B586" s="112"/>
      <c r="C586" s="112"/>
      <c r="D586" s="112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0"/>
      <c r="U586" s="109"/>
      <c r="V586" s="109"/>
    </row>
    <row r="587" spans="1:22" ht="20.149999999999999" customHeight="1" x14ac:dyDescent="0.35">
      <c r="A587" s="113"/>
      <c r="B587" s="112"/>
      <c r="C587" s="112"/>
      <c r="D587" s="112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0"/>
      <c r="U587" s="109"/>
      <c r="V587" s="109"/>
    </row>
    <row r="588" spans="1:22" ht="20.149999999999999" customHeight="1" x14ac:dyDescent="0.35">
      <c r="A588" s="113"/>
      <c r="B588" s="112"/>
      <c r="C588" s="112"/>
      <c r="D588" s="112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0"/>
      <c r="U588" s="109"/>
      <c r="V588" s="109"/>
    </row>
    <row r="589" spans="1:22" ht="20.149999999999999" customHeight="1" x14ac:dyDescent="0.35">
      <c r="A589" s="113"/>
      <c r="B589" s="112"/>
      <c r="C589" s="112"/>
      <c r="D589" s="112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0"/>
      <c r="U589" s="109"/>
      <c r="V589" s="109"/>
    </row>
    <row r="590" spans="1:22" ht="20.149999999999999" customHeight="1" x14ac:dyDescent="0.35">
      <c r="A590" s="113"/>
      <c r="B590" s="112"/>
      <c r="C590" s="112"/>
      <c r="D590" s="112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0"/>
      <c r="U590" s="109"/>
      <c r="V590" s="109"/>
    </row>
    <row r="591" spans="1:22" ht="20.149999999999999" customHeight="1" x14ac:dyDescent="0.35">
      <c r="A591" s="113"/>
      <c r="B591" s="112"/>
      <c r="C591" s="112"/>
      <c r="D591" s="112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0"/>
      <c r="U591" s="109"/>
      <c r="V591" s="109"/>
    </row>
    <row r="592" spans="1:22" ht="20.149999999999999" customHeight="1" x14ac:dyDescent="0.35">
      <c r="A592" s="113"/>
      <c r="B592" s="112"/>
      <c r="C592" s="112"/>
      <c r="D592" s="112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0"/>
      <c r="U592" s="109"/>
      <c r="V592" s="109"/>
    </row>
    <row r="593" spans="1:22" ht="20.149999999999999" customHeight="1" x14ac:dyDescent="0.35">
      <c r="A593" s="113"/>
      <c r="B593" s="112"/>
      <c r="C593" s="112"/>
      <c r="D593" s="112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0"/>
      <c r="U593" s="109"/>
      <c r="V593" s="109"/>
    </row>
    <row r="594" spans="1:22" ht="20.149999999999999" customHeight="1" x14ac:dyDescent="0.35">
      <c r="A594" s="113"/>
      <c r="B594" s="112"/>
      <c r="C594" s="112"/>
      <c r="D594" s="112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0"/>
      <c r="U594" s="109"/>
      <c r="V594" s="109"/>
    </row>
    <row r="595" spans="1:22" ht="20.149999999999999" customHeight="1" x14ac:dyDescent="0.35">
      <c r="A595" s="113"/>
      <c r="B595" s="112"/>
      <c r="C595" s="112"/>
      <c r="D595" s="112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0"/>
      <c r="U595" s="109"/>
      <c r="V595" s="109"/>
    </row>
    <row r="596" spans="1:22" ht="20.149999999999999" customHeight="1" x14ac:dyDescent="0.35">
      <c r="A596" s="113"/>
      <c r="B596" s="112"/>
      <c r="C596" s="112"/>
      <c r="D596" s="112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0"/>
      <c r="U596" s="109"/>
      <c r="V596" s="109"/>
    </row>
    <row r="597" spans="1:22" ht="20.149999999999999" customHeight="1" x14ac:dyDescent="0.35">
      <c r="A597" s="113"/>
      <c r="B597" s="112"/>
      <c r="C597" s="112"/>
      <c r="D597" s="112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0"/>
      <c r="U597" s="109"/>
      <c r="V597" s="109"/>
    </row>
    <row r="598" spans="1:22" ht="20.149999999999999" customHeight="1" x14ac:dyDescent="0.35">
      <c r="A598" s="113"/>
      <c r="B598" s="112"/>
      <c r="C598" s="112"/>
      <c r="D598" s="112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0"/>
      <c r="U598" s="109"/>
      <c r="V598" s="109"/>
    </row>
    <row r="599" spans="1:22" ht="20.149999999999999" customHeight="1" x14ac:dyDescent="0.35">
      <c r="A599" s="113"/>
      <c r="B599" s="112"/>
      <c r="C599" s="112"/>
      <c r="D599" s="112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0"/>
      <c r="U599" s="109"/>
      <c r="V599" s="109"/>
    </row>
    <row r="600" spans="1:22" ht="20.149999999999999" customHeight="1" x14ac:dyDescent="0.35">
      <c r="A600" s="113"/>
      <c r="B600" s="112"/>
      <c r="C600" s="112"/>
      <c r="D600" s="112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0"/>
      <c r="U600" s="109"/>
      <c r="V600" s="109"/>
    </row>
    <row r="601" spans="1:22" ht="20.149999999999999" customHeight="1" x14ac:dyDescent="0.35">
      <c r="A601" s="113"/>
      <c r="B601" s="112"/>
      <c r="C601" s="112"/>
      <c r="D601" s="112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0"/>
      <c r="U601" s="109"/>
      <c r="V601" s="109"/>
    </row>
    <row r="602" spans="1:22" ht="20.149999999999999" customHeight="1" x14ac:dyDescent="0.35">
      <c r="A602" s="113"/>
      <c r="B602" s="112"/>
      <c r="C602" s="112"/>
      <c r="D602" s="112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0"/>
      <c r="U602" s="109"/>
      <c r="V602" s="109"/>
    </row>
    <row r="603" spans="1:22" ht="20.149999999999999" customHeight="1" x14ac:dyDescent="0.35">
      <c r="A603" s="113"/>
      <c r="B603" s="112"/>
      <c r="C603" s="112"/>
      <c r="D603" s="112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0"/>
      <c r="U603" s="109"/>
      <c r="V603" s="109"/>
    </row>
    <row r="604" spans="1:22" ht="20.149999999999999" customHeight="1" x14ac:dyDescent="0.35">
      <c r="A604" s="113"/>
      <c r="B604" s="112"/>
      <c r="C604" s="112"/>
      <c r="D604" s="112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0"/>
      <c r="U604" s="109"/>
      <c r="V604" s="109"/>
    </row>
    <row r="605" spans="1:22" ht="20.149999999999999" customHeight="1" x14ac:dyDescent="0.35">
      <c r="A605" s="113"/>
      <c r="B605" s="112"/>
      <c r="C605" s="112"/>
      <c r="D605" s="112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0"/>
      <c r="U605" s="109"/>
      <c r="V605" s="109"/>
    </row>
    <row r="606" spans="1:22" ht="20.149999999999999" customHeight="1" x14ac:dyDescent="0.35">
      <c r="A606" s="113"/>
      <c r="B606" s="112"/>
      <c r="C606" s="112"/>
      <c r="D606" s="112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0"/>
      <c r="U606" s="109"/>
      <c r="V606" s="109"/>
    </row>
    <row r="607" spans="1:22" ht="20.149999999999999" customHeight="1" x14ac:dyDescent="0.35">
      <c r="A607" s="113"/>
      <c r="B607" s="112"/>
      <c r="C607" s="112"/>
      <c r="D607" s="112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0"/>
      <c r="U607" s="109"/>
      <c r="V607" s="109"/>
    </row>
    <row r="608" spans="1:22" ht="20.149999999999999" customHeight="1" thickBot="1" x14ac:dyDescent="0.4">
      <c r="A608" s="108"/>
      <c r="B608" s="107"/>
      <c r="C608" s="107"/>
      <c r="D608" s="107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5"/>
      <c r="U608" s="104"/>
      <c r="V608" s="104"/>
    </row>
  </sheetData>
  <mergeCells count="18">
    <mergeCell ref="C2:C3"/>
    <mergeCell ref="A1:A3"/>
    <mergeCell ref="U1:U3"/>
    <mergeCell ref="K2:M2"/>
    <mergeCell ref="A15:V15"/>
    <mergeCell ref="V1:V2"/>
    <mergeCell ref="D1:T1"/>
    <mergeCell ref="D2:D3"/>
    <mergeCell ref="E2:I2"/>
    <mergeCell ref="J2:J3"/>
    <mergeCell ref="N2:N3"/>
    <mergeCell ref="O2:O3"/>
    <mergeCell ref="P2:P3"/>
    <mergeCell ref="Q2:Q3"/>
    <mergeCell ref="S2:S3"/>
    <mergeCell ref="T2:T3"/>
    <mergeCell ref="R2:R3"/>
    <mergeCell ref="B2:B3"/>
  </mergeCells>
  <conditionalFormatting sqref="C140">
    <cfRule type="cellIs" dxfId="2" priority="1" operator="greaterThan">
      <formula>0</formula>
    </cfRule>
  </conditionalFormatting>
  <conditionalFormatting sqref="D4:S14 D16:S608">
    <cfRule type="cellIs" dxfId="1" priority="2" operator="greaterThan">
      <formula>0</formula>
    </cfRule>
  </conditionalFormatting>
  <conditionalFormatting sqref="V4:V14 V16:V608">
    <cfRule type="containsText" dxfId="0" priority="3" operator="containsText" text="Done">
      <formula>NOT(ISERROR(SEARCH("Done",V4)))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F3A1-10C8-4C0E-B003-75EC4888911D}">
  <dimension ref="A1:Q31"/>
  <sheetViews>
    <sheetView topLeftCell="E1" zoomScale="70" zoomScaleNormal="70" workbookViewId="0">
      <selection activeCell="N2" sqref="N2"/>
    </sheetView>
  </sheetViews>
  <sheetFormatPr defaultRowHeight="14.5" x14ac:dyDescent="0.35"/>
  <cols>
    <col min="2" max="2" width="20.453125" bestFit="1" customWidth="1"/>
    <col min="3" max="3" width="28.7265625" bestFit="1" customWidth="1"/>
    <col min="4" max="4" width="20.1796875" bestFit="1" customWidth="1"/>
    <col min="5" max="5" width="29.54296875" bestFit="1" customWidth="1"/>
    <col min="6" max="6" width="20.453125" bestFit="1" customWidth="1"/>
    <col min="7" max="7" width="15.453125" bestFit="1" customWidth="1"/>
    <col min="8" max="8" width="19.7265625" bestFit="1" customWidth="1"/>
    <col min="9" max="9" width="24.54296875" bestFit="1" customWidth="1"/>
    <col min="10" max="10" width="33.453125" bestFit="1" customWidth="1"/>
    <col min="11" max="11" width="21.7265625" bestFit="1" customWidth="1"/>
    <col min="12" max="12" width="24.54296875" bestFit="1" customWidth="1"/>
    <col min="13" max="13" width="15.453125" bestFit="1" customWidth="1"/>
    <col min="14" max="14" width="12.81640625" bestFit="1" customWidth="1"/>
    <col min="15" max="15" width="13.453125" bestFit="1" customWidth="1"/>
    <col min="16" max="16" width="12.453125" bestFit="1" customWidth="1"/>
    <col min="17" max="17" width="18.54296875" bestFit="1" customWidth="1"/>
  </cols>
  <sheetData>
    <row r="1" spans="1:17" x14ac:dyDescent="0.35">
      <c r="B1">
        <f>SUBTOTAL(9,B3:B31)</f>
        <v>135</v>
      </c>
      <c r="C1">
        <f t="shared" ref="C1:Q1" si="0">SUBTOTAL(9,C3:C31)</f>
        <v>420</v>
      </c>
      <c r="D1">
        <f t="shared" si="0"/>
        <v>0</v>
      </c>
      <c r="E1">
        <f t="shared" si="0"/>
        <v>0</v>
      </c>
      <c r="F1">
        <f t="shared" si="0"/>
        <v>423</v>
      </c>
      <c r="G1">
        <f t="shared" si="0"/>
        <v>70</v>
      </c>
      <c r="H1">
        <f t="shared" si="0"/>
        <v>0</v>
      </c>
      <c r="I1">
        <f t="shared" si="0"/>
        <v>210</v>
      </c>
      <c r="J1">
        <f t="shared" si="0"/>
        <v>0</v>
      </c>
      <c r="K1">
        <f t="shared" si="0"/>
        <v>0</v>
      </c>
      <c r="L1">
        <f t="shared" si="0"/>
        <v>90</v>
      </c>
      <c r="M1">
        <f t="shared" si="0"/>
        <v>3325</v>
      </c>
      <c r="N1">
        <f t="shared" si="0"/>
        <v>376</v>
      </c>
      <c r="O1">
        <f t="shared" si="0"/>
        <v>100</v>
      </c>
      <c r="P1">
        <f t="shared" si="0"/>
        <v>1180</v>
      </c>
      <c r="Q1">
        <f t="shared" si="0"/>
        <v>60</v>
      </c>
    </row>
    <row r="2" spans="1:17" x14ac:dyDescent="0.35">
      <c r="A2" t="s">
        <v>204</v>
      </c>
      <c r="B2" t="s">
        <v>205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28</v>
      </c>
      <c r="I2" t="s">
        <v>42</v>
      </c>
      <c r="J2" t="s">
        <v>43</v>
      </c>
      <c r="K2" t="s">
        <v>44</v>
      </c>
      <c r="L2" t="s">
        <v>30</v>
      </c>
      <c r="M2" t="s">
        <v>31</v>
      </c>
      <c r="N2" t="s">
        <v>32</v>
      </c>
      <c r="O2" t="s">
        <v>33</v>
      </c>
      <c r="P2" t="s">
        <v>206</v>
      </c>
      <c r="Q2" t="s">
        <v>35</v>
      </c>
    </row>
    <row r="3" spans="1:17" x14ac:dyDescent="0.35">
      <c r="A3" s="117">
        <v>46055</v>
      </c>
      <c r="C3">
        <v>360</v>
      </c>
    </row>
    <row r="4" spans="1:17" x14ac:dyDescent="0.35">
      <c r="A4" s="117">
        <v>46055</v>
      </c>
      <c r="C4">
        <v>60</v>
      </c>
      <c r="Q4">
        <v>60</v>
      </c>
    </row>
    <row r="5" spans="1:17" x14ac:dyDescent="0.35">
      <c r="A5" s="117">
        <v>46056</v>
      </c>
      <c r="B5">
        <v>135</v>
      </c>
    </row>
    <row r="6" spans="1:17" x14ac:dyDescent="0.35">
      <c r="A6" s="117">
        <v>46057</v>
      </c>
      <c r="M6">
        <v>288</v>
      </c>
    </row>
    <row r="7" spans="1:17" x14ac:dyDescent="0.35">
      <c r="A7" s="117">
        <v>46057</v>
      </c>
      <c r="M7">
        <v>176</v>
      </c>
    </row>
    <row r="8" spans="1:17" x14ac:dyDescent="0.35">
      <c r="A8" s="117">
        <v>46058</v>
      </c>
      <c r="M8">
        <v>312</v>
      </c>
    </row>
    <row r="9" spans="1:17" x14ac:dyDescent="0.35">
      <c r="A9" s="117">
        <v>46058</v>
      </c>
      <c r="P9">
        <v>376</v>
      </c>
    </row>
    <row r="10" spans="1:17" x14ac:dyDescent="0.35">
      <c r="A10" s="117">
        <v>46060</v>
      </c>
      <c r="L10">
        <v>90</v>
      </c>
      <c r="N10">
        <v>219</v>
      </c>
    </row>
    <row r="11" spans="1:17" x14ac:dyDescent="0.35">
      <c r="A11" s="117">
        <v>46060</v>
      </c>
      <c r="N11">
        <v>157</v>
      </c>
    </row>
    <row r="12" spans="1:17" x14ac:dyDescent="0.35">
      <c r="A12" s="117">
        <v>46063</v>
      </c>
      <c r="M12">
        <v>138</v>
      </c>
    </row>
    <row r="13" spans="1:17" x14ac:dyDescent="0.35">
      <c r="A13" s="117">
        <v>46063</v>
      </c>
      <c r="M13">
        <v>176</v>
      </c>
    </row>
    <row r="14" spans="1:17" x14ac:dyDescent="0.35">
      <c r="A14" s="115">
        <v>46064</v>
      </c>
    </row>
    <row r="15" spans="1:17" x14ac:dyDescent="0.35">
      <c r="A15" s="115">
        <v>46064</v>
      </c>
    </row>
    <row r="16" spans="1:17" x14ac:dyDescent="0.35">
      <c r="A16" s="115">
        <v>46067</v>
      </c>
    </row>
    <row r="17" spans="1:16" x14ac:dyDescent="0.35">
      <c r="A17" s="115">
        <v>46069</v>
      </c>
      <c r="P17">
        <v>125</v>
      </c>
    </row>
    <row r="18" spans="1:16" x14ac:dyDescent="0.35">
      <c r="A18" s="115">
        <v>46069</v>
      </c>
      <c r="P18">
        <v>277</v>
      </c>
    </row>
    <row r="19" spans="1:16" x14ac:dyDescent="0.35">
      <c r="A19" s="115">
        <v>46071</v>
      </c>
      <c r="G19">
        <v>70</v>
      </c>
      <c r="O19">
        <v>100</v>
      </c>
    </row>
    <row r="20" spans="1:16" x14ac:dyDescent="0.35">
      <c r="A20" s="115">
        <v>46072</v>
      </c>
      <c r="I20">
        <v>90</v>
      </c>
      <c r="M20">
        <v>73</v>
      </c>
    </row>
    <row r="21" spans="1:16" x14ac:dyDescent="0.35">
      <c r="A21" s="115">
        <v>46072</v>
      </c>
      <c r="I21">
        <v>120</v>
      </c>
      <c r="M21">
        <v>100</v>
      </c>
    </row>
    <row r="22" spans="1:16" x14ac:dyDescent="0.35">
      <c r="A22" s="115">
        <v>46073</v>
      </c>
      <c r="M22">
        <v>480</v>
      </c>
    </row>
    <row r="23" spans="1:16" x14ac:dyDescent="0.35">
      <c r="A23" s="115">
        <v>46076</v>
      </c>
      <c r="M23">
        <v>309</v>
      </c>
    </row>
    <row r="24" spans="1:16" x14ac:dyDescent="0.35">
      <c r="A24" s="115">
        <v>46076</v>
      </c>
      <c r="M24">
        <v>62</v>
      </c>
    </row>
    <row r="25" spans="1:16" x14ac:dyDescent="0.35">
      <c r="A25" s="115">
        <v>46077</v>
      </c>
      <c r="P25">
        <v>220</v>
      </c>
    </row>
    <row r="26" spans="1:16" x14ac:dyDescent="0.35">
      <c r="A26" s="115">
        <v>46078</v>
      </c>
      <c r="P26">
        <v>182</v>
      </c>
    </row>
    <row r="27" spans="1:16" x14ac:dyDescent="0.35">
      <c r="A27" s="115">
        <v>46079</v>
      </c>
      <c r="M27">
        <v>309</v>
      </c>
    </row>
    <row r="28" spans="1:16" x14ac:dyDescent="0.35">
      <c r="A28" s="115">
        <v>46079</v>
      </c>
      <c r="M28">
        <v>252</v>
      </c>
    </row>
    <row r="29" spans="1:16" x14ac:dyDescent="0.35">
      <c r="A29" s="115">
        <v>46080</v>
      </c>
      <c r="M29">
        <v>360</v>
      </c>
    </row>
    <row r="30" spans="1:16" x14ac:dyDescent="0.35">
      <c r="A30" s="115">
        <v>46080</v>
      </c>
      <c r="M30">
        <v>290</v>
      </c>
    </row>
    <row r="31" spans="1:16" x14ac:dyDescent="0.35">
      <c r="A31" s="115">
        <v>46081</v>
      </c>
      <c r="F31">
        <v>423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3301-51C3-41EF-99A5-9E011FEC35AE}">
  <sheetPr>
    <tabColor rgb="FFFF0000"/>
  </sheetPr>
  <dimension ref="A1:K47"/>
  <sheetViews>
    <sheetView showGridLines="0" topLeftCell="A33" zoomScale="90" zoomScaleNormal="90" workbookViewId="0">
      <selection activeCell="A24" sqref="A24:Q48"/>
    </sheetView>
  </sheetViews>
  <sheetFormatPr defaultRowHeight="14.5" x14ac:dyDescent="0.35"/>
  <cols>
    <col min="1" max="1" width="29.1796875" customWidth="1"/>
    <col min="2" max="11" width="9.54296875" customWidth="1"/>
  </cols>
  <sheetData>
    <row r="1" spans="1:11" ht="18.5" x14ac:dyDescent="0.45">
      <c r="A1" s="150" t="s">
        <v>289</v>
      </c>
    </row>
    <row r="3" spans="1:11" x14ac:dyDescent="0.35">
      <c r="A3" s="129" t="s">
        <v>207</v>
      </c>
      <c r="B3" s="129"/>
      <c r="C3" s="129"/>
      <c r="J3" s="129" t="s">
        <v>208</v>
      </c>
    </row>
    <row r="4" spans="1:11" x14ac:dyDescent="0.35">
      <c r="A4" s="129" t="s">
        <v>5</v>
      </c>
      <c r="B4" s="129">
        <f>SUM(K4,K15)</f>
        <v>60</v>
      </c>
      <c r="C4" s="129"/>
      <c r="J4" t="s">
        <v>5</v>
      </c>
      <c r="K4">
        <v>30</v>
      </c>
    </row>
    <row r="5" spans="1:11" x14ac:dyDescent="0.35">
      <c r="A5" s="129" t="s">
        <v>6</v>
      </c>
      <c r="B5" s="129">
        <f>SUM(K5,K16)</f>
        <v>54</v>
      </c>
      <c r="C5" s="129"/>
      <c r="J5" t="s">
        <v>6</v>
      </c>
      <c r="K5">
        <v>24</v>
      </c>
    </row>
    <row r="6" spans="1:11" x14ac:dyDescent="0.35">
      <c r="A6" s="152" t="s">
        <v>209</v>
      </c>
      <c r="B6" s="152">
        <f>SUM(K6,K17)</f>
        <v>6</v>
      </c>
      <c r="C6" s="129"/>
      <c r="J6" s="151" t="s">
        <v>209</v>
      </c>
      <c r="K6" s="151">
        <f>K4-K5</f>
        <v>6</v>
      </c>
    </row>
    <row r="14" spans="1:11" x14ac:dyDescent="0.35">
      <c r="J14" s="129" t="s">
        <v>210</v>
      </c>
    </row>
    <row r="15" spans="1:11" x14ac:dyDescent="0.35">
      <c r="J15" t="s">
        <v>5</v>
      </c>
      <c r="K15">
        <v>30</v>
      </c>
    </row>
    <row r="16" spans="1:11" x14ac:dyDescent="0.35">
      <c r="J16" t="s">
        <v>6</v>
      </c>
      <c r="K16">
        <v>30</v>
      </c>
    </row>
    <row r="17" spans="1:11" x14ac:dyDescent="0.35">
      <c r="J17" s="151" t="s">
        <v>209</v>
      </c>
      <c r="K17" s="151">
        <f>K15-K16</f>
        <v>0</v>
      </c>
    </row>
    <row r="24" spans="1:11" x14ac:dyDescent="0.35">
      <c r="A24" s="156" t="s">
        <v>211</v>
      </c>
      <c r="B24" s="157">
        <v>1200</v>
      </c>
    </row>
    <row r="25" spans="1:11" x14ac:dyDescent="0.35">
      <c r="A25" s="156" t="s">
        <v>212</v>
      </c>
      <c r="B25" s="155">
        <f>SUBTOTAL(9,B27:B44)</f>
        <v>120</v>
      </c>
      <c r="C25" s="158">
        <f>B25/B24</f>
        <v>0.1</v>
      </c>
    </row>
    <row r="26" spans="1:11" x14ac:dyDescent="0.35">
      <c r="A26" s="129" t="s">
        <v>213</v>
      </c>
      <c r="B26" s="129" t="s">
        <v>214</v>
      </c>
      <c r="C26" s="129"/>
    </row>
    <row r="27" spans="1:11" x14ac:dyDescent="0.35">
      <c r="A27" s="153" t="s">
        <v>215</v>
      </c>
      <c r="B27" s="154">
        <v>120</v>
      </c>
      <c r="C27" s="158">
        <f>B27/$B$24</f>
        <v>0.1</v>
      </c>
    </row>
    <row r="28" spans="1:11" x14ac:dyDescent="0.35">
      <c r="A28" s="153" t="s">
        <v>30</v>
      </c>
      <c r="B28" s="154"/>
      <c r="C28" s="158">
        <f>B28/$B$24</f>
        <v>0</v>
      </c>
    </row>
    <row r="29" spans="1:11" x14ac:dyDescent="0.35">
      <c r="A29" s="153" t="s">
        <v>216</v>
      </c>
      <c r="B29" s="154"/>
    </row>
    <row r="30" spans="1:11" x14ac:dyDescent="0.35">
      <c r="A30" s="153" t="s">
        <v>217</v>
      </c>
      <c r="B30" s="154"/>
    </row>
    <row r="31" spans="1:11" x14ac:dyDescent="0.35">
      <c r="A31" s="153" t="s">
        <v>218</v>
      </c>
      <c r="B31" s="154"/>
    </row>
    <row r="32" spans="1:11" x14ac:dyDescent="0.35">
      <c r="A32" s="153" t="s">
        <v>33</v>
      </c>
      <c r="B32" s="154"/>
    </row>
    <row r="33" spans="1:2" x14ac:dyDescent="0.35">
      <c r="A33" s="153" t="s">
        <v>42</v>
      </c>
      <c r="B33" s="154"/>
    </row>
    <row r="34" spans="1:2" x14ac:dyDescent="0.35">
      <c r="A34" s="153" t="s">
        <v>35</v>
      </c>
      <c r="B34" s="154"/>
    </row>
    <row r="35" spans="1:2" x14ac:dyDescent="0.35">
      <c r="A35" s="153" t="s">
        <v>219</v>
      </c>
      <c r="B35" s="154"/>
    </row>
    <row r="36" spans="1:2" x14ac:dyDescent="0.35">
      <c r="A36" s="153" t="s">
        <v>32</v>
      </c>
      <c r="B36" s="154"/>
    </row>
    <row r="37" spans="1:2" x14ac:dyDescent="0.35">
      <c r="A37" s="153" t="s">
        <v>41</v>
      </c>
      <c r="B37" s="154"/>
    </row>
    <row r="38" spans="1:2" x14ac:dyDescent="0.35">
      <c r="A38" s="153" t="s">
        <v>40</v>
      </c>
      <c r="B38" s="154"/>
    </row>
    <row r="39" spans="1:2" x14ac:dyDescent="0.35">
      <c r="A39" s="153" t="s">
        <v>28</v>
      </c>
      <c r="B39" s="154"/>
    </row>
    <row r="40" spans="1:2" x14ac:dyDescent="0.35">
      <c r="A40" s="153" t="s">
        <v>38</v>
      </c>
      <c r="B40" s="154"/>
    </row>
    <row r="41" spans="1:2" x14ac:dyDescent="0.35">
      <c r="A41" s="153" t="s">
        <v>220</v>
      </c>
      <c r="B41" s="154"/>
    </row>
    <row r="42" spans="1:2" x14ac:dyDescent="0.35">
      <c r="A42" s="153" t="s">
        <v>221</v>
      </c>
      <c r="B42" s="154"/>
    </row>
    <row r="43" spans="1:2" x14ac:dyDescent="0.35">
      <c r="A43" s="153" t="s">
        <v>39</v>
      </c>
      <c r="B43" s="154"/>
    </row>
    <row r="44" spans="1:2" x14ac:dyDescent="0.35">
      <c r="A44" s="153" t="s">
        <v>44</v>
      </c>
      <c r="B44" s="154"/>
    </row>
    <row r="45" spans="1:2" x14ac:dyDescent="0.35">
      <c r="A45" s="153" t="s">
        <v>222</v>
      </c>
      <c r="B45" s="154"/>
    </row>
    <row r="46" spans="1:2" x14ac:dyDescent="0.35">
      <c r="A46" s="173" t="s">
        <v>223</v>
      </c>
    </row>
    <row r="47" spans="1:2" x14ac:dyDescent="0.35">
      <c r="A47" s="153" t="s">
        <v>224</v>
      </c>
    </row>
  </sheetData>
  <autoFilter ref="A26:B26" xr:uid="{91455E42-15F1-42E5-BD42-F27DD0B4480A}">
    <sortState xmlns:xlrd2="http://schemas.microsoft.com/office/spreadsheetml/2017/richdata2" ref="A27:B47">
      <sortCondition descending="1" ref="B26"/>
    </sortState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5E42-15F1-42E5-BD42-F27DD0B4480A}">
  <sheetPr>
    <tabColor rgb="FFFF0000"/>
  </sheetPr>
  <dimension ref="A1:K86"/>
  <sheetViews>
    <sheetView showGridLines="0" topLeftCell="A24" zoomScale="95" zoomScaleNormal="95" workbookViewId="0">
      <selection activeCell="H18" sqref="H18"/>
    </sheetView>
  </sheetViews>
  <sheetFormatPr defaultRowHeight="14.5" x14ac:dyDescent="0.35"/>
  <cols>
    <col min="1" max="1" width="29.1796875" customWidth="1"/>
    <col min="2" max="11" width="9.54296875" customWidth="1"/>
  </cols>
  <sheetData>
    <row r="1" spans="1:11" ht="18.5" x14ac:dyDescent="0.45">
      <c r="A1" s="150" t="s">
        <v>225</v>
      </c>
    </row>
    <row r="3" spans="1:11" x14ac:dyDescent="0.35">
      <c r="A3" s="129" t="s">
        <v>207</v>
      </c>
      <c r="B3" s="129"/>
      <c r="C3" s="129"/>
      <c r="J3" s="129" t="s">
        <v>208</v>
      </c>
    </row>
    <row r="4" spans="1:11" x14ac:dyDescent="0.35">
      <c r="A4" s="129" t="s">
        <v>5</v>
      </c>
      <c r="B4" s="129">
        <f>SUM(K4,K15)</f>
        <v>230</v>
      </c>
      <c r="C4" s="129"/>
      <c r="J4" t="s">
        <v>5</v>
      </c>
      <c r="K4">
        <v>115</v>
      </c>
    </row>
    <row r="5" spans="1:11" x14ac:dyDescent="0.35">
      <c r="A5" s="129" t="s">
        <v>6</v>
      </c>
      <c r="B5" s="129">
        <f>SUM(K5,K16)</f>
        <v>196</v>
      </c>
      <c r="C5" s="129"/>
      <c r="D5" s="171" t="s">
        <v>226</v>
      </c>
      <c r="E5" s="171"/>
      <c r="J5" t="s">
        <v>6</v>
      </c>
      <c r="K5">
        <v>86</v>
      </c>
    </row>
    <row r="6" spans="1:11" x14ac:dyDescent="0.35">
      <c r="A6" s="152" t="s">
        <v>209</v>
      </c>
      <c r="B6" s="152">
        <f>SUM(K6,K17)</f>
        <v>34</v>
      </c>
      <c r="C6" s="170">
        <f>B6/B4</f>
        <v>0.14782608695652175</v>
      </c>
      <c r="D6" s="172">
        <f>B6/48</f>
        <v>0.70833333333333337</v>
      </c>
      <c r="E6" s="171" t="s">
        <v>227</v>
      </c>
      <c r="J6" s="151" t="s">
        <v>209</v>
      </c>
      <c r="K6" s="151">
        <f>K4-K5</f>
        <v>29</v>
      </c>
    </row>
    <row r="14" spans="1:11" x14ac:dyDescent="0.35">
      <c r="J14" s="129" t="s">
        <v>210</v>
      </c>
    </row>
    <row r="15" spans="1:11" x14ac:dyDescent="0.35">
      <c r="J15" t="s">
        <v>5</v>
      </c>
      <c r="K15">
        <v>115</v>
      </c>
    </row>
    <row r="16" spans="1:11" x14ac:dyDescent="0.35">
      <c r="J16" t="s">
        <v>6</v>
      </c>
      <c r="K16">
        <v>110</v>
      </c>
    </row>
    <row r="17" spans="1:11" x14ac:dyDescent="0.35">
      <c r="J17" s="151" t="s">
        <v>209</v>
      </c>
      <c r="K17" s="151">
        <f>K15-K16</f>
        <v>5</v>
      </c>
    </row>
    <row r="24" spans="1:11" ht="16" x14ac:dyDescent="0.4">
      <c r="A24" s="156" t="s">
        <v>211</v>
      </c>
      <c r="B24" s="157">
        <v>4560</v>
      </c>
      <c r="F24" s="215" t="s">
        <v>228</v>
      </c>
      <c r="G24" s="215"/>
    </row>
    <row r="25" spans="1:11" ht="16" x14ac:dyDescent="0.4">
      <c r="A25" s="156" t="s">
        <v>212</v>
      </c>
      <c r="B25" s="155">
        <f>SUBTOTAL(9,B27:B44)</f>
        <v>720</v>
      </c>
      <c r="C25" s="158">
        <f>B25/B24</f>
        <v>0.15789473684210525</v>
      </c>
      <c r="D25" s="174">
        <f>(B25/(2*480))</f>
        <v>0.75</v>
      </c>
      <c r="E25" s="175" t="s">
        <v>227</v>
      </c>
      <c r="F25" s="184">
        <f>D25*(-50)</f>
        <v>-37.5</v>
      </c>
      <c r="G25" s="185" t="s">
        <v>229</v>
      </c>
    </row>
    <row r="26" spans="1:11" x14ac:dyDescent="0.35">
      <c r="A26" s="129" t="s">
        <v>213</v>
      </c>
      <c r="B26" s="129" t="s">
        <v>214</v>
      </c>
      <c r="C26" s="129"/>
    </row>
    <row r="27" spans="1:11" x14ac:dyDescent="0.35">
      <c r="A27" s="153" t="s">
        <v>215</v>
      </c>
      <c r="B27">
        <v>720</v>
      </c>
      <c r="C27" s="158">
        <f t="shared" ref="C27:C33" si="0">B27/$B$24</f>
        <v>0.15789473684210525</v>
      </c>
    </row>
    <row r="28" spans="1:11" x14ac:dyDescent="0.35">
      <c r="A28" s="153" t="s">
        <v>218</v>
      </c>
      <c r="B28" s="154"/>
      <c r="C28" s="158">
        <f t="shared" si="0"/>
        <v>0</v>
      </c>
    </row>
    <row r="29" spans="1:11" x14ac:dyDescent="0.35">
      <c r="A29" s="153" t="s">
        <v>216</v>
      </c>
      <c r="B29" s="154"/>
      <c r="C29" s="158">
        <f t="shared" si="0"/>
        <v>0</v>
      </c>
    </row>
    <row r="30" spans="1:11" x14ac:dyDescent="0.35">
      <c r="A30" s="153" t="s">
        <v>33</v>
      </c>
      <c r="B30" s="154"/>
      <c r="C30" s="158">
        <f t="shared" si="0"/>
        <v>0</v>
      </c>
    </row>
    <row r="31" spans="1:11" x14ac:dyDescent="0.35">
      <c r="A31" s="153" t="s">
        <v>217</v>
      </c>
      <c r="B31" s="154"/>
      <c r="C31" s="158">
        <f>B31/$B$24</f>
        <v>0</v>
      </c>
    </row>
    <row r="32" spans="1:11" x14ac:dyDescent="0.35">
      <c r="A32" s="153" t="s">
        <v>42</v>
      </c>
      <c r="B32" s="154"/>
      <c r="C32" s="158">
        <f t="shared" si="0"/>
        <v>0</v>
      </c>
    </row>
    <row r="33" spans="1:3" x14ac:dyDescent="0.35">
      <c r="A33" s="153" t="s">
        <v>35</v>
      </c>
      <c r="B33" s="154"/>
      <c r="C33" s="158">
        <f t="shared" si="0"/>
        <v>0</v>
      </c>
    </row>
    <row r="34" spans="1:3" x14ac:dyDescent="0.35">
      <c r="A34" s="153" t="s">
        <v>30</v>
      </c>
      <c r="B34" s="154"/>
    </row>
    <row r="35" spans="1:3" x14ac:dyDescent="0.35">
      <c r="A35" s="153" t="s">
        <v>230</v>
      </c>
      <c r="B35" s="154"/>
    </row>
    <row r="36" spans="1:3" x14ac:dyDescent="0.35">
      <c r="A36" s="153" t="s">
        <v>32</v>
      </c>
      <c r="B36" s="154"/>
    </row>
    <row r="37" spans="1:3" x14ac:dyDescent="0.35">
      <c r="A37" s="153" t="s">
        <v>41</v>
      </c>
      <c r="B37" s="154"/>
    </row>
    <row r="38" spans="1:3" x14ac:dyDescent="0.35">
      <c r="A38" s="153" t="s">
        <v>40</v>
      </c>
      <c r="B38" s="154"/>
    </row>
    <row r="39" spans="1:3" x14ac:dyDescent="0.35">
      <c r="A39" s="153" t="s">
        <v>28</v>
      </c>
      <c r="B39" s="154"/>
    </row>
    <row r="40" spans="1:3" x14ac:dyDescent="0.35">
      <c r="A40" s="153" t="s">
        <v>38</v>
      </c>
      <c r="B40" s="154"/>
    </row>
    <row r="41" spans="1:3" x14ac:dyDescent="0.35">
      <c r="A41" s="153" t="s">
        <v>231</v>
      </c>
      <c r="B41" s="154"/>
    </row>
    <row r="42" spans="1:3" x14ac:dyDescent="0.35">
      <c r="A42" s="153" t="s">
        <v>221</v>
      </c>
      <c r="B42" s="154"/>
    </row>
    <row r="43" spans="1:3" x14ac:dyDescent="0.35">
      <c r="A43" s="153" t="s">
        <v>39</v>
      </c>
      <c r="B43" s="154"/>
    </row>
    <row r="44" spans="1:3" x14ac:dyDescent="0.35">
      <c r="A44" s="153" t="s">
        <v>44</v>
      </c>
      <c r="B44" s="154"/>
    </row>
    <row r="45" spans="1:3" x14ac:dyDescent="0.35">
      <c r="A45" s="153" t="s">
        <v>222</v>
      </c>
      <c r="B45" s="154"/>
    </row>
    <row r="46" spans="1:3" x14ac:dyDescent="0.35">
      <c r="A46" s="173" t="s">
        <v>223</v>
      </c>
    </row>
    <row r="47" spans="1:3" x14ac:dyDescent="0.35">
      <c r="A47" s="153" t="s">
        <v>224</v>
      </c>
    </row>
    <row r="75" spans="1:11" ht="18.5" x14ac:dyDescent="0.45">
      <c r="A75" s="150" t="s">
        <v>232</v>
      </c>
    </row>
    <row r="76" spans="1:11" x14ac:dyDescent="0.35">
      <c r="A76" s="159" t="s">
        <v>233</v>
      </c>
      <c r="B76" s="160" t="s">
        <v>234</v>
      </c>
      <c r="C76" s="160" t="s">
        <v>235</v>
      </c>
      <c r="D76" s="160" t="s">
        <v>236</v>
      </c>
      <c r="E76" s="160" t="s">
        <v>237</v>
      </c>
      <c r="F76" s="160" t="s">
        <v>238</v>
      </c>
      <c r="G76" s="160" t="s">
        <v>239</v>
      </c>
      <c r="H76" s="160" t="s">
        <v>240</v>
      </c>
      <c r="I76" s="160" t="s">
        <v>241</v>
      </c>
      <c r="J76" s="160" t="s">
        <v>242</v>
      </c>
      <c r="K76" s="160" t="s">
        <v>243</v>
      </c>
    </row>
    <row r="77" spans="1:11" x14ac:dyDescent="0.35">
      <c r="A77" s="147" t="s">
        <v>244</v>
      </c>
      <c r="B77" s="147"/>
      <c r="C77" s="147"/>
      <c r="D77" s="147"/>
      <c r="E77" s="147"/>
      <c r="F77" s="147"/>
      <c r="G77" s="147"/>
      <c r="H77" s="147"/>
      <c r="I77" s="147"/>
      <c r="J77" s="147"/>
      <c r="K77" s="161" t="s">
        <v>245</v>
      </c>
    </row>
    <row r="78" spans="1:11" x14ac:dyDescent="0.35">
      <c r="A78" s="147" t="s">
        <v>246</v>
      </c>
      <c r="B78" s="147"/>
      <c r="C78" s="147"/>
      <c r="D78" s="147"/>
      <c r="E78" s="147"/>
      <c r="F78" s="147"/>
      <c r="G78" s="147"/>
      <c r="H78" s="147"/>
      <c r="I78" s="147"/>
      <c r="J78" s="162" t="s">
        <v>247</v>
      </c>
      <c r="K78" s="162" t="s">
        <v>248</v>
      </c>
    </row>
    <row r="79" spans="1:11" x14ac:dyDescent="0.35">
      <c r="A79" s="147" t="s">
        <v>249</v>
      </c>
      <c r="B79" s="147"/>
      <c r="C79" s="147"/>
      <c r="D79" s="147"/>
      <c r="E79" s="147"/>
      <c r="F79" s="147"/>
      <c r="G79" s="147"/>
      <c r="H79" s="147"/>
      <c r="I79" s="162" t="s">
        <v>247</v>
      </c>
      <c r="J79" s="162" t="s">
        <v>248</v>
      </c>
      <c r="K79" s="147"/>
    </row>
    <row r="80" spans="1:11" x14ac:dyDescent="0.35">
      <c r="A80" s="147" t="s">
        <v>250</v>
      </c>
      <c r="B80" s="147"/>
      <c r="C80" s="147"/>
      <c r="D80" s="147"/>
      <c r="E80" s="147"/>
      <c r="F80" s="147"/>
      <c r="G80" s="147"/>
      <c r="H80" s="162" t="s">
        <v>247</v>
      </c>
      <c r="I80" s="162" t="s">
        <v>248</v>
      </c>
      <c r="J80" s="147"/>
      <c r="K80" s="147"/>
    </row>
    <row r="81" spans="1:11" x14ac:dyDescent="0.35">
      <c r="A81" s="147" t="s">
        <v>251</v>
      </c>
      <c r="B81" s="147"/>
      <c r="C81" s="147"/>
      <c r="D81" s="147"/>
      <c r="E81" s="147"/>
      <c r="F81" s="163"/>
      <c r="G81" s="163"/>
      <c r="H81" s="147"/>
      <c r="I81" s="147"/>
      <c r="J81" s="147"/>
      <c r="K81" s="147"/>
    </row>
    <row r="82" spans="1:11" x14ac:dyDescent="0.35">
      <c r="A82" s="147" t="s">
        <v>252</v>
      </c>
      <c r="B82" s="147"/>
      <c r="C82" s="147"/>
      <c r="D82" s="147"/>
      <c r="E82" s="163"/>
      <c r="F82" s="163"/>
      <c r="G82" s="147"/>
      <c r="H82" s="147"/>
      <c r="I82" s="147"/>
      <c r="J82" s="147"/>
      <c r="K82" s="147"/>
    </row>
    <row r="83" spans="1:11" x14ac:dyDescent="0.35">
      <c r="A83" s="147" t="s">
        <v>253</v>
      </c>
      <c r="B83" s="147"/>
      <c r="C83" s="147"/>
      <c r="D83" s="147"/>
      <c r="E83" s="163"/>
      <c r="F83" s="147"/>
      <c r="G83" s="147"/>
      <c r="H83" s="147"/>
      <c r="I83" s="147"/>
      <c r="J83" s="147"/>
      <c r="K83" s="147"/>
    </row>
    <row r="84" spans="1:11" x14ac:dyDescent="0.35">
      <c r="A84" s="147" t="s">
        <v>254</v>
      </c>
      <c r="B84" s="147"/>
      <c r="C84" s="147"/>
      <c r="D84" s="163"/>
      <c r="E84" s="147"/>
      <c r="F84" s="147"/>
      <c r="G84" s="147"/>
      <c r="H84" s="147"/>
      <c r="I84" s="147"/>
      <c r="J84" s="147"/>
      <c r="K84" s="147"/>
    </row>
    <row r="85" spans="1:11" x14ac:dyDescent="0.35">
      <c r="A85" s="147" t="s">
        <v>255</v>
      </c>
      <c r="B85" s="163"/>
      <c r="C85" s="163"/>
      <c r="D85" s="147"/>
      <c r="E85" s="147"/>
      <c r="F85" s="147"/>
      <c r="G85" s="147"/>
      <c r="H85" s="147"/>
      <c r="I85" s="147"/>
      <c r="J85" s="147"/>
      <c r="K85" s="147"/>
    </row>
    <row r="86" spans="1:11" x14ac:dyDescent="0.35">
      <c r="A86" s="147" t="s">
        <v>256</v>
      </c>
      <c r="B86" s="163"/>
      <c r="C86" s="147"/>
      <c r="D86" s="147"/>
      <c r="E86" s="147"/>
      <c r="F86" s="147"/>
      <c r="G86" s="147"/>
      <c r="H86" s="147"/>
      <c r="I86" s="147"/>
      <c r="J86" s="147"/>
      <c r="K86" s="147"/>
    </row>
  </sheetData>
  <autoFilter ref="A26:B26" xr:uid="{91455E42-15F1-42E5-BD42-F27DD0B4480A}">
    <sortState xmlns:xlrd2="http://schemas.microsoft.com/office/spreadsheetml/2017/richdata2" ref="A27:B47">
      <sortCondition descending="1" ref="B26"/>
    </sortState>
  </autoFilter>
  <mergeCells count="1">
    <mergeCell ref="F24:G2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467F-49B3-4DF6-8DDA-C77A448489BA}">
  <sheetPr>
    <tabColor rgb="FFFF0000"/>
  </sheetPr>
  <dimension ref="A1:K86"/>
  <sheetViews>
    <sheetView showGridLines="0" zoomScale="95" zoomScaleNormal="95" workbookViewId="0">
      <selection activeCell="C24" sqref="C24:G25"/>
    </sheetView>
  </sheetViews>
  <sheetFormatPr defaultRowHeight="14.5" x14ac:dyDescent="0.35"/>
  <cols>
    <col min="1" max="1" width="29.1796875" customWidth="1"/>
    <col min="2" max="11" width="9.54296875" customWidth="1"/>
  </cols>
  <sheetData>
    <row r="1" spans="1:11" ht="18.5" x14ac:dyDescent="0.45">
      <c r="A1" s="150" t="s">
        <v>257</v>
      </c>
    </row>
    <row r="3" spans="1:11" x14ac:dyDescent="0.35">
      <c r="A3" s="129" t="s">
        <v>207</v>
      </c>
      <c r="B3" s="129"/>
      <c r="C3" s="129"/>
      <c r="J3" s="129" t="s">
        <v>208</v>
      </c>
    </row>
    <row r="4" spans="1:11" x14ac:dyDescent="0.35">
      <c r="A4" s="129" t="s">
        <v>5</v>
      </c>
      <c r="B4" s="129">
        <f>SUM(K4,K15)</f>
        <v>1404</v>
      </c>
      <c r="C4" s="129"/>
      <c r="J4" t="s">
        <v>5</v>
      </c>
      <c r="K4">
        <v>702</v>
      </c>
    </row>
    <row r="5" spans="1:11" x14ac:dyDescent="0.35">
      <c r="A5" s="129" t="s">
        <v>6</v>
      </c>
      <c r="B5" s="129">
        <f>SUM(K5,K16)</f>
        <v>959</v>
      </c>
      <c r="C5" s="129"/>
      <c r="D5" s="171" t="s">
        <v>226</v>
      </c>
      <c r="E5" s="171"/>
      <c r="J5" t="s">
        <v>6</v>
      </c>
      <c r="K5">
        <v>484</v>
      </c>
    </row>
    <row r="6" spans="1:11" x14ac:dyDescent="0.35">
      <c r="A6" s="152" t="s">
        <v>209</v>
      </c>
      <c r="B6" s="152">
        <f>SUM(K6,K17)</f>
        <v>445</v>
      </c>
      <c r="C6" s="170">
        <f>B6/B4</f>
        <v>0.31695156695156695</v>
      </c>
      <c r="D6" s="172">
        <f>B6/48</f>
        <v>9.2708333333333339</v>
      </c>
      <c r="E6" s="171" t="s">
        <v>227</v>
      </c>
      <c r="J6" s="151" t="s">
        <v>209</v>
      </c>
      <c r="K6" s="151">
        <f>K4-K5</f>
        <v>218</v>
      </c>
    </row>
    <row r="7" spans="1:11" x14ac:dyDescent="0.35">
      <c r="D7" s="129"/>
      <c r="E7" s="129"/>
    </row>
    <row r="14" spans="1:11" x14ac:dyDescent="0.35">
      <c r="J14" s="129" t="s">
        <v>210</v>
      </c>
    </row>
    <row r="15" spans="1:11" x14ac:dyDescent="0.35">
      <c r="J15" t="s">
        <v>5</v>
      </c>
      <c r="K15">
        <v>702</v>
      </c>
    </row>
    <row r="16" spans="1:11" x14ac:dyDescent="0.35">
      <c r="J16" t="s">
        <v>6</v>
      </c>
      <c r="K16">
        <v>475</v>
      </c>
    </row>
    <row r="17" spans="1:11" x14ac:dyDescent="0.35">
      <c r="J17" s="151" t="s">
        <v>209</v>
      </c>
      <c r="K17" s="151">
        <f>K15-K16</f>
        <v>227</v>
      </c>
    </row>
    <row r="24" spans="1:11" ht="16" x14ac:dyDescent="0.4">
      <c r="A24" s="156" t="s">
        <v>211</v>
      </c>
      <c r="B24" s="157">
        <v>27840</v>
      </c>
      <c r="F24" s="215" t="s">
        <v>228</v>
      </c>
      <c r="G24" s="215"/>
    </row>
    <row r="25" spans="1:11" ht="16" x14ac:dyDescent="0.4">
      <c r="A25" s="156" t="s">
        <v>212</v>
      </c>
      <c r="B25" s="155">
        <f>SUBTOTAL(9,B27:B44)</f>
        <v>9199</v>
      </c>
      <c r="C25" s="158">
        <f>B25/B24</f>
        <v>0.33042385057471263</v>
      </c>
      <c r="D25" s="174">
        <f>(B25/(2*480))</f>
        <v>9.5822916666666664</v>
      </c>
      <c r="E25" s="175" t="s">
        <v>227</v>
      </c>
      <c r="F25" s="184">
        <f>D25*(-50)</f>
        <v>-479.11458333333331</v>
      </c>
      <c r="G25" s="185" t="s">
        <v>229</v>
      </c>
    </row>
    <row r="26" spans="1:11" x14ac:dyDescent="0.35">
      <c r="A26" s="129" t="s">
        <v>213</v>
      </c>
      <c r="B26" s="129" t="s">
        <v>214</v>
      </c>
      <c r="C26" s="129"/>
    </row>
    <row r="27" spans="1:11" x14ac:dyDescent="0.35">
      <c r="A27" s="153" t="s">
        <v>216</v>
      </c>
      <c r="B27" s="154">
        <v>3175</v>
      </c>
      <c r="C27" s="158">
        <f>B27/$B$24</f>
        <v>0.11404454022988506</v>
      </c>
    </row>
    <row r="28" spans="1:11" x14ac:dyDescent="0.35">
      <c r="A28" s="153" t="s">
        <v>217</v>
      </c>
      <c r="B28" s="154">
        <v>2787</v>
      </c>
      <c r="C28" s="158">
        <f t="shared" ref="C28:C37" si="0">B28/$B$24</f>
        <v>0.10010775862068966</v>
      </c>
    </row>
    <row r="29" spans="1:11" x14ac:dyDescent="0.35">
      <c r="A29" s="153" t="s">
        <v>215</v>
      </c>
      <c r="B29" s="154">
        <v>1300</v>
      </c>
      <c r="C29" s="158">
        <f t="shared" si="0"/>
        <v>4.6695402298850573E-2</v>
      </c>
    </row>
    <row r="30" spans="1:11" x14ac:dyDescent="0.35">
      <c r="A30" s="153" t="s">
        <v>218</v>
      </c>
      <c r="B30" s="154">
        <v>600</v>
      </c>
      <c r="C30" s="158">
        <f t="shared" si="0"/>
        <v>2.1551724137931036E-2</v>
      </c>
    </row>
    <row r="31" spans="1:11" x14ac:dyDescent="0.35">
      <c r="A31" s="153" t="s">
        <v>42</v>
      </c>
      <c r="B31" s="154">
        <v>330</v>
      </c>
      <c r="C31" s="158">
        <f t="shared" si="0"/>
        <v>1.1853448275862068E-2</v>
      </c>
    </row>
    <row r="32" spans="1:11" x14ac:dyDescent="0.35">
      <c r="A32" s="153" t="s">
        <v>41</v>
      </c>
      <c r="B32" s="154">
        <v>315</v>
      </c>
      <c r="C32" s="158">
        <f t="shared" si="0"/>
        <v>1.1314655172413793E-2</v>
      </c>
    </row>
    <row r="33" spans="1:3" x14ac:dyDescent="0.35">
      <c r="A33" s="153" t="s">
        <v>35</v>
      </c>
      <c r="B33" s="154">
        <v>264</v>
      </c>
      <c r="C33" s="158">
        <f t="shared" si="0"/>
        <v>9.482758620689655E-3</v>
      </c>
    </row>
    <row r="34" spans="1:3" x14ac:dyDescent="0.35">
      <c r="A34" s="153" t="s">
        <v>33</v>
      </c>
      <c r="B34" s="154">
        <v>180</v>
      </c>
      <c r="C34" s="158">
        <f t="shared" si="0"/>
        <v>6.4655172413793103E-3</v>
      </c>
    </row>
    <row r="35" spans="1:3" x14ac:dyDescent="0.35">
      <c r="A35" s="153" t="s">
        <v>32</v>
      </c>
      <c r="B35" s="154">
        <v>140</v>
      </c>
      <c r="C35" s="158">
        <f t="shared" si="0"/>
        <v>5.028735632183908E-3</v>
      </c>
    </row>
    <row r="36" spans="1:3" x14ac:dyDescent="0.35">
      <c r="A36" s="153" t="s">
        <v>30</v>
      </c>
      <c r="B36" s="154">
        <v>68</v>
      </c>
      <c r="C36" s="158">
        <f t="shared" si="0"/>
        <v>2.4425287356321839E-3</v>
      </c>
    </row>
    <row r="37" spans="1:3" x14ac:dyDescent="0.35">
      <c r="A37" s="153" t="s">
        <v>224</v>
      </c>
      <c r="B37" s="154">
        <v>40</v>
      </c>
      <c r="C37" s="158">
        <f t="shared" si="0"/>
        <v>1.4367816091954023E-3</v>
      </c>
    </row>
    <row r="38" spans="1:3" x14ac:dyDescent="0.35">
      <c r="A38" s="153" t="s">
        <v>230</v>
      </c>
      <c r="B38" s="154"/>
    </row>
    <row r="39" spans="1:3" x14ac:dyDescent="0.35">
      <c r="A39" s="153" t="s">
        <v>40</v>
      </c>
      <c r="B39" s="154"/>
    </row>
    <row r="40" spans="1:3" x14ac:dyDescent="0.35">
      <c r="A40" s="153" t="s">
        <v>28</v>
      </c>
      <c r="B40" s="154"/>
    </row>
    <row r="41" spans="1:3" x14ac:dyDescent="0.35">
      <c r="A41" s="153" t="s">
        <v>38</v>
      </c>
      <c r="B41" s="154"/>
    </row>
    <row r="42" spans="1:3" x14ac:dyDescent="0.35">
      <c r="A42" s="153" t="s">
        <v>231</v>
      </c>
      <c r="B42" s="154"/>
    </row>
    <row r="43" spans="1:3" x14ac:dyDescent="0.35">
      <c r="A43" s="153" t="s">
        <v>221</v>
      </c>
      <c r="B43" s="154"/>
    </row>
    <row r="44" spans="1:3" x14ac:dyDescent="0.35">
      <c r="A44" s="153" t="s">
        <v>39</v>
      </c>
      <c r="B44" s="154"/>
    </row>
    <row r="45" spans="1:3" x14ac:dyDescent="0.35">
      <c r="A45" s="153" t="s">
        <v>44</v>
      </c>
      <c r="B45" s="154"/>
    </row>
    <row r="46" spans="1:3" x14ac:dyDescent="0.35">
      <c r="A46" s="153" t="s">
        <v>222</v>
      </c>
      <c r="B46" s="154"/>
    </row>
    <row r="47" spans="1:3" x14ac:dyDescent="0.35">
      <c r="A47" s="173" t="s">
        <v>223</v>
      </c>
      <c r="B47" s="154"/>
    </row>
    <row r="75" spans="1:11" ht="18.5" x14ac:dyDescent="0.45">
      <c r="A75" s="150" t="s">
        <v>232</v>
      </c>
    </row>
    <row r="76" spans="1:11" x14ac:dyDescent="0.35">
      <c r="A76" s="159" t="s">
        <v>233</v>
      </c>
      <c r="B76" s="160" t="s">
        <v>234</v>
      </c>
      <c r="C76" s="160" t="s">
        <v>235</v>
      </c>
      <c r="D76" s="160" t="s">
        <v>236</v>
      </c>
      <c r="E76" s="160" t="s">
        <v>237</v>
      </c>
      <c r="F76" s="160" t="s">
        <v>238</v>
      </c>
      <c r="G76" s="160" t="s">
        <v>239</v>
      </c>
      <c r="H76" s="160" t="s">
        <v>240</v>
      </c>
      <c r="I76" s="160" t="s">
        <v>241</v>
      </c>
      <c r="J76" s="160" t="s">
        <v>242</v>
      </c>
      <c r="K76" s="160" t="s">
        <v>243</v>
      </c>
    </row>
    <row r="77" spans="1:11" x14ac:dyDescent="0.35">
      <c r="A77" s="147" t="s">
        <v>244</v>
      </c>
      <c r="B77" s="147"/>
      <c r="C77" s="147"/>
      <c r="D77" s="147"/>
      <c r="E77" s="147"/>
      <c r="F77" s="147"/>
      <c r="G77" s="147"/>
      <c r="H77" s="147"/>
      <c r="I77" s="147"/>
      <c r="J77" s="147"/>
      <c r="K77" s="161" t="s">
        <v>245</v>
      </c>
    </row>
    <row r="78" spans="1:11" x14ac:dyDescent="0.35">
      <c r="A78" s="147" t="s">
        <v>246</v>
      </c>
      <c r="B78" s="147"/>
      <c r="C78" s="147"/>
      <c r="D78" s="147"/>
      <c r="E78" s="147"/>
      <c r="F78" s="147"/>
      <c r="G78" s="147"/>
      <c r="H78" s="147"/>
      <c r="I78" s="147"/>
      <c r="J78" s="162" t="s">
        <v>247</v>
      </c>
      <c r="K78" s="162" t="s">
        <v>248</v>
      </c>
    </row>
    <row r="79" spans="1:11" x14ac:dyDescent="0.35">
      <c r="A79" s="147" t="s">
        <v>249</v>
      </c>
      <c r="B79" s="147"/>
      <c r="C79" s="147"/>
      <c r="D79" s="147"/>
      <c r="E79" s="147"/>
      <c r="F79" s="147"/>
      <c r="G79" s="147"/>
      <c r="H79" s="147"/>
      <c r="I79" s="162" t="s">
        <v>247</v>
      </c>
      <c r="J79" s="162" t="s">
        <v>248</v>
      </c>
      <c r="K79" s="147"/>
    </row>
    <row r="80" spans="1:11" x14ac:dyDescent="0.35">
      <c r="A80" s="147" t="s">
        <v>250</v>
      </c>
      <c r="B80" s="147"/>
      <c r="C80" s="147"/>
      <c r="D80" s="147"/>
      <c r="E80" s="147"/>
      <c r="F80" s="147"/>
      <c r="G80" s="147"/>
      <c r="H80" s="162" t="s">
        <v>247</v>
      </c>
      <c r="I80" s="162" t="s">
        <v>248</v>
      </c>
      <c r="J80" s="147"/>
      <c r="K80" s="147"/>
    </row>
    <row r="81" spans="1:11" x14ac:dyDescent="0.35">
      <c r="A81" s="147" t="s">
        <v>251</v>
      </c>
      <c r="B81" s="147"/>
      <c r="C81" s="147"/>
      <c r="D81" s="147"/>
      <c r="E81" s="147"/>
      <c r="F81" s="163"/>
      <c r="G81" s="163"/>
      <c r="H81" s="147"/>
      <c r="I81" s="147"/>
      <c r="J81" s="147"/>
      <c r="K81" s="147"/>
    </row>
    <row r="82" spans="1:11" x14ac:dyDescent="0.35">
      <c r="A82" s="147" t="s">
        <v>252</v>
      </c>
      <c r="B82" s="147"/>
      <c r="C82" s="147"/>
      <c r="D82" s="147"/>
      <c r="E82" s="163"/>
      <c r="F82" s="163"/>
      <c r="G82" s="147"/>
      <c r="H82" s="147"/>
      <c r="I82" s="147"/>
      <c r="J82" s="147"/>
      <c r="K82" s="147"/>
    </row>
    <row r="83" spans="1:11" x14ac:dyDescent="0.35">
      <c r="A83" s="147" t="s">
        <v>253</v>
      </c>
      <c r="B83" s="147"/>
      <c r="C83" s="147"/>
      <c r="D83" s="147"/>
      <c r="E83" s="163"/>
      <c r="F83" s="147"/>
      <c r="G83" s="147"/>
      <c r="H83" s="147"/>
      <c r="I83" s="147"/>
      <c r="J83" s="147"/>
      <c r="K83" s="147"/>
    </row>
    <row r="84" spans="1:11" x14ac:dyDescent="0.35">
      <c r="A84" s="147" t="s">
        <v>254</v>
      </c>
      <c r="B84" s="147"/>
      <c r="C84" s="147"/>
      <c r="D84" s="163"/>
      <c r="E84" s="147"/>
      <c r="F84" s="147"/>
      <c r="G84" s="147"/>
      <c r="H84" s="147"/>
      <c r="I84" s="147"/>
      <c r="J84" s="147"/>
      <c r="K84" s="147"/>
    </row>
    <row r="85" spans="1:11" x14ac:dyDescent="0.35">
      <c r="A85" s="147" t="s">
        <v>255</v>
      </c>
      <c r="B85" s="163"/>
      <c r="C85" s="163"/>
      <c r="D85" s="147"/>
      <c r="E85" s="147"/>
      <c r="F85" s="147"/>
      <c r="G85" s="147"/>
      <c r="H85" s="147"/>
      <c r="I85" s="147"/>
      <c r="J85" s="147"/>
      <c r="K85" s="147"/>
    </row>
    <row r="86" spans="1:11" x14ac:dyDescent="0.35">
      <c r="A86" s="147" t="s">
        <v>256</v>
      </c>
      <c r="B86" s="163"/>
      <c r="C86" s="147"/>
      <c r="D86" s="147"/>
      <c r="E86" s="147"/>
      <c r="F86" s="147"/>
      <c r="G86" s="147"/>
      <c r="H86" s="147"/>
      <c r="I86" s="147"/>
      <c r="J86" s="147"/>
      <c r="K86" s="147"/>
    </row>
  </sheetData>
  <autoFilter ref="A26:B26" xr:uid="{91455E42-15F1-42E5-BD42-F27DD0B4480A}">
    <sortState xmlns:xlrd2="http://schemas.microsoft.com/office/spreadsheetml/2017/richdata2" ref="A27:B47">
      <sortCondition descending="1" ref="B26"/>
    </sortState>
  </autoFilter>
  <mergeCells count="1">
    <mergeCell ref="F24:G2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4A40-C00E-43C4-A903-32A968AA34E4}">
  <sheetPr>
    <tabColor rgb="FF00B0F0"/>
  </sheetPr>
  <dimension ref="A1:O56"/>
  <sheetViews>
    <sheetView showGridLines="0" workbookViewId="0">
      <selection activeCell="H3" sqref="H3:M3"/>
    </sheetView>
  </sheetViews>
  <sheetFormatPr defaultRowHeight="14.5" x14ac:dyDescent="0.35"/>
  <cols>
    <col min="1" max="1" width="11.54296875" customWidth="1"/>
  </cols>
  <sheetData>
    <row r="1" spans="1:15" x14ac:dyDescent="0.35">
      <c r="A1" s="146" t="s">
        <v>258</v>
      </c>
    </row>
    <row r="2" spans="1:15" x14ac:dyDescent="0.35">
      <c r="G2" s="151" t="s">
        <v>259</v>
      </c>
    </row>
    <row r="3" spans="1:15" x14ac:dyDescent="0.35">
      <c r="A3" s="147" t="s">
        <v>260</v>
      </c>
      <c r="B3" s="148" t="s">
        <v>261</v>
      </c>
      <c r="C3" s="148" t="s">
        <v>262</v>
      </c>
      <c r="D3" s="148" t="s">
        <v>263</v>
      </c>
      <c r="E3" s="148" t="s">
        <v>264</v>
      </c>
      <c r="F3" s="148" t="s">
        <v>265</v>
      </c>
      <c r="G3" s="148" t="s">
        <v>266</v>
      </c>
      <c r="H3" s="148" t="s">
        <v>267</v>
      </c>
      <c r="I3" s="148" t="s">
        <v>268</v>
      </c>
      <c r="J3" s="148" t="s">
        <v>269</v>
      </c>
      <c r="K3" s="148" t="s">
        <v>270</v>
      </c>
      <c r="L3" s="148" t="s">
        <v>271</v>
      </c>
      <c r="M3" s="148" t="s">
        <v>272</v>
      </c>
      <c r="N3" s="148" t="s">
        <v>273</v>
      </c>
      <c r="O3" s="148" t="s">
        <v>274</v>
      </c>
    </row>
    <row r="4" spans="1:15" x14ac:dyDescent="0.35">
      <c r="A4" s="147" t="s">
        <v>275</v>
      </c>
      <c r="B4" s="147">
        <v>1050</v>
      </c>
      <c r="C4" s="147">
        <v>1100</v>
      </c>
      <c r="D4" s="147">
        <v>1155</v>
      </c>
      <c r="E4" s="147">
        <v>1320</v>
      </c>
      <c r="F4" s="147">
        <v>1500</v>
      </c>
      <c r="G4" s="147">
        <v>1100</v>
      </c>
      <c r="H4" s="147">
        <v>1755</v>
      </c>
      <c r="I4" s="147">
        <v>2000</v>
      </c>
      <c r="J4" s="147">
        <v>2000</v>
      </c>
      <c r="K4" s="147">
        <v>2000</v>
      </c>
      <c r="L4" s="147">
        <v>2000</v>
      </c>
      <c r="M4" s="147">
        <v>2000</v>
      </c>
      <c r="N4" s="147">
        <v>2000</v>
      </c>
      <c r="O4" s="147">
        <v>2000</v>
      </c>
    </row>
    <row r="5" spans="1:15" x14ac:dyDescent="0.35">
      <c r="A5" s="147" t="s">
        <v>276</v>
      </c>
      <c r="B5" s="147">
        <v>691</v>
      </c>
      <c r="C5" s="147">
        <v>805</v>
      </c>
      <c r="D5" s="147">
        <v>804</v>
      </c>
      <c r="E5" s="147">
        <v>807</v>
      </c>
      <c r="F5" s="165">
        <v>1500</v>
      </c>
      <c r="G5" s="165">
        <v>1100</v>
      </c>
      <c r="H5" s="165">
        <v>1755</v>
      </c>
      <c r="I5" s="165">
        <v>2000</v>
      </c>
      <c r="J5" s="165">
        <v>2000</v>
      </c>
      <c r="K5" s="165">
        <v>2000</v>
      </c>
      <c r="L5" s="165">
        <v>2000</v>
      </c>
      <c r="M5" s="165">
        <v>2000</v>
      </c>
      <c r="N5" s="165">
        <v>2000</v>
      </c>
      <c r="O5" s="165">
        <v>2000</v>
      </c>
    </row>
    <row r="24" spans="1:15" x14ac:dyDescent="0.35">
      <c r="A24" s="146" t="s">
        <v>277</v>
      </c>
    </row>
    <row r="25" spans="1:15" x14ac:dyDescent="0.35">
      <c r="A25" s="147" t="s">
        <v>260</v>
      </c>
      <c r="B25" s="148" t="s">
        <v>261</v>
      </c>
      <c r="C25" s="148" t="s">
        <v>262</v>
      </c>
      <c r="D25" s="148" t="s">
        <v>263</v>
      </c>
      <c r="E25" s="148" t="s">
        <v>264</v>
      </c>
      <c r="F25" s="148" t="s">
        <v>265</v>
      </c>
      <c r="G25" s="148" t="s">
        <v>266</v>
      </c>
      <c r="H25" s="148" t="s">
        <v>267</v>
      </c>
      <c r="I25" s="148" t="s">
        <v>268</v>
      </c>
      <c r="J25" s="148" t="s">
        <v>269</v>
      </c>
      <c r="K25" s="148" t="s">
        <v>270</v>
      </c>
      <c r="L25" s="148" t="s">
        <v>271</v>
      </c>
      <c r="M25" s="148" t="s">
        <v>272</v>
      </c>
      <c r="N25" s="148" t="s">
        <v>273</v>
      </c>
      <c r="O25" s="148" t="s">
        <v>274</v>
      </c>
    </row>
    <row r="26" spans="1:15" x14ac:dyDescent="0.35">
      <c r="A26" s="147" t="s">
        <v>275</v>
      </c>
      <c r="B26" s="164">
        <v>0.75</v>
      </c>
      <c r="C26" s="164">
        <v>0.8</v>
      </c>
      <c r="D26" s="164">
        <v>0.85</v>
      </c>
      <c r="E26" s="164">
        <v>0.85</v>
      </c>
      <c r="F26" s="164">
        <v>0.85</v>
      </c>
      <c r="G26" s="164">
        <v>0.87</v>
      </c>
      <c r="H26" s="164">
        <v>0.87</v>
      </c>
      <c r="I26" s="164">
        <v>0.9</v>
      </c>
      <c r="J26" s="164">
        <v>0.9</v>
      </c>
      <c r="K26" s="164">
        <v>0.9</v>
      </c>
      <c r="L26" s="164">
        <v>0.9</v>
      </c>
      <c r="M26" s="164">
        <v>0.9</v>
      </c>
      <c r="N26" s="164">
        <v>0.9</v>
      </c>
      <c r="O26" s="164">
        <v>0.9</v>
      </c>
    </row>
    <row r="27" spans="1:15" x14ac:dyDescent="0.35">
      <c r="A27" s="147" t="s">
        <v>276</v>
      </c>
      <c r="B27" s="164">
        <v>0.72</v>
      </c>
      <c r="C27" s="164">
        <v>0.76</v>
      </c>
      <c r="D27" s="164">
        <v>0.76</v>
      </c>
      <c r="E27" s="164">
        <v>0.8</v>
      </c>
      <c r="F27" s="166">
        <v>0.85</v>
      </c>
      <c r="G27" s="166">
        <v>0.87</v>
      </c>
      <c r="H27" s="166">
        <v>0.87</v>
      </c>
      <c r="I27" s="166">
        <v>0.9</v>
      </c>
      <c r="J27" s="166">
        <v>0.9</v>
      </c>
      <c r="K27" s="166">
        <v>0.9</v>
      </c>
      <c r="L27" s="166">
        <v>0.9</v>
      </c>
      <c r="M27" s="166">
        <v>0.9</v>
      </c>
      <c r="N27" s="166">
        <v>0.9</v>
      </c>
      <c r="O27" s="166">
        <v>0.9</v>
      </c>
    </row>
    <row r="45" spans="1:5" x14ac:dyDescent="0.35">
      <c r="A45" t="s">
        <v>278</v>
      </c>
      <c r="B45" s="145">
        <v>0.6</v>
      </c>
      <c r="C45" s="145">
        <v>0.75</v>
      </c>
      <c r="D45" s="145">
        <v>0.73</v>
      </c>
      <c r="E45" s="145">
        <v>0.71</v>
      </c>
    </row>
    <row r="46" spans="1:5" x14ac:dyDescent="0.35">
      <c r="A46" t="s">
        <v>279</v>
      </c>
      <c r="B46" s="145">
        <v>0.84</v>
      </c>
      <c r="C46" s="145">
        <v>0.76</v>
      </c>
      <c r="D46" s="145">
        <v>0.78</v>
      </c>
      <c r="E46" s="145">
        <v>0.73</v>
      </c>
    </row>
    <row r="47" spans="1:5" x14ac:dyDescent="0.35">
      <c r="A47" t="s">
        <v>280</v>
      </c>
      <c r="B47" s="145">
        <f>AVERAGE(B45:B46)</f>
        <v>0.72</v>
      </c>
      <c r="C47" s="145">
        <f t="shared" ref="C47:E47" si="0">AVERAGE(C45:C46)</f>
        <v>0.755</v>
      </c>
      <c r="D47" s="145">
        <f t="shared" si="0"/>
        <v>0.755</v>
      </c>
      <c r="E47" s="145">
        <f t="shared" si="0"/>
        <v>0.72</v>
      </c>
    </row>
    <row r="51" spans="1:10" x14ac:dyDescent="0.35">
      <c r="A51" t="s">
        <v>260</v>
      </c>
      <c r="B51" s="144" t="s">
        <v>261</v>
      </c>
      <c r="C51" s="144" t="s">
        <v>262</v>
      </c>
      <c r="D51" s="144" t="s">
        <v>263</v>
      </c>
      <c r="E51" s="144" t="s">
        <v>264</v>
      </c>
      <c r="F51" s="144" t="s">
        <v>265</v>
      </c>
      <c r="G51" s="144" t="s">
        <v>266</v>
      </c>
      <c r="H51" s="144" t="s">
        <v>267</v>
      </c>
      <c r="I51" s="144" t="s">
        <v>268</v>
      </c>
      <c r="J51" s="144" t="s">
        <v>269</v>
      </c>
    </row>
    <row r="52" spans="1:10" x14ac:dyDescent="0.35">
      <c r="A52" t="s">
        <v>275</v>
      </c>
      <c r="B52">
        <v>1000</v>
      </c>
      <c r="C52">
        <v>1000</v>
      </c>
      <c r="D52">
        <v>1100</v>
      </c>
      <c r="E52">
        <v>1200</v>
      </c>
      <c r="F52">
        <v>1500</v>
      </c>
      <c r="G52">
        <v>1500</v>
      </c>
      <c r="H52">
        <v>1700</v>
      </c>
      <c r="I52">
        <v>1900</v>
      </c>
      <c r="J52">
        <v>2000</v>
      </c>
    </row>
    <row r="53" spans="1:10" x14ac:dyDescent="0.35">
      <c r="A53" t="s">
        <v>276</v>
      </c>
      <c r="B53">
        <v>691</v>
      </c>
      <c r="C53">
        <v>805</v>
      </c>
      <c r="D53">
        <v>804</v>
      </c>
      <c r="E53">
        <v>807</v>
      </c>
      <c r="F53">
        <v>1500</v>
      </c>
      <c r="G53">
        <v>1500</v>
      </c>
      <c r="H53">
        <v>1800</v>
      </c>
      <c r="I53">
        <v>2000</v>
      </c>
      <c r="J53">
        <v>2000</v>
      </c>
    </row>
    <row r="54" spans="1:10" x14ac:dyDescent="0.35">
      <c r="A54" s="149" t="s">
        <v>281</v>
      </c>
      <c r="B54" s="149">
        <v>21</v>
      </c>
      <c r="C54" s="149">
        <v>22</v>
      </c>
      <c r="D54" s="149">
        <v>21</v>
      </c>
      <c r="E54" s="149">
        <v>24</v>
      </c>
      <c r="F54" s="149">
        <v>25</v>
      </c>
      <c r="G54" s="149">
        <v>25</v>
      </c>
      <c r="H54" s="149">
        <v>27</v>
      </c>
      <c r="I54" s="149">
        <v>27</v>
      </c>
      <c r="J54" s="149">
        <v>27</v>
      </c>
    </row>
    <row r="55" spans="1:10" x14ac:dyDescent="0.35">
      <c r="A55" s="149" t="s">
        <v>282</v>
      </c>
      <c r="B55" s="149">
        <v>50</v>
      </c>
      <c r="C55" s="149">
        <v>50</v>
      </c>
      <c r="D55" s="149">
        <v>55</v>
      </c>
      <c r="E55" s="149">
        <v>55</v>
      </c>
      <c r="F55" s="149">
        <v>60</v>
      </c>
      <c r="G55" s="149">
        <v>60</v>
      </c>
      <c r="H55" s="149">
        <v>65</v>
      </c>
      <c r="I55" s="149">
        <v>75</v>
      </c>
      <c r="J55" s="149">
        <v>75</v>
      </c>
    </row>
    <row r="56" spans="1:10" x14ac:dyDescent="0.35">
      <c r="A56" s="149" t="s">
        <v>283</v>
      </c>
      <c r="B56" s="149">
        <f>B54*B55</f>
        <v>1050</v>
      </c>
      <c r="C56" s="149">
        <f t="shared" ref="C56:J56" si="1">C54*C55</f>
        <v>1100</v>
      </c>
      <c r="D56" s="149">
        <f t="shared" si="1"/>
        <v>1155</v>
      </c>
      <c r="E56" s="149">
        <f t="shared" si="1"/>
        <v>1320</v>
      </c>
      <c r="F56" s="149">
        <f t="shared" si="1"/>
        <v>1500</v>
      </c>
      <c r="G56" s="149">
        <f t="shared" si="1"/>
        <v>1500</v>
      </c>
      <c r="H56" s="149">
        <f t="shared" si="1"/>
        <v>1755</v>
      </c>
      <c r="I56" s="149">
        <f t="shared" si="1"/>
        <v>2025</v>
      </c>
      <c r="J56" s="149">
        <f t="shared" si="1"/>
        <v>2025</v>
      </c>
    </row>
  </sheetData>
  <phoneticPr fontId="18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EAA3-372F-42AB-A7DE-604C38629324}">
  <sheetPr>
    <tabColor rgb="FFFF0000"/>
  </sheetPr>
  <dimension ref="A1:K86"/>
  <sheetViews>
    <sheetView showGridLines="0" topLeftCell="A24" zoomScale="95" zoomScaleNormal="95" workbookViewId="0">
      <selection activeCell="C35" sqref="C35:C37"/>
    </sheetView>
  </sheetViews>
  <sheetFormatPr defaultRowHeight="14.5" x14ac:dyDescent="0.35"/>
  <cols>
    <col min="1" max="1" width="29.1796875" customWidth="1"/>
    <col min="2" max="11" width="9.54296875" customWidth="1"/>
  </cols>
  <sheetData>
    <row r="1" spans="1:11" ht="18.5" x14ac:dyDescent="0.45">
      <c r="A1" s="150" t="s">
        <v>257</v>
      </c>
    </row>
    <row r="3" spans="1:11" x14ac:dyDescent="0.35">
      <c r="A3" s="129" t="s">
        <v>207</v>
      </c>
      <c r="B3" s="129"/>
      <c r="C3" s="129"/>
      <c r="J3" s="129" t="s">
        <v>208</v>
      </c>
    </row>
    <row r="4" spans="1:11" x14ac:dyDescent="0.35">
      <c r="A4" s="129" t="s">
        <v>5</v>
      </c>
      <c r="B4" s="129">
        <f>SUM(K4,K15)</f>
        <v>1404</v>
      </c>
      <c r="C4" s="129"/>
      <c r="J4" t="s">
        <v>5</v>
      </c>
      <c r="K4">
        <v>702</v>
      </c>
    </row>
    <row r="5" spans="1:11" x14ac:dyDescent="0.35">
      <c r="A5" s="129" t="s">
        <v>6</v>
      </c>
      <c r="B5" s="129">
        <f>SUM(K5,K16)</f>
        <v>959</v>
      </c>
      <c r="C5" s="129"/>
      <c r="D5" s="171" t="s">
        <v>226</v>
      </c>
      <c r="E5" s="171"/>
      <c r="J5" t="s">
        <v>6</v>
      </c>
      <c r="K5">
        <v>484</v>
      </c>
    </row>
    <row r="6" spans="1:11" x14ac:dyDescent="0.35">
      <c r="A6" s="152" t="s">
        <v>209</v>
      </c>
      <c r="B6" s="152">
        <f>SUM(K6,K17)</f>
        <v>445</v>
      </c>
      <c r="C6" s="170">
        <f>B6/B4</f>
        <v>0.31695156695156695</v>
      </c>
      <c r="D6" s="172">
        <f>B6/48</f>
        <v>9.2708333333333339</v>
      </c>
      <c r="E6" s="171" t="s">
        <v>227</v>
      </c>
      <c r="J6" s="151" t="s">
        <v>209</v>
      </c>
      <c r="K6" s="151">
        <f>K4-K5</f>
        <v>218</v>
      </c>
    </row>
    <row r="7" spans="1:11" x14ac:dyDescent="0.35">
      <c r="D7" s="129"/>
      <c r="E7" s="129"/>
    </row>
    <row r="14" spans="1:11" x14ac:dyDescent="0.35">
      <c r="J14" s="129" t="s">
        <v>210</v>
      </c>
    </row>
    <row r="15" spans="1:11" x14ac:dyDescent="0.35">
      <c r="J15" t="s">
        <v>5</v>
      </c>
      <c r="K15">
        <v>702</v>
      </c>
    </row>
    <row r="16" spans="1:11" x14ac:dyDescent="0.35">
      <c r="J16" t="s">
        <v>6</v>
      </c>
      <c r="K16">
        <v>475</v>
      </c>
    </row>
    <row r="17" spans="1:11" x14ac:dyDescent="0.35">
      <c r="J17" s="151" t="s">
        <v>209</v>
      </c>
      <c r="K17" s="151">
        <f>K15-K16</f>
        <v>227</v>
      </c>
    </row>
    <row r="24" spans="1:11" ht="16" x14ac:dyDescent="0.4">
      <c r="A24" s="156" t="s">
        <v>211</v>
      </c>
      <c r="B24" s="157">
        <v>27840</v>
      </c>
      <c r="F24" s="215" t="s">
        <v>228</v>
      </c>
      <c r="G24" s="215"/>
    </row>
    <row r="25" spans="1:11" ht="16" x14ac:dyDescent="0.4">
      <c r="A25" s="156" t="s">
        <v>212</v>
      </c>
      <c r="B25" s="155">
        <f>SUBTOTAL(9,B27:B44)</f>
        <v>9199</v>
      </c>
      <c r="C25" s="158">
        <f>B25/B24</f>
        <v>0.33042385057471263</v>
      </c>
      <c r="D25" s="174">
        <f>(B25/(2*480))</f>
        <v>9.5822916666666664</v>
      </c>
      <c r="E25" s="175" t="s">
        <v>227</v>
      </c>
      <c r="F25" s="184">
        <f>D25*(-50)</f>
        <v>-479.11458333333331</v>
      </c>
      <c r="G25" s="185" t="s">
        <v>229</v>
      </c>
    </row>
    <row r="26" spans="1:11" x14ac:dyDescent="0.35">
      <c r="A26" s="129" t="s">
        <v>213</v>
      </c>
      <c r="B26" s="129" t="s">
        <v>214</v>
      </c>
      <c r="C26" s="129"/>
    </row>
    <row r="27" spans="1:11" x14ac:dyDescent="0.35">
      <c r="A27" s="153" t="s">
        <v>216</v>
      </c>
      <c r="B27" s="154">
        <v>3175</v>
      </c>
      <c r="C27" s="158">
        <f>B27/$B$24</f>
        <v>0.11404454022988506</v>
      </c>
    </row>
    <row r="28" spans="1:11" x14ac:dyDescent="0.35">
      <c r="A28" s="153" t="s">
        <v>217</v>
      </c>
      <c r="B28" s="154">
        <v>2787</v>
      </c>
      <c r="C28" s="158">
        <f t="shared" ref="C28:C37" si="0">B28/$B$24</f>
        <v>0.10010775862068966</v>
      </c>
    </row>
    <row r="29" spans="1:11" x14ac:dyDescent="0.35">
      <c r="A29" s="153" t="s">
        <v>215</v>
      </c>
      <c r="B29" s="154">
        <v>1300</v>
      </c>
      <c r="C29" s="158">
        <f t="shared" si="0"/>
        <v>4.6695402298850573E-2</v>
      </c>
    </row>
    <row r="30" spans="1:11" x14ac:dyDescent="0.35">
      <c r="A30" s="153" t="s">
        <v>218</v>
      </c>
      <c r="B30" s="154">
        <v>600</v>
      </c>
      <c r="C30" s="158">
        <f t="shared" si="0"/>
        <v>2.1551724137931036E-2</v>
      </c>
    </row>
    <row r="31" spans="1:11" x14ac:dyDescent="0.35">
      <c r="A31" s="153" t="s">
        <v>42</v>
      </c>
      <c r="B31" s="154">
        <v>330</v>
      </c>
      <c r="C31" s="158">
        <f t="shared" si="0"/>
        <v>1.1853448275862068E-2</v>
      </c>
    </row>
    <row r="32" spans="1:11" x14ac:dyDescent="0.35">
      <c r="A32" s="153" t="s">
        <v>41</v>
      </c>
      <c r="B32" s="154">
        <v>315</v>
      </c>
      <c r="C32" s="158">
        <f t="shared" si="0"/>
        <v>1.1314655172413793E-2</v>
      </c>
    </row>
    <row r="33" spans="1:3" x14ac:dyDescent="0.35">
      <c r="A33" s="153" t="s">
        <v>35</v>
      </c>
      <c r="B33" s="154">
        <v>264</v>
      </c>
      <c r="C33" s="158">
        <f t="shared" si="0"/>
        <v>9.482758620689655E-3</v>
      </c>
    </row>
    <row r="34" spans="1:3" x14ac:dyDescent="0.35">
      <c r="A34" s="153" t="s">
        <v>33</v>
      </c>
      <c r="B34" s="154">
        <v>180</v>
      </c>
      <c r="C34" s="158">
        <f t="shared" si="0"/>
        <v>6.4655172413793103E-3</v>
      </c>
    </row>
    <row r="35" spans="1:3" x14ac:dyDescent="0.35">
      <c r="A35" s="153" t="s">
        <v>32</v>
      </c>
      <c r="B35" s="154">
        <v>140</v>
      </c>
      <c r="C35" s="158">
        <f t="shared" si="0"/>
        <v>5.028735632183908E-3</v>
      </c>
    </row>
    <row r="36" spans="1:3" x14ac:dyDescent="0.35">
      <c r="A36" s="153" t="s">
        <v>30</v>
      </c>
      <c r="B36" s="154">
        <v>68</v>
      </c>
      <c r="C36" s="158">
        <f t="shared" si="0"/>
        <v>2.4425287356321839E-3</v>
      </c>
    </row>
    <row r="37" spans="1:3" x14ac:dyDescent="0.35">
      <c r="A37" s="153" t="s">
        <v>224</v>
      </c>
      <c r="B37" s="154">
        <v>40</v>
      </c>
      <c r="C37" s="158">
        <f t="shared" si="0"/>
        <v>1.4367816091954023E-3</v>
      </c>
    </row>
    <row r="38" spans="1:3" x14ac:dyDescent="0.35">
      <c r="A38" s="153" t="s">
        <v>230</v>
      </c>
      <c r="B38" s="154"/>
    </row>
    <row r="39" spans="1:3" x14ac:dyDescent="0.35">
      <c r="A39" s="153" t="s">
        <v>40</v>
      </c>
      <c r="B39" s="154"/>
    </row>
    <row r="40" spans="1:3" x14ac:dyDescent="0.35">
      <c r="A40" s="153" t="s">
        <v>28</v>
      </c>
      <c r="B40" s="154"/>
    </row>
    <row r="41" spans="1:3" x14ac:dyDescent="0.35">
      <c r="A41" s="153" t="s">
        <v>38</v>
      </c>
      <c r="B41" s="154"/>
    </row>
    <row r="42" spans="1:3" x14ac:dyDescent="0.35">
      <c r="A42" s="153" t="s">
        <v>231</v>
      </c>
      <c r="B42" s="154"/>
    </row>
    <row r="43" spans="1:3" x14ac:dyDescent="0.35">
      <c r="A43" s="153" t="s">
        <v>221</v>
      </c>
      <c r="B43" s="154"/>
    </row>
    <row r="44" spans="1:3" x14ac:dyDescent="0.35">
      <c r="A44" s="153" t="s">
        <v>39</v>
      </c>
      <c r="B44" s="154"/>
    </row>
    <row r="45" spans="1:3" x14ac:dyDescent="0.35">
      <c r="A45" s="153" t="s">
        <v>44</v>
      </c>
      <c r="B45" s="154"/>
    </row>
    <row r="46" spans="1:3" x14ac:dyDescent="0.35">
      <c r="A46" s="153" t="s">
        <v>222</v>
      </c>
      <c r="B46" s="154"/>
    </row>
    <row r="47" spans="1:3" x14ac:dyDescent="0.35">
      <c r="A47" s="173" t="s">
        <v>223</v>
      </c>
      <c r="B47" s="154"/>
    </row>
    <row r="75" spans="1:11" ht="18.5" x14ac:dyDescent="0.45">
      <c r="A75" s="150" t="s">
        <v>232</v>
      </c>
    </row>
    <row r="76" spans="1:11" x14ac:dyDescent="0.35">
      <c r="A76" s="159" t="s">
        <v>233</v>
      </c>
      <c r="B76" s="160" t="s">
        <v>234</v>
      </c>
      <c r="C76" s="160" t="s">
        <v>235</v>
      </c>
      <c r="D76" s="160" t="s">
        <v>236</v>
      </c>
      <c r="E76" s="160" t="s">
        <v>237</v>
      </c>
      <c r="F76" s="160" t="s">
        <v>238</v>
      </c>
      <c r="G76" s="160" t="s">
        <v>239</v>
      </c>
      <c r="H76" s="160" t="s">
        <v>240</v>
      </c>
      <c r="I76" s="160" t="s">
        <v>241</v>
      </c>
      <c r="J76" s="160" t="s">
        <v>242</v>
      </c>
      <c r="K76" s="160" t="s">
        <v>243</v>
      </c>
    </row>
    <row r="77" spans="1:11" x14ac:dyDescent="0.35">
      <c r="A77" s="147" t="s">
        <v>244</v>
      </c>
      <c r="B77" s="147"/>
      <c r="C77" s="147"/>
      <c r="D77" s="147"/>
      <c r="E77" s="147"/>
      <c r="F77" s="147"/>
      <c r="G77" s="147"/>
      <c r="H77" s="147"/>
      <c r="I77" s="147"/>
      <c r="J77" s="147"/>
      <c r="K77" s="161" t="s">
        <v>245</v>
      </c>
    </row>
    <row r="78" spans="1:11" x14ac:dyDescent="0.35">
      <c r="A78" s="147" t="s">
        <v>246</v>
      </c>
      <c r="B78" s="147"/>
      <c r="C78" s="147"/>
      <c r="D78" s="147"/>
      <c r="E78" s="147"/>
      <c r="F78" s="147"/>
      <c r="G78" s="147"/>
      <c r="H78" s="147"/>
      <c r="I78" s="147"/>
      <c r="J78" s="162" t="s">
        <v>247</v>
      </c>
      <c r="K78" s="162" t="s">
        <v>248</v>
      </c>
    </row>
    <row r="79" spans="1:11" x14ac:dyDescent="0.35">
      <c r="A79" s="147" t="s">
        <v>249</v>
      </c>
      <c r="B79" s="147"/>
      <c r="C79" s="147"/>
      <c r="D79" s="147"/>
      <c r="E79" s="147"/>
      <c r="F79" s="147"/>
      <c r="G79" s="147"/>
      <c r="H79" s="147"/>
      <c r="I79" s="162" t="s">
        <v>247</v>
      </c>
      <c r="J79" s="162" t="s">
        <v>248</v>
      </c>
      <c r="K79" s="147"/>
    </row>
    <row r="80" spans="1:11" x14ac:dyDescent="0.35">
      <c r="A80" s="147" t="s">
        <v>250</v>
      </c>
      <c r="B80" s="147"/>
      <c r="C80" s="147"/>
      <c r="D80" s="147"/>
      <c r="E80" s="147"/>
      <c r="F80" s="147"/>
      <c r="G80" s="147"/>
      <c r="H80" s="162" t="s">
        <v>247</v>
      </c>
      <c r="I80" s="162" t="s">
        <v>248</v>
      </c>
      <c r="J80" s="147"/>
      <c r="K80" s="147"/>
    </row>
    <row r="81" spans="1:11" x14ac:dyDescent="0.35">
      <c r="A81" s="147" t="s">
        <v>251</v>
      </c>
      <c r="B81" s="147"/>
      <c r="C81" s="147"/>
      <c r="D81" s="147"/>
      <c r="E81" s="147"/>
      <c r="F81" s="163"/>
      <c r="G81" s="163"/>
      <c r="H81" s="147"/>
      <c r="I81" s="147"/>
      <c r="J81" s="147"/>
      <c r="K81" s="147"/>
    </row>
    <row r="82" spans="1:11" x14ac:dyDescent="0.35">
      <c r="A82" s="147" t="s">
        <v>252</v>
      </c>
      <c r="B82" s="147"/>
      <c r="C82" s="147"/>
      <c r="D82" s="147"/>
      <c r="E82" s="163"/>
      <c r="F82" s="163"/>
      <c r="G82" s="147"/>
      <c r="H82" s="147"/>
      <c r="I82" s="147"/>
      <c r="J82" s="147"/>
      <c r="K82" s="147"/>
    </row>
    <row r="83" spans="1:11" x14ac:dyDescent="0.35">
      <c r="A83" s="147" t="s">
        <v>253</v>
      </c>
      <c r="B83" s="147"/>
      <c r="C83" s="147"/>
      <c r="D83" s="147"/>
      <c r="E83" s="163"/>
      <c r="F83" s="147"/>
      <c r="G83" s="147"/>
      <c r="H83" s="147"/>
      <c r="I83" s="147"/>
      <c r="J83" s="147"/>
      <c r="K83" s="147"/>
    </row>
    <row r="84" spans="1:11" x14ac:dyDescent="0.35">
      <c r="A84" s="147" t="s">
        <v>254</v>
      </c>
      <c r="B84" s="147"/>
      <c r="C84" s="147"/>
      <c r="D84" s="163"/>
      <c r="E84" s="147"/>
      <c r="F84" s="147"/>
      <c r="G84" s="147"/>
      <c r="H84" s="147"/>
      <c r="I84" s="147"/>
      <c r="J84" s="147"/>
      <c r="K84" s="147"/>
    </row>
    <row r="85" spans="1:11" x14ac:dyDescent="0.35">
      <c r="A85" s="147" t="s">
        <v>255</v>
      </c>
      <c r="B85" s="163"/>
      <c r="C85" s="163"/>
      <c r="D85" s="147"/>
      <c r="E85" s="147"/>
      <c r="F85" s="147"/>
      <c r="G85" s="147"/>
      <c r="H85" s="147"/>
      <c r="I85" s="147"/>
      <c r="J85" s="147"/>
      <c r="K85" s="147"/>
    </row>
    <row r="86" spans="1:11" x14ac:dyDescent="0.35">
      <c r="A86" s="147" t="s">
        <v>256</v>
      </c>
      <c r="B86" s="163"/>
      <c r="C86" s="147"/>
      <c r="D86" s="147"/>
      <c r="E86" s="147"/>
      <c r="F86" s="147"/>
      <c r="G86" s="147"/>
      <c r="H86" s="147"/>
      <c r="I86" s="147"/>
      <c r="J86" s="147"/>
      <c r="K86" s="147"/>
    </row>
  </sheetData>
  <autoFilter ref="A26:B26" xr:uid="{91455E42-15F1-42E5-BD42-F27DD0B4480A}">
    <sortState xmlns:xlrd2="http://schemas.microsoft.com/office/spreadsheetml/2017/richdata2" ref="A27:B47">
      <sortCondition descending="1" ref="B26"/>
    </sortState>
  </autoFilter>
  <mergeCells count="1">
    <mergeCell ref="F24:G2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1D03-CEFD-49A8-92B3-65390951E2C7}">
  <dimension ref="A1:B42"/>
  <sheetViews>
    <sheetView showGridLines="0" topLeftCell="A49" workbookViewId="0">
      <selection activeCell="A8" sqref="A7:A8"/>
    </sheetView>
  </sheetViews>
  <sheetFormatPr defaultRowHeight="14.5" x14ac:dyDescent="0.35"/>
  <cols>
    <col min="1" max="1" width="11.54296875" bestFit="1" customWidth="1"/>
  </cols>
  <sheetData>
    <row r="1" spans="1:2" x14ac:dyDescent="0.35">
      <c r="A1" s="129" t="s">
        <v>208</v>
      </c>
    </row>
    <row r="2" spans="1:2" x14ac:dyDescent="0.35">
      <c r="A2" t="s">
        <v>5</v>
      </c>
      <c r="B2">
        <v>690</v>
      </c>
    </row>
    <row r="3" spans="1:2" x14ac:dyDescent="0.35">
      <c r="A3" t="s">
        <v>6</v>
      </c>
      <c r="B3">
        <v>389</v>
      </c>
    </row>
    <row r="4" spans="1:2" x14ac:dyDescent="0.35">
      <c r="A4" t="s">
        <v>209</v>
      </c>
      <c r="B4">
        <f>B2-B3</f>
        <v>301</v>
      </c>
    </row>
    <row r="20" spans="1:2" x14ac:dyDescent="0.35">
      <c r="A20" s="129" t="s">
        <v>210</v>
      </c>
    </row>
    <row r="21" spans="1:2" x14ac:dyDescent="0.35">
      <c r="A21" t="s">
        <v>5</v>
      </c>
      <c r="B21">
        <v>684</v>
      </c>
    </row>
    <row r="22" spans="1:2" x14ac:dyDescent="0.35">
      <c r="A22" t="s">
        <v>6</v>
      </c>
      <c r="B22">
        <v>418</v>
      </c>
    </row>
    <row r="23" spans="1:2" x14ac:dyDescent="0.35">
      <c r="A23" t="s">
        <v>209</v>
      </c>
      <c r="B23">
        <f>B21-B22</f>
        <v>266</v>
      </c>
    </row>
    <row r="39" spans="1:2" x14ac:dyDescent="0.35">
      <c r="A39" s="129" t="s">
        <v>284</v>
      </c>
    </row>
    <row r="40" spans="1:2" x14ac:dyDescent="0.35">
      <c r="A40" t="s">
        <v>5</v>
      </c>
      <c r="B40">
        <f>SUM(B2,B21)</f>
        <v>1374</v>
      </c>
    </row>
    <row r="41" spans="1:2" x14ac:dyDescent="0.35">
      <c r="A41" t="s">
        <v>6</v>
      </c>
      <c r="B41">
        <f t="shared" ref="B41:B42" si="0">SUM(B3,B22)</f>
        <v>807</v>
      </c>
    </row>
    <row r="42" spans="1:2" x14ac:dyDescent="0.35">
      <c r="A42" t="s">
        <v>209</v>
      </c>
      <c r="B42">
        <f t="shared" si="0"/>
        <v>567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8E09-E359-4425-8DF6-FBD62FC705FD}">
  <dimension ref="A1:B19"/>
  <sheetViews>
    <sheetView showGridLines="0" workbookViewId="0">
      <selection activeCell="A14" sqref="A14:A15"/>
    </sheetView>
  </sheetViews>
  <sheetFormatPr defaultRowHeight="14.5" x14ac:dyDescent="0.35"/>
  <cols>
    <col min="1" max="1" width="33.453125" bestFit="1" customWidth="1"/>
    <col min="2" max="2" width="18.26953125" bestFit="1" customWidth="1"/>
  </cols>
  <sheetData>
    <row r="1" spans="1:2" x14ac:dyDescent="0.35">
      <c r="A1" t="s">
        <v>213</v>
      </c>
      <c r="B1" t="s">
        <v>214</v>
      </c>
    </row>
    <row r="2" spans="1:2" x14ac:dyDescent="0.35">
      <c r="A2" t="s">
        <v>31</v>
      </c>
      <c r="B2">
        <v>3325</v>
      </c>
    </row>
    <row r="3" spans="1:2" x14ac:dyDescent="0.35">
      <c r="A3" t="s">
        <v>206</v>
      </c>
      <c r="B3">
        <v>1180</v>
      </c>
    </row>
    <row r="4" spans="1:2" x14ac:dyDescent="0.35">
      <c r="A4" t="s">
        <v>285</v>
      </c>
      <c r="B4">
        <v>423</v>
      </c>
    </row>
    <row r="5" spans="1:2" x14ac:dyDescent="0.35">
      <c r="A5" t="s">
        <v>37</v>
      </c>
      <c r="B5">
        <v>420</v>
      </c>
    </row>
    <row r="6" spans="1:2" x14ac:dyDescent="0.35">
      <c r="A6" t="s">
        <v>32</v>
      </c>
      <c r="B6">
        <v>325</v>
      </c>
    </row>
    <row r="7" spans="1:2" x14ac:dyDescent="0.35">
      <c r="A7" t="s">
        <v>42</v>
      </c>
      <c r="B7">
        <v>210</v>
      </c>
    </row>
    <row r="8" spans="1:2" x14ac:dyDescent="0.35">
      <c r="A8" s="173" t="s">
        <v>286</v>
      </c>
      <c r="B8">
        <v>135</v>
      </c>
    </row>
    <row r="9" spans="1:2" x14ac:dyDescent="0.35">
      <c r="A9" t="s">
        <v>33</v>
      </c>
      <c r="B9">
        <v>100</v>
      </c>
    </row>
    <row r="10" spans="1:2" x14ac:dyDescent="0.35">
      <c r="A10" t="s">
        <v>30</v>
      </c>
      <c r="B10">
        <v>90</v>
      </c>
    </row>
    <row r="11" spans="1:2" x14ac:dyDescent="0.35">
      <c r="A11" t="s">
        <v>41</v>
      </c>
      <c r="B11">
        <v>70</v>
      </c>
    </row>
    <row r="12" spans="1:2" x14ac:dyDescent="0.35">
      <c r="A12" t="s">
        <v>35</v>
      </c>
      <c r="B12">
        <v>60</v>
      </c>
    </row>
    <row r="13" spans="1:2" x14ac:dyDescent="0.35">
      <c r="A13" t="s">
        <v>28</v>
      </c>
      <c r="B13">
        <v>0</v>
      </c>
    </row>
    <row r="14" spans="1:2" x14ac:dyDescent="0.35">
      <c r="A14" t="s">
        <v>38</v>
      </c>
      <c r="B14">
        <v>0</v>
      </c>
    </row>
    <row r="15" spans="1:2" x14ac:dyDescent="0.35">
      <c r="A15" t="s">
        <v>43</v>
      </c>
      <c r="B15">
        <v>0</v>
      </c>
    </row>
    <row r="16" spans="1:2" x14ac:dyDescent="0.35">
      <c r="A16" t="s">
        <v>221</v>
      </c>
      <c r="B16">
        <v>0</v>
      </c>
    </row>
    <row r="17" spans="1:2" x14ac:dyDescent="0.35">
      <c r="A17" t="s">
        <v>39</v>
      </c>
      <c r="B17">
        <v>0</v>
      </c>
    </row>
    <row r="18" spans="1:2" x14ac:dyDescent="0.35">
      <c r="A18" t="s">
        <v>44</v>
      </c>
      <c r="B18">
        <v>0</v>
      </c>
    </row>
    <row r="19" spans="1:2" x14ac:dyDescent="0.35">
      <c r="A19" t="s">
        <v>222</v>
      </c>
      <c r="B19">
        <v>0</v>
      </c>
    </row>
  </sheetData>
  <autoFilter ref="A1:B1" xr:uid="{1538D798-071E-4DBE-884F-9D743DC55EE0}">
    <sortState xmlns:xlrd2="http://schemas.microsoft.com/office/spreadsheetml/2017/richdata2" ref="A2:B19">
      <sortCondition descending="1" ref="B1"/>
    </sortState>
  </autoFilter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651C-31BF-4B35-9A30-8FDEC02A969E}">
  <dimension ref="A1:B42"/>
  <sheetViews>
    <sheetView showGridLines="0" topLeftCell="A28" workbookViewId="0">
      <selection activeCell="A8" sqref="A7:A8"/>
    </sheetView>
  </sheetViews>
  <sheetFormatPr defaultRowHeight="14.5" x14ac:dyDescent="0.35"/>
  <cols>
    <col min="1" max="1" width="11.54296875" bestFit="1" customWidth="1"/>
  </cols>
  <sheetData>
    <row r="1" spans="1:2" x14ac:dyDescent="0.35">
      <c r="A1" s="129" t="s">
        <v>208</v>
      </c>
    </row>
    <row r="2" spans="1:2" x14ac:dyDescent="0.35">
      <c r="A2" t="s">
        <v>5</v>
      </c>
      <c r="B2">
        <v>634</v>
      </c>
    </row>
    <row r="3" spans="1:2" x14ac:dyDescent="0.35">
      <c r="A3" t="s">
        <v>6</v>
      </c>
      <c r="B3">
        <v>466</v>
      </c>
    </row>
    <row r="4" spans="1:2" x14ac:dyDescent="0.35">
      <c r="A4" t="s">
        <v>209</v>
      </c>
      <c r="B4">
        <v>168</v>
      </c>
    </row>
    <row r="20" spans="1:2" x14ac:dyDescent="0.35">
      <c r="A20" s="129" t="s">
        <v>287</v>
      </c>
    </row>
    <row r="21" spans="1:2" x14ac:dyDescent="0.35">
      <c r="A21" t="s">
        <v>5</v>
      </c>
      <c r="B21">
        <v>524</v>
      </c>
    </row>
    <row r="22" spans="1:2" x14ac:dyDescent="0.35">
      <c r="A22" t="s">
        <v>6</v>
      </c>
      <c r="B22">
        <v>371</v>
      </c>
    </row>
    <row r="23" spans="1:2" x14ac:dyDescent="0.35">
      <c r="A23" t="s">
        <v>209</v>
      </c>
      <c r="B23">
        <v>153</v>
      </c>
    </row>
    <row r="39" spans="1:2" x14ac:dyDescent="0.35">
      <c r="A39" s="129" t="s">
        <v>284</v>
      </c>
    </row>
    <row r="40" spans="1:2" x14ac:dyDescent="0.35">
      <c r="A40" t="s">
        <v>5</v>
      </c>
      <c r="B40">
        <f>SUM(B2,B21)</f>
        <v>1158</v>
      </c>
    </row>
    <row r="41" spans="1:2" x14ac:dyDescent="0.35">
      <c r="A41" t="s">
        <v>6</v>
      </c>
      <c r="B41">
        <f t="shared" ref="B41:B42" si="0">SUM(B3,B22)</f>
        <v>837</v>
      </c>
    </row>
    <row r="42" spans="1:2" x14ac:dyDescent="0.35">
      <c r="A42" t="s">
        <v>209</v>
      </c>
      <c r="B42">
        <f t="shared" si="0"/>
        <v>321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D798-071E-4DBE-884F-9D743DC55EE0}">
  <dimension ref="A1:B17"/>
  <sheetViews>
    <sheetView showGridLines="0" workbookViewId="0">
      <selection activeCell="A3" sqref="A3"/>
    </sheetView>
  </sheetViews>
  <sheetFormatPr defaultRowHeight="14.5" x14ac:dyDescent="0.35"/>
  <cols>
    <col min="1" max="1" width="33.453125" bestFit="1" customWidth="1"/>
    <col min="2" max="2" width="18.26953125" bestFit="1" customWidth="1"/>
  </cols>
  <sheetData>
    <row r="1" spans="1:2" x14ac:dyDescent="0.35">
      <c r="A1" t="s">
        <v>213</v>
      </c>
      <c r="B1" t="s">
        <v>214</v>
      </c>
    </row>
    <row r="2" spans="1:2" x14ac:dyDescent="0.35">
      <c r="A2" t="s">
        <v>37</v>
      </c>
      <c r="B2">
        <v>5196</v>
      </c>
    </row>
    <row r="3" spans="1:2" x14ac:dyDescent="0.35">
      <c r="A3" t="s">
        <v>288</v>
      </c>
      <c r="B3">
        <v>280</v>
      </c>
    </row>
    <row r="4" spans="1:2" x14ac:dyDescent="0.35">
      <c r="A4" t="s">
        <v>206</v>
      </c>
      <c r="B4">
        <v>225</v>
      </c>
    </row>
    <row r="5" spans="1:2" x14ac:dyDescent="0.35">
      <c r="A5" t="s">
        <v>205</v>
      </c>
      <c r="B5">
        <v>135</v>
      </c>
    </row>
    <row r="6" spans="1:2" x14ac:dyDescent="0.35">
      <c r="A6" t="s">
        <v>42</v>
      </c>
      <c r="B6">
        <v>0</v>
      </c>
    </row>
    <row r="7" spans="1:2" x14ac:dyDescent="0.35">
      <c r="A7" t="s">
        <v>35</v>
      </c>
      <c r="B7">
        <v>0</v>
      </c>
    </row>
    <row r="8" spans="1:2" x14ac:dyDescent="0.35">
      <c r="A8" t="s">
        <v>33</v>
      </c>
      <c r="B8">
        <v>0</v>
      </c>
    </row>
    <row r="9" spans="1:2" x14ac:dyDescent="0.35">
      <c r="A9" t="s">
        <v>40</v>
      </c>
      <c r="B9">
        <v>0</v>
      </c>
    </row>
    <row r="10" spans="1:2" x14ac:dyDescent="0.35">
      <c r="A10" t="s">
        <v>28</v>
      </c>
      <c r="B10">
        <v>0</v>
      </c>
    </row>
    <row r="11" spans="1:2" x14ac:dyDescent="0.35">
      <c r="A11" t="s">
        <v>38</v>
      </c>
      <c r="B11">
        <v>0</v>
      </c>
    </row>
    <row r="12" spans="1:2" x14ac:dyDescent="0.35">
      <c r="A12" t="s">
        <v>43</v>
      </c>
      <c r="B12">
        <v>0</v>
      </c>
    </row>
    <row r="13" spans="1:2" x14ac:dyDescent="0.35">
      <c r="A13" t="s">
        <v>221</v>
      </c>
      <c r="B13">
        <v>0</v>
      </c>
    </row>
    <row r="14" spans="1:2" x14ac:dyDescent="0.35">
      <c r="A14" t="s">
        <v>39</v>
      </c>
      <c r="B14">
        <v>0</v>
      </c>
    </row>
    <row r="15" spans="1:2" x14ac:dyDescent="0.35">
      <c r="A15" t="s">
        <v>41</v>
      </c>
      <c r="B15">
        <v>0</v>
      </c>
    </row>
    <row r="16" spans="1:2" x14ac:dyDescent="0.35">
      <c r="A16" t="s">
        <v>44</v>
      </c>
      <c r="B16">
        <v>0</v>
      </c>
    </row>
    <row r="17" spans="1:2" x14ac:dyDescent="0.35">
      <c r="A17" t="s">
        <v>222</v>
      </c>
      <c r="B17">
        <v>0</v>
      </c>
    </row>
  </sheetData>
  <autoFilter ref="A1:B1" xr:uid="{1538D798-071E-4DBE-884F-9D743DC55EE0}">
    <sortState xmlns:xlrd2="http://schemas.microsoft.com/office/spreadsheetml/2017/richdata2" ref="A2:B17">
      <sortCondition descending="1" ref="B1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f33d5d-b36d-439f-aaa6-4bb99883578f" xsi:nil="true"/>
    <lcf76f155ced4ddcb4097134ff3c332f xmlns="44f3135e-0e65-4e40-a018-7f65438629cf">
      <Terms xmlns="http://schemas.microsoft.com/office/infopath/2007/PartnerControls"/>
    </lcf76f155ced4ddcb4097134ff3c332f>
    <_ip_UnifiedCompliancePolicyUIAction xmlns="http://schemas.microsoft.com/sharepoint/v3" xsi:nil="true"/>
    <Personincharge xmlns="44f3135e-0e65-4e40-a018-7f65438629cf">
      <UserInfo>
        <DisplayName/>
        <AccountId xsi:nil="true"/>
        <AccountType/>
      </UserInfo>
    </Personincharge>
    <_ip_UnifiedCompliancePolicyProperties xmlns="http://schemas.microsoft.com/sharepoint/v3" xsi:nil="true"/>
    <_Flow_SignoffStatus xmlns="44f3135e-0e65-4e40-a018-7f65438629c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F7DCA2-AB7F-4F3C-A3FB-AE3E746CC3D5}"/>
</file>

<file path=customXml/itemProps2.xml><?xml version="1.0" encoding="utf-8"?>
<ds:datastoreItem xmlns:ds="http://schemas.openxmlformats.org/officeDocument/2006/customXml" ds:itemID="{A5BC44F6-7B18-4B04-AC26-3978446496D6}">
  <ds:schemaRefs>
    <ds:schemaRef ds:uri="http://schemas.microsoft.com/office/2006/metadata/properties"/>
    <ds:schemaRef ds:uri="http://schemas.microsoft.com/office/infopath/2007/PartnerControls"/>
    <ds:schemaRef ds:uri="658b70a9-cf5e-40a1-8afa-a7a07fd08a15"/>
    <ds:schemaRef ds:uri="e0f12161-d86c-4446-a54d-39c6bd46eaf8"/>
  </ds:schemaRefs>
</ds:datastoreItem>
</file>

<file path=customXml/itemProps3.xml><?xml version="1.0" encoding="utf-8"?>
<ds:datastoreItem xmlns:ds="http://schemas.openxmlformats.org/officeDocument/2006/customXml" ds:itemID="{76D7C958-DE47-4F2B-BD35-F83E7DD660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Nov2025</vt:lpstr>
      <vt:lpstr>Dec2025</vt:lpstr>
      <vt:lpstr>Jan2026</vt:lpstr>
      <vt:lpstr>Feb2026</vt:lpstr>
      <vt:lpstr>Mar2026</vt:lpstr>
      <vt:lpstr>Apr2026</vt:lpstr>
      <vt:lpstr>Down time, Issue</vt:lpstr>
      <vt:lpstr>Sheet3</vt:lpstr>
      <vt:lpstr>Daily Down time</vt:lpstr>
      <vt:lpstr>WTD-Down time</vt:lpstr>
      <vt:lpstr>MTD-Down time</vt:lpstr>
      <vt:lpstr>Ramp up plan</vt:lpstr>
      <vt:lpstr>Loss-Mar2026</vt:lpstr>
      <vt:lpstr>Feb</vt:lpstr>
      <vt:lpstr>Feb-26</vt:lpstr>
      <vt:lpstr>Jan</vt:lpstr>
      <vt:lpstr>Jan-26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Chalit Mukpradub (Nu)</dc:creator>
  <cp:keywords/>
  <dc:description/>
  <cp:lastModifiedBy>Chalit Mukpradub (Nu)</cp:lastModifiedBy>
  <cp:revision/>
  <dcterms:created xsi:type="dcterms:W3CDTF">2025-11-14T05:41:38Z</dcterms:created>
  <dcterms:modified xsi:type="dcterms:W3CDTF">2026-04-08T00:42:34Z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0x010100568549FB50A77D4685EB06FA42EF5BD2</vt:lpwstr>
  </property>
  <property fmtid="{D5CDD505-2E9C-101B-9397-08002B2CF9AE}" pid="3" name="MediaServiceImageTags">
    <vt:lpwstr/>
  </property>
</Properties>
</file>